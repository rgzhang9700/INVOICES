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Accounting\Month End Closing\FY 2027 Monthly Closing\NSC FY2027\Report Templates\"/>
    </mc:Choice>
  </mc:AlternateContent>
  <xr:revisionPtr revIDLastSave="0" documentId="13_ncr:1_{613F0230-69B1-4F91-9A7F-E07BBB51A78B}" xr6:coauthVersionLast="47" xr6:coauthVersionMax="47" xr10:uidLastSave="{00000000-0000-0000-0000-000000000000}"/>
  <bookViews>
    <workbookView xWindow="-120" yWindow="-120" windowWidth="29040" windowHeight="15720" xr2:uid="{611A1152-649C-407F-A19F-ED46EB7839B0}"/>
  </bookViews>
  <sheets>
    <sheet name="MGR" sheetId="3" r:id="rId1"/>
    <sheet name="CX" sheetId="6" state="hidden" r:id="rId2"/>
    <sheet name="Legacy Lookup Table" sheetId="5" state="hidden" r:id="rId3"/>
    <sheet name="ACDOCA - Paste Data" sheetId="16" r:id="rId4"/>
    <sheet name="WIP - Paste Data" sheetId="17" r:id="rId5"/>
    <sheet name="JTD Paste Data" sheetId="18" r:id="rId6"/>
    <sheet name="MTD Hours Paste Data" sheetId="19" r:id="rId7"/>
    <sheet name="Sheet3" sheetId="9" state="hidden" r:id="rId8"/>
    <sheet name="SAP Contracts" sheetId="12" state="hidden" r:id="rId9"/>
    <sheet name="Active North Sky Projects" sheetId="11" state="hidden" r:id="rId10"/>
    <sheet name="Sheet1" sheetId="10" state="hidden" r:id="rId11"/>
  </sheets>
  <externalReferences>
    <externalReference r:id="rId12"/>
  </externalReferences>
  <definedNames>
    <definedName name="_xlnm._FilterDatabase" localSheetId="9" hidden="1">'Active North Sky Projects'!$A$1:$L$326</definedName>
    <definedName name="_xlnm._FilterDatabase" localSheetId="1" hidden="1">CX!$A$3:$C$203</definedName>
    <definedName name="_xlnm._FilterDatabase" localSheetId="0" hidden="1">MGR!$A$170:$L$198</definedName>
    <definedName name="_xlnm._FilterDatabase" localSheetId="8" hidden="1">'SAP Contracts'!$A$1:$J$692</definedName>
    <definedName name="_xlnm._FilterDatabase" localSheetId="10" hidden="1">Sheet1!$A$1:$B$154</definedName>
    <definedName name="Canby_Molalla_Dustin">MGR!$A$212:$O$224</definedName>
    <definedName name="Div_2_Wireless">MGR!$A$4:$O$37</definedName>
    <definedName name="Stayton_Peoples_Dennis">MGR!#REF!</definedName>
  </definedNames>
  <calcPr calcId="191029"/>
  <pivotCaches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7" i="3" l="1"/>
  <c r="F267" i="3"/>
  <c r="I167" i="3"/>
  <c r="F167" i="3"/>
  <c r="F111" i="3"/>
  <c r="G453" i="3"/>
  <c r="G461" i="3"/>
  <c r="R254" i="3"/>
  <c r="S254" i="3" s="1"/>
  <c r="P254" i="3"/>
  <c r="Q254" i="3" s="1"/>
  <c r="K254" i="3"/>
  <c r="G254" i="3"/>
  <c r="H254" i="3" s="1"/>
  <c r="F254" i="3"/>
  <c r="I254" i="3" s="1"/>
  <c r="J254" i="3" s="1"/>
  <c r="E254" i="3"/>
  <c r="R255" i="3"/>
  <c r="S255" i="3" s="1"/>
  <c r="P255" i="3"/>
  <c r="Q255" i="3" s="1"/>
  <c r="T255" i="3" s="1"/>
  <c r="U255" i="3" s="1"/>
  <c r="K255" i="3"/>
  <c r="G255" i="3"/>
  <c r="H255" i="3" s="1"/>
  <c r="E255" i="3"/>
  <c r="F255" i="3" s="1"/>
  <c r="D255" i="3"/>
  <c r="R195" i="3"/>
  <c r="S195" i="3" s="1"/>
  <c r="P195" i="3"/>
  <c r="Q195" i="3" s="1"/>
  <c r="K195" i="3"/>
  <c r="G195" i="3"/>
  <c r="H195" i="3" s="1"/>
  <c r="E195" i="3"/>
  <c r="F195" i="3" s="1"/>
  <c r="I195" i="3" s="1"/>
  <c r="J195" i="3" s="1"/>
  <c r="D195" i="3"/>
  <c r="R326" i="3"/>
  <c r="S326" i="3" s="1"/>
  <c r="P326" i="3"/>
  <c r="Q326" i="3" s="1"/>
  <c r="K326" i="3"/>
  <c r="G326" i="3"/>
  <c r="H326" i="3" s="1"/>
  <c r="E326" i="3"/>
  <c r="F326" i="3" s="1"/>
  <c r="I326" i="3" s="1"/>
  <c r="J326" i="3" s="1"/>
  <c r="D326" i="3"/>
  <c r="R244" i="3"/>
  <c r="S244" i="3" s="1"/>
  <c r="P244" i="3"/>
  <c r="Q244" i="3" s="1"/>
  <c r="K244" i="3"/>
  <c r="G244" i="3"/>
  <c r="H244" i="3" s="1"/>
  <c r="E244" i="3"/>
  <c r="F244" i="3" s="1"/>
  <c r="I244" i="3" s="1"/>
  <c r="J244" i="3" s="1"/>
  <c r="D244" i="3"/>
  <c r="R183" i="3"/>
  <c r="S183" i="3" s="1"/>
  <c r="P183" i="3"/>
  <c r="Q183" i="3" s="1"/>
  <c r="K183" i="3"/>
  <c r="G183" i="3"/>
  <c r="H183" i="3" s="1"/>
  <c r="E183" i="3"/>
  <c r="F183" i="3" s="1"/>
  <c r="I183" i="3" s="1"/>
  <c r="J183" i="3" s="1"/>
  <c r="D183" i="3"/>
  <c r="T254" i="3" l="1"/>
  <c r="U254" i="3" s="1"/>
  <c r="T195" i="3"/>
  <c r="U195" i="3" s="1"/>
  <c r="I255" i="3"/>
  <c r="J255" i="3" s="1"/>
  <c r="T326" i="3"/>
  <c r="U326" i="3" s="1"/>
  <c r="T183" i="3"/>
  <c r="U183" i="3" s="1"/>
  <c r="T244" i="3"/>
  <c r="U244" i="3" s="1"/>
  <c r="H299" i="16" l="1"/>
  <c r="H300" i="16"/>
  <c r="H301" i="16"/>
  <c r="H302" i="16"/>
  <c r="H303" i="16"/>
  <c r="H304" i="16"/>
  <c r="H305" i="16"/>
  <c r="H306" i="16"/>
  <c r="H307" i="16"/>
  <c r="H308" i="16"/>
  <c r="H309" i="16"/>
  <c r="G299" i="16"/>
  <c r="G300" i="16"/>
  <c r="G301" i="16"/>
  <c r="G302" i="16"/>
  <c r="G303" i="16"/>
  <c r="G304" i="16"/>
  <c r="G305" i="16"/>
  <c r="G306" i="16"/>
  <c r="G307" i="16"/>
  <c r="G308" i="16"/>
  <c r="G309" i="16"/>
  <c r="R383" i="3" l="1"/>
  <c r="S383" i="3" s="1"/>
  <c r="P383" i="3"/>
  <c r="Q383" i="3" s="1"/>
  <c r="K383" i="3"/>
  <c r="G383" i="3"/>
  <c r="H383" i="3" s="1"/>
  <c r="E383" i="3"/>
  <c r="F383" i="3" s="1"/>
  <c r="D383" i="3"/>
  <c r="R424" i="3"/>
  <c r="S424" i="3" s="1"/>
  <c r="P424" i="3"/>
  <c r="Q424" i="3" s="1"/>
  <c r="K424" i="3"/>
  <c r="G424" i="3"/>
  <c r="H424" i="3" s="1"/>
  <c r="E424" i="3"/>
  <c r="F424" i="3" s="1"/>
  <c r="D424" i="3"/>
  <c r="R375" i="3"/>
  <c r="S375" i="3" s="1"/>
  <c r="P375" i="3"/>
  <c r="Q375" i="3" s="1"/>
  <c r="K375" i="3"/>
  <c r="G375" i="3"/>
  <c r="H375" i="3" s="1"/>
  <c r="E375" i="3"/>
  <c r="F375" i="3" s="1"/>
  <c r="D375" i="3"/>
  <c r="R24" i="3"/>
  <c r="S24" i="3" s="1"/>
  <c r="P24" i="3"/>
  <c r="Q24" i="3" s="1"/>
  <c r="K24" i="3"/>
  <c r="G24" i="3"/>
  <c r="H24" i="3" s="1"/>
  <c r="E24" i="3"/>
  <c r="F24" i="3" s="1"/>
  <c r="D24" i="3"/>
  <c r="H452" i="3"/>
  <c r="I452" i="3" s="1"/>
  <c r="R76" i="3"/>
  <c r="S76" i="3" s="1"/>
  <c r="P76" i="3"/>
  <c r="Q76" i="3" s="1"/>
  <c r="K76" i="3"/>
  <c r="D76" i="3"/>
  <c r="H460" i="3"/>
  <c r="I383" i="3" l="1"/>
  <c r="J383" i="3" s="1"/>
  <c r="T424" i="3"/>
  <c r="U424" i="3" s="1"/>
  <c r="T383" i="3"/>
  <c r="U383" i="3" s="1"/>
  <c r="I24" i="3"/>
  <c r="J24" i="3" s="1"/>
  <c r="T24" i="3"/>
  <c r="U24" i="3" s="1"/>
  <c r="I375" i="3"/>
  <c r="J375" i="3" s="1"/>
  <c r="I424" i="3"/>
  <c r="J424" i="3" s="1"/>
  <c r="T375" i="3"/>
  <c r="U375" i="3" s="1"/>
  <c r="T76" i="3"/>
  <c r="U76" i="3" s="1"/>
  <c r="R196" i="3"/>
  <c r="S196" i="3" s="1"/>
  <c r="P196" i="3"/>
  <c r="Q196" i="3" s="1"/>
  <c r="K196" i="3"/>
  <c r="D196" i="3"/>
  <c r="R443" i="3"/>
  <c r="S443" i="3" s="1"/>
  <c r="P443" i="3"/>
  <c r="Q443" i="3" s="1"/>
  <c r="D443" i="3"/>
  <c r="T443" i="3" l="1"/>
  <c r="U443" i="3" s="1"/>
  <c r="T196" i="3"/>
  <c r="U196" i="3" s="1"/>
  <c r="H293" i="16" l="1"/>
  <c r="H294" i="16"/>
  <c r="H295" i="16"/>
  <c r="H296" i="16"/>
  <c r="G443" i="3" s="1"/>
  <c r="H443" i="3" s="1"/>
  <c r="H297" i="16"/>
  <c r="H298" i="16"/>
  <c r="G196" i="3" s="1"/>
  <c r="H196" i="3" s="1"/>
  <c r="G293" i="16"/>
  <c r="G294" i="16"/>
  <c r="G295" i="16"/>
  <c r="G296" i="16"/>
  <c r="E443" i="3" s="1"/>
  <c r="F443" i="3" s="1"/>
  <c r="G297" i="16"/>
  <c r="G298" i="16"/>
  <c r="E196" i="3" s="1"/>
  <c r="F196" i="3" s="1"/>
  <c r="I196" i="3" l="1"/>
  <c r="J196" i="3" s="1"/>
  <c r="I443" i="3"/>
  <c r="J443" i="3" s="1"/>
  <c r="R325" i="3"/>
  <c r="S325" i="3" s="1"/>
  <c r="P325" i="3"/>
  <c r="Q325" i="3" s="1"/>
  <c r="K325" i="3"/>
  <c r="G325" i="3"/>
  <c r="H325" i="3" s="1"/>
  <c r="E325" i="3"/>
  <c r="F325" i="3" s="1"/>
  <c r="D325" i="3"/>
  <c r="R354" i="3"/>
  <c r="S354" i="3" s="1"/>
  <c r="P354" i="3"/>
  <c r="Q354" i="3" s="1"/>
  <c r="K354" i="3"/>
  <c r="D354" i="3"/>
  <c r="R353" i="3"/>
  <c r="S353" i="3" s="1"/>
  <c r="P353" i="3"/>
  <c r="Q353" i="3" s="1"/>
  <c r="K353" i="3"/>
  <c r="D353" i="3"/>
  <c r="R23" i="3"/>
  <c r="S23" i="3" s="1"/>
  <c r="P23" i="3"/>
  <c r="Q23" i="3" s="1"/>
  <c r="K23" i="3"/>
  <c r="D23" i="3"/>
  <c r="R396" i="3"/>
  <c r="S396" i="3" s="1"/>
  <c r="P396" i="3"/>
  <c r="Q396" i="3" s="1"/>
  <c r="K396" i="3"/>
  <c r="D396" i="3"/>
  <c r="A396" i="3"/>
  <c r="R43" i="3"/>
  <c r="S43" i="3" s="1"/>
  <c r="P43" i="3"/>
  <c r="Q43" i="3" s="1"/>
  <c r="K43" i="3"/>
  <c r="D43" i="3"/>
  <c r="A43" i="3"/>
  <c r="T354" i="3" l="1"/>
  <c r="U354" i="3" s="1"/>
  <c r="T325" i="3"/>
  <c r="U325" i="3" s="1"/>
  <c r="I325" i="3"/>
  <c r="J325" i="3" s="1"/>
  <c r="T353" i="3"/>
  <c r="U353" i="3" s="1"/>
  <c r="T23" i="3"/>
  <c r="U23" i="3" s="1"/>
  <c r="T396" i="3"/>
  <c r="U396" i="3" s="1"/>
  <c r="T43" i="3"/>
  <c r="U43" i="3" s="1"/>
  <c r="H288" i="16" l="1"/>
  <c r="H289" i="16"/>
  <c r="G354" i="3" s="1"/>
  <c r="H354" i="3" s="1"/>
  <c r="H290" i="16"/>
  <c r="H291" i="16"/>
  <c r="H292" i="16"/>
  <c r="G288" i="16"/>
  <c r="G289" i="16"/>
  <c r="E354" i="3" s="1"/>
  <c r="F354" i="3" s="1"/>
  <c r="G290" i="16"/>
  <c r="G291" i="16"/>
  <c r="G292" i="16"/>
  <c r="H283" i="16"/>
  <c r="H284" i="16"/>
  <c r="H285" i="16"/>
  <c r="H286" i="16"/>
  <c r="H287" i="16"/>
  <c r="G353" i="3" s="1"/>
  <c r="H353" i="3" s="1"/>
  <c r="G283" i="16"/>
  <c r="G284" i="16"/>
  <c r="G285" i="16"/>
  <c r="G286" i="16"/>
  <c r="G287" i="16"/>
  <c r="E353" i="3" s="1"/>
  <c r="F353" i="3" s="1"/>
  <c r="I354" i="3" l="1"/>
  <c r="J354" i="3" s="1"/>
  <c r="I353" i="3"/>
  <c r="J353" i="3" s="1"/>
  <c r="R399" i="3"/>
  <c r="S399" i="3" s="1"/>
  <c r="P399" i="3"/>
  <c r="Q399" i="3" s="1"/>
  <c r="K399" i="3"/>
  <c r="D399" i="3"/>
  <c r="R241" i="3"/>
  <c r="S241" i="3" s="1"/>
  <c r="P241" i="3"/>
  <c r="Q241" i="3" s="1"/>
  <c r="K241" i="3"/>
  <c r="D241" i="3"/>
  <c r="R55" i="3"/>
  <c r="S55" i="3" s="1"/>
  <c r="P55" i="3"/>
  <c r="Q55" i="3" s="1"/>
  <c r="K55" i="3"/>
  <c r="D55" i="3"/>
  <c r="R232" i="3"/>
  <c r="S232" i="3" s="1"/>
  <c r="P232" i="3"/>
  <c r="Q232" i="3" s="1"/>
  <c r="K232" i="3"/>
  <c r="G232" i="3"/>
  <c r="H232" i="3" s="1"/>
  <c r="E232" i="3"/>
  <c r="F232" i="3" s="1"/>
  <c r="D232" i="3"/>
  <c r="D445" i="3"/>
  <c r="D442" i="3"/>
  <c r="D416" i="3"/>
  <c r="D417" i="3"/>
  <c r="D419" i="3"/>
  <c r="D420" i="3"/>
  <c r="D421" i="3"/>
  <c r="D432" i="3"/>
  <c r="D390" i="3"/>
  <c r="D391" i="3"/>
  <c r="D392" i="3"/>
  <c r="D404" i="3"/>
  <c r="D378" i="3"/>
  <c r="D379" i="3"/>
  <c r="D351" i="3"/>
  <c r="D352" i="3"/>
  <c r="D356" i="3"/>
  <c r="D358" i="3"/>
  <c r="D339" i="3"/>
  <c r="D314" i="3"/>
  <c r="D319" i="3"/>
  <c r="D323" i="3"/>
  <c r="D324" i="3"/>
  <c r="D327" i="3"/>
  <c r="D330" i="3"/>
  <c r="D285" i="3"/>
  <c r="D286" i="3"/>
  <c r="D287" i="3"/>
  <c r="D288" i="3"/>
  <c r="D289" i="3"/>
  <c r="D290" i="3"/>
  <c r="D291" i="3"/>
  <c r="D292" i="3"/>
  <c r="D293" i="3"/>
  <c r="D261" i="3"/>
  <c r="D230" i="3"/>
  <c r="D245" i="3"/>
  <c r="D248" i="3"/>
  <c r="D250" i="3"/>
  <c r="D251" i="3"/>
  <c r="D252" i="3"/>
  <c r="D214" i="3"/>
  <c r="D218" i="3"/>
  <c r="D178" i="3"/>
  <c r="D180" i="3"/>
  <c r="D184" i="3"/>
  <c r="D188" i="3"/>
  <c r="D189" i="3"/>
  <c r="D197" i="3"/>
  <c r="D139" i="3"/>
  <c r="D140" i="3"/>
  <c r="D49" i="3"/>
  <c r="D54" i="3"/>
  <c r="D56" i="3"/>
  <c r="D63" i="3"/>
  <c r="D64" i="3"/>
  <c r="D65" i="3"/>
  <c r="D66" i="3"/>
  <c r="D67" i="3"/>
  <c r="D69" i="3"/>
  <c r="D74" i="3"/>
  <c r="D75" i="3"/>
  <c r="D15" i="3"/>
  <c r="D25" i="3"/>
  <c r="D34" i="3"/>
  <c r="D35" i="3"/>
  <c r="R189" i="3"/>
  <c r="S189" i="3" s="1"/>
  <c r="P189" i="3"/>
  <c r="Q189" i="3" s="1"/>
  <c r="K189" i="3"/>
  <c r="R404" i="3"/>
  <c r="S404" i="3" s="1"/>
  <c r="P404" i="3"/>
  <c r="Q404" i="3" s="1"/>
  <c r="K404" i="3"/>
  <c r="R352" i="3"/>
  <c r="S352" i="3" s="1"/>
  <c r="P352" i="3"/>
  <c r="Q352" i="3" s="1"/>
  <c r="K352" i="3"/>
  <c r="T399" i="3" l="1"/>
  <c r="U399" i="3" s="1"/>
  <c r="T241" i="3"/>
  <c r="U241" i="3" s="1"/>
  <c r="T232" i="3"/>
  <c r="U232" i="3" s="1"/>
  <c r="T55" i="3"/>
  <c r="U55" i="3" s="1"/>
  <c r="I232" i="3"/>
  <c r="J232" i="3" s="1"/>
  <c r="T352" i="3"/>
  <c r="U352" i="3" s="1"/>
  <c r="T189" i="3"/>
  <c r="U189" i="3" s="1"/>
  <c r="T404" i="3"/>
  <c r="U404" i="3" s="1"/>
  <c r="H275" i="16" l="1"/>
  <c r="H276" i="16"/>
  <c r="H277" i="16"/>
  <c r="H278" i="16"/>
  <c r="H279" i="16"/>
  <c r="H280" i="16"/>
  <c r="H281" i="16"/>
  <c r="H282" i="16"/>
  <c r="G23" i="3" s="1"/>
  <c r="H23" i="3" s="1"/>
  <c r="G275" i="16"/>
  <c r="G276" i="16"/>
  <c r="G277" i="16"/>
  <c r="G278" i="16"/>
  <c r="G279" i="16"/>
  <c r="G280" i="16"/>
  <c r="G281" i="16"/>
  <c r="G282" i="16"/>
  <c r="E23" i="3" s="1"/>
  <c r="F23" i="3" s="1"/>
  <c r="I23" i="3" l="1"/>
  <c r="J23" i="3" s="1"/>
  <c r="E189" i="3"/>
  <c r="F189" i="3" s="1"/>
  <c r="E241" i="3"/>
  <c r="F241" i="3" s="1"/>
  <c r="G189" i="3"/>
  <c r="H189" i="3" s="1"/>
  <c r="G241" i="3"/>
  <c r="H241" i="3" s="1"/>
  <c r="R178" i="3"/>
  <c r="S178" i="3" s="1"/>
  <c r="P178" i="3"/>
  <c r="Q178" i="3" s="1"/>
  <c r="K178" i="3"/>
  <c r="G178" i="3"/>
  <c r="H178" i="3" s="1"/>
  <c r="E178" i="3"/>
  <c r="F178" i="3" s="1"/>
  <c r="R421" i="3"/>
  <c r="S421" i="3" s="1"/>
  <c r="P421" i="3"/>
  <c r="Q421" i="3" s="1"/>
  <c r="K421" i="3"/>
  <c r="G421" i="3"/>
  <c r="H421" i="3" s="1"/>
  <c r="E421" i="3"/>
  <c r="F421" i="3" s="1"/>
  <c r="R330" i="3"/>
  <c r="S330" i="3" s="1"/>
  <c r="P330" i="3"/>
  <c r="Q330" i="3" s="1"/>
  <c r="K330" i="3"/>
  <c r="G330" i="3"/>
  <c r="H330" i="3" s="1"/>
  <c r="E330" i="3"/>
  <c r="F330" i="3" s="1"/>
  <c r="R67" i="3"/>
  <c r="S67" i="3" s="1"/>
  <c r="P67" i="3"/>
  <c r="Q67" i="3" s="1"/>
  <c r="K67" i="3"/>
  <c r="R65" i="3"/>
  <c r="S65" i="3" s="1"/>
  <c r="P65" i="3"/>
  <c r="Q65" i="3" s="1"/>
  <c r="K65" i="3"/>
  <c r="H268" i="16"/>
  <c r="H269" i="16"/>
  <c r="H270" i="16"/>
  <c r="H271" i="16"/>
  <c r="H272" i="16"/>
  <c r="G35" i="3" s="1"/>
  <c r="H35" i="3" s="1"/>
  <c r="H273" i="16"/>
  <c r="G64" i="3" s="1"/>
  <c r="H64" i="3" s="1"/>
  <c r="H274" i="16"/>
  <c r="G339" i="3" s="1"/>
  <c r="H339" i="3" s="1"/>
  <c r="R35" i="3"/>
  <c r="S35" i="3" s="1"/>
  <c r="P35" i="3"/>
  <c r="Q35" i="3" s="1"/>
  <c r="K35" i="3"/>
  <c r="R261" i="3"/>
  <c r="S261" i="3" s="1"/>
  <c r="P261" i="3"/>
  <c r="Q261" i="3" s="1"/>
  <c r="K261" i="3"/>
  <c r="R54" i="3"/>
  <c r="S54" i="3" s="1"/>
  <c r="P54" i="3"/>
  <c r="Q54" i="3" s="1"/>
  <c r="K54" i="3"/>
  <c r="G268" i="16"/>
  <c r="G269" i="16"/>
  <c r="G270" i="16"/>
  <c r="G271" i="16"/>
  <c r="E67" i="3" s="1"/>
  <c r="F67" i="3" s="1"/>
  <c r="G272" i="16"/>
  <c r="E35" i="3" s="1"/>
  <c r="F35" i="3" s="1"/>
  <c r="G273" i="16"/>
  <c r="E64" i="3" s="1"/>
  <c r="F64" i="3" s="1"/>
  <c r="G274" i="16"/>
  <c r="E339" i="3" s="1"/>
  <c r="F339" i="3" s="1"/>
  <c r="R25" i="3"/>
  <c r="S25" i="3" s="1"/>
  <c r="P25" i="3"/>
  <c r="Q25" i="3" s="1"/>
  <c r="K25" i="3"/>
  <c r="R66" i="3"/>
  <c r="S66" i="3" s="1"/>
  <c r="P66" i="3"/>
  <c r="Q66" i="3" s="1"/>
  <c r="K66" i="3"/>
  <c r="R64" i="3"/>
  <c r="S64" i="3" s="1"/>
  <c r="P64" i="3"/>
  <c r="Q64" i="3" s="1"/>
  <c r="K64" i="3"/>
  <c r="R339" i="3"/>
  <c r="S339" i="3" s="1"/>
  <c r="P339" i="3"/>
  <c r="Q339" i="3" s="1"/>
  <c r="K339" i="3"/>
  <c r="H261" i="16"/>
  <c r="H262" i="16"/>
  <c r="H263" i="16"/>
  <c r="H264" i="16"/>
  <c r="H265" i="16"/>
  <c r="H266" i="16"/>
  <c r="H267" i="16"/>
  <c r="G404" i="3" s="1"/>
  <c r="H404" i="3" s="1"/>
  <c r="G261" i="16"/>
  <c r="G262" i="16"/>
  <c r="G263" i="16"/>
  <c r="G264" i="16"/>
  <c r="G265" i="16"/>
  <c r="G266" i="16"/>
  <c r="G267" i="16"/>
  <c r="G63" i="3" l="1"/>
  <c r="E65" i="3"/>
  <c r="F65" i="3" s="1"/>
  <c r="I189" i="3"/>
  <c r="J189" i="3" s="1"/>
  <c r="G67" i="3"/>
  <c r="H67" i="3" s="1"/>
  <c r="I67" i="3" s="1"/>
  <c r="J67" i="3" s="1"/>
  <c r="G65" i="3"/>
  <c r="H65" i="3" s="1"/>
  <c r="E404" i="3"/>
  <c r="F404" i="3" s="1"/>
  <c r="I404" i="3" s="1"/>
  <c r="J404" i="3" s="1"/>
  <c r="I241" i="3"/>
  <c r="J241" i="3" s="1"/>
  <c r="E66" i="3"/>
  <c r="F66" i="3" s="1"/>
  <c r="G261" i="3"/>
  <c r="H261" i="3" s="1"/>
  <c r="G66" i="3"/>
  <c r="H66" i="3" s="1"/>
  <c r="E261" i="3"/>
  <c r="F261" i="3" s="1"/>
  <c r="T421" i="3"/>
  <c r="U421" i="3" s="1"/>
  <c r="I421" i="3"/>
  <c r="J421" i="3" s="1"/>
  <c r="T178" i="3"/>
  <c r="U178" i="3" s="1"/>
  <c r="I178" i="3"/>
  <c r="J178" i="3" s="1"/>
  <c r="T330" i="3"/>
  <c r="U330" i="3" s="1"/>
  <c r="I330" i="3"/>
  <c r="J330" i="3" s="1"/>
  <c r="T67" i="3"/>
  <c r="U67" i="3" s="1"/>
  <c r="T261" i="3"/>
  <c r="U261" i="3" s="1"/>
  <c r="T65" i="3"/>
  <c r="U65" i="3" s="1"/>
  <c r="T35" i="3"/>
  <c r="U35" i="3" s="1"/>
  <c r="I35" i="3"/>
  <c r="J35" i="3" s="1"/>
  <c r="T54" i="3"/>
  <c r="U54" i="3" s="1"/>
  <c r="T64" i="3"/>
  <c r="U64" i="3" s="1"/>
  <c r="I64" i="3"/>
  <c r="J64" i="3" s="1"/>
  <c r="T25" i="3"/>
  <c r="U25" i="3" s="1"/>
  <c r="T66" i="3"/>
  <c r="U66" i="3" s="1"/>
  <c r="I339" i="3"/>
  <c r="J339" i="3" s="1"/>
  <c r="T339" i="3"/>
  <c r="U339" i="3" s="1"/>
  <c r="R245" i="3"/>
  <c r="S245" i="3" s="1"/>
  <c r="P245" i="3"/>
  <c r="Q245" i="3" s="1"/>
  <c r="K245" i="3"/>
  <c r="R250" i="3"/>
  <c r="S250" i="3" s="1"/>
  <c r="P250" i="3"/>
  <c r="Q250" i="3" s="1"/>
  <c r="K250" i="3"/>
  <c r="G250" i="3"/>
  <c r="H250" i="3" s="1"/>
  <c r="E250" i="3"/>
  <c r="F250" i="3" s="1"/>
  <c r="A245" i="3"/>
  <c r="R323" i="3"/>
  <c r="S323" i="3" s="1"/>
  <c r="P323" i="3"/>
  <c r="Q323" i="3" s="1"/>
  <c r="K323" i="3"/>
  <c r="R324" i="3"/>
  <c r="S324" i="3" s="1"/>
  <c r="P324" i="3"/>
  <c r="Q324" i="3" s="1"/>
  <c r="K324" i="3"/>
  <c r="G324" i="3"/>
  <c r="H324" i="3" s="1"/>
  <c r="E324" i="3"/>
  <c r="F324" i="3" s="1"/>
  <c r="R420" i="3"/>
  <c r="S420" i="3" s="1"/>
  <c r="P420" i="3"/>
  <c r="Q420" i="3" s="1"/>
  <c r="K420" i="3"/>
  <c r="G420" i="3"/>
  <c r="H420" i="3" s="1"/>
  <c r="E420" i="3"/>
  <c r="F420" i="3" s="1"/>
  <c r="I65" i="3" l="1"/>
  <c r="J65" i="3" s="1"/>
  <c r="I66" i="3"/>
  <c r="J66" i="3" s="1"/>
  <c r="I261" i="3"/>
  <c r="J261" i="3" s="1"/>
  <c r="T245" i="3"/>
  <c r="U245" i="3" s="1"/>
  <c r="T420" i="3"/>
  <c r="U420" i="3" s="1"/>
  <c r="I250" i="3"/>
  <c r="J250" i="3" s="1"/>
  <c r="T324" i="3"/>
  <c r="U324" i="3" s="1"/>
  <c r="T250" i="3"/>
  <c r="U250" i="3" s="1"/>
  <c r="T323" i="3"/>
  <c r="U323" i="3" s="1"/>
  <c r="I324" i="3"/>
  <c r="J324" i="3" s="1"/>
  <c r="I420" i="3"/>
  <c r="J420" i="3" s="1"/>
  <c r="H257" i="16"/>
  <c r="H258" i="16"/>
  <c r="H259" i="16"/>
  <c r="H260" i="16"/>
  <c r="G323" i="3" l="1"/>
  <c r="H323" i="3" s="1"/>
  <c r="R327" i="3"/>
  <c r="S327" i="3" s="1"/>
  <c r="P327" i="3"/>
  <c r="Q327" i="3" s="1"/>
  <c r="K327" i="3"/>
  <c r="T327" i="3" l="1"/>
  <c r="U327" i="3" s="1"/>
  <c r="G257" i="16"/>
  <c r="G258" i="16"/>
  <c r="G259" i="16"/>
  <c r="G260" i="16"/>
  <c r="R34" i="3"/>
  <c r="S34" i="3" s="1"/>
  <c r="P34" i="3"/>
  <c r="Q34" i="3" s="1"/>
  <c r="K34" i="3"/>
  <c r="G34" i="3"/>
  <c r="H34" i="3" s="1"/>
  <c r="E34" i="3"/>
  <c r="F34" i="3" s="1"/>
  <c r="I470" i="3"/>
  <c r="F470" i="3"/>
  <c r="E323" i="3" l="1"/>
  <c r="F323" i="3" s="1"/>
  <c r="I323" i="3" s="1"/>
  <c r="J323" i="3" s="1"/>
  <c r="T34" i="3"/>
  <c r="U34" i="3" s="1"/>
  <c r="I34" i="3"/>
  <c r="J34" i="3" s="1"/>
  <c r="T144" i="3"/>
  <c r="U144" i="3" s="1"/>
  <c r="T99" i="3"/>
  <c r="U99" i="3" s="1"/>
  <c r="K197" i="3"/>
  <c r="P197" i="3"/>
  <c r="Q197" i="3" s="1"/>
  <c r="R197" i="3"/>
  <c r="S197" i="3" s="1"/>
  <c r="K56" i="3"/>
  <c r="P56" i="3"/>
  <c r="Q56" i="3" s="1"/>
  <c r="R56" i="3"/>
  <c r="S56" i="3" s="1"/>
  <c r="K188" i="3"/>
  <c r="P188" i="3"/>
  <c r="Q188" i="3" s="1"/>
  <c r="R188" i="3"/>
  <c r="S188" i="3" s="1"/>
  <c r="K251" i="3"/>
  <c r="P251" i="3"/>
  <c r="Q251" i="3" s="1"/>
  <c r="R251" i="3"/>
  <c r="S251" i="3" s="1"/>
  <c r="K252" i="3"/>
  <c r="P252" i="3"/>
  <c r="Q252" i="3" s="1"/>
  <c r="R252" i="3"/>
  <c r="S252" i="3" s="1"/>
  <c r="K356" i="3"/>
  <c r="P356" i="3"/>
  <c r="Q356" i="3" s="1"/>
  <c r="R356" i="3"/>
  <c r="S356" i="3" s="1"/>
  <c r="G251" i="16"/>
  <c r="H251" i="16"/>
  <c r="G252" i="16"/>
  <c r="H252" i="16"/>
  <c r="G253" i="16"/>
  <c r="H253" i="16"/>
  <c r="G254" i="16"/>
  <c r="E188" i="3" s="1"/>
  <c r="F188" i="3" s="1"/>
  <c r="H254" i="16"/>
  <c r="G188" i="3" s="1"/>
  <c r="H188" i="3" s="1"/>
  <c r="G255" i="16"/>
  <c r="E352" i="3" s="1"/>
  <c r="F352" i="3" s="1"/>
  <c r="H255" i="16"/>
  <c r="G352" i="3" s="1"/>
  <c r="H352" i="3" s="1"/>
  <c r="G256" i="16"/>
  <c r="E197" i="3" s="1"/>
  <c r="F197" i="3" s="1"/>
  <c r="H256" i="16"/>
  <c r="G197" i="3" s="1"/>
  <c r="H197" i="3" s="1"/>
  <c r="D312" i="16"/>
  <c r="H3" i="16"/>
  <c r="R445" i="3"/>
  <c r="S445" i="3" s="1"/>
  <c r="P445" i="3"/>
  <c r="Q445" i="3" s="1"/>
  <c r="R442" i="3"/>
  <c r="S442" i="3" s="1"/>
  <c r="P442" i="3"/>
  <c r="Q442" i="3" s="1"/>
  <c r="P416" i="3"/>
  <c r="Q416" i="3" s="1"/>
  <c r="R416" i="3"/>
  <c r="S416" i="3" s="1"/>
  <c r="P417" i="3"/>
  <c r="Q417" i="3" s="1"/>
  <c r="R417" i="3"/>
  <c r="S417" i="3" s="1"/>
  <c r="P419" i="3"/>
  <c r="Q419" i="3" s="1"/>
  <c r="R419" i="3"/>
  <c r="S419" i="3" s="1"/>
  <c r="P432" i="3"/>
  <c r="Q432" i="3" s="1"/>
  <c r="R432" i="3"/>
  <c r="S432" i="3" s="1"/>
  <c r="P390" i="3"/>
  <c r="Q390" i="3" s="1"/>
  <c r="R390" i="3"/>
  <c r="S390" i="3" s="1"/>
  <c r="P391" i="3"/>
  <c r="Q391" i="3" s="1"/>
  <c r="R391" i="3"/>
  <c r="S391" i="3" s="1"/>
  <c r="P392" i="3"/>
  <c r="Q392" i="3" s="1"/>
  <c r="R392" i="3"/>
  <c r="S392" i="3" s="1"/>
  <c r="R379" i="3"/>
  <c r="S379" i="3" s="1"/>
  <c r="P379" i="3"/>
  <c r="Q379" i="3" s="1"/>
  <c r="R378" i="3"/>
  <c r="S378" i="3" s="1"/>
  <c r="P378" i="3"/>
  <c r="Q378" i="3" s="1"/>
  <c r="R358" i="3"/>
  <c r="S358" i="3" s="1"/>
  <c r="P358" i="3"/>
  <c r="Q358" i="3" s="1"/>
  <c r="R351" i="3"/>
  <c r="S351" i="3" s="1"/>
  <c r="P351" i="3"/>
  <c r="Q351" i="3" s="1"/>
  <c r="P285" i="3"/>
  <c r="Q285" i="3" s="1"/>
  <c r="R285" i="3"/>
  <c r="S285" i="3" s="1"/>
  <c r="P286" i="3"/>
  <c r="Q286" i="3" s="1"/>
  <c r="R286" i="3"/>
  <c r="S286" i="3" s="1"/>
  <c r="P287" i="3"/>
  <c r="Q287" i="3" s="1"/>
  <c r="R287" i="3"/>
  <c r="S287" i="3" s="1"/>
  <c r="P288" i="3"/>
  <c r="Q288" i="3" s="1"/>
  <c r="R288" i="3"/>
  <c r="S288" i="3" s="1"/>
  <c r="P289" i="3"/>
  <c r="Q289" i="3" s="1"/>
  <c r="R289" i="3"/>
  <c r="S289" i="3" s="1"/>
  <c r="P290" i="3"/>
  <c r="Q290" i="3" s="1"/>
  <c r="R290" i="3"/>
  <c r="S290" i="3" s="1"/>
  <c r="P291" i="3"/>
  <c r="Q291" i="3" s="1"/>
  <c r="R291" i="3"/>
  <c r="S291" i="3" s="1"/>
  <c r="P292" i="3"/>
  <c r="Q292" i="3" s="1"/>
  <c r="R292" i="3"/>
  <c r="S292" i="3" s="1"/>
  <c r="P293" i="3"/>
  <c r="Q293" i="3" s="1"/>
  <c r="R293" i="3"/>
  <c r="S293" i="3" s="1"/>
  <c r="P314" i="3"/>
  <c r="Q314" i="3" s="1"/>
  <c r="R314" i="3"/>
  <c r="S314" i="3" s="1"/>
  <c r="P319" i="3"/>
  <c r="Q319" i="3" s="1"/>
  <c r="R319" i="3"/>
  <c r="S319" i="3" s="1"/>
  <c r="P230" i="3"/>
  <c r="Q230" i="3" s="1"/>
  <c r="R230" i="3"/>
  <c r="S230" i="3" s="1"/>
  <c r="P248" i="3"/>
  <c r="Q248" i="3" s="1"/>
  <c r="R248" i="3"/>
  <c r="S248" i="3" s="1"/>
  <c r="P214" i="3"/>
  <c r="Q214" i="3" s="1"/>
  <c r="R214" i="3"/>
  <c r="S214" i="3" s="1"/>
  <c r="P218" i="3"/>
  <c r="Q218" i="3" s="1"/>
  <c r="R218" i="3"/>
  <c r="S218" i="3" s="1"/>
  <c r="P180" i="3"/>
  <c r="Q180" i="3" s="1"/>
  <c r="R180" i="3"/>
  <c r="S180" i="3" s="1"/>
  <c r="P184" i="3"/>
  <c r="Q184" i="3" s="1"/>
  <c r="R184" i="3"/>
  <c r="S184" i="3" s="1"/>
  <c r="P139" i="3"/>
  <c r="Q139" i="3" s="1"/>
  <c r="R139" i="3"/>
  <c r="S139" i="3" s="1"/>
  <c r="P140" i="3"/>
  <c r="Q140" i="3" s="1"/>
  <c r="R140" i="3"/>
  <c r="S140" i="3" s="1"/>
  <c r="P49" i="3"/>
  <c r="Q49" i="3" s="1"/>
  <c r="R49" i="3"/>
  <c r="S49" i="3" s="1"/>
  <c r="P63" i="3"/>
  <c r="Q63" i="3" s="1"/>
  <c r="R63" i="3"/>
  <c r="S63" i="3" s="1"/>
  <c r="P69" i="3"/>
  <c r="Q69" i="3" s="1"/>
  <c r="R69" i="3"/>
  <c r="S69" i="3" s="1"/>
  <c r="P74" i="3"/>
  <c r="Q74" i="3" s="1"/>
  <c r="R74" i="3"/>
  <c r="S74" i="3" s="1"/>
  <c r="P75" i="3"/>
  <c r="Q75" i="3" s="1"/>
  <c r="R75" i="3"/>
  <c r="S75" i="3" s="1"/>
  <c r="P15" i="3"/>
  <c r="Q15" i="3" s="1"/>
  <c r="R15" i="3"/>
  <c r="S15" i="3" s="1"/>
  <c r="I352" i="3" l="1"/>
  <c r="J352" i="3" s="1"/>
  <c r="T442" i="3"/>
  <c r="U442" i="3" s="1"/>
  <c r="T378" i="3"/>
  <c r="U378" i="3" s="1"/>
  <c r="T379" i="3"/>
  <c r="U379" i="3" s="1"/>
  <c r="T445" i="3"/>
  <c r="U445" i="3" s="1"/>
  <c r="T230" i="3"/>
  <c r="U230" i="3" s="1"/>
  <c r="E56" i="3"/>
  <c r="F56" i="3" s="1"/>
  <c r="E327" i="3"/>
  <c r="F327" i="3" s="1"/>
  <c r="T252" i="3"/>
  <c r="U252" i="3" s="1"/>
  <c r="T197" i="3"/>
  <c r="U197" i="3" s="1"/>
  <c r="T74" i="3"/>
  <c r="U74" i="3" s="1"/>
  <c r="T289" i="3"/>
  <c r="U289" i="3" s="1"/>
  <c r="T319" i="3"/>
  <c r="U319" i="3" s="1"/>
  <c r="E251" i="3"/>
  <c r="F251" i="3" s="1"/>
  <c r="T184" i="3"/>
  <c r="U184" i="3" s="1"/>
  <c r="G56" i="3"/>
  <c r="H56" i="3" s="1"/>
  <c r="G327" i="3"/>
  <c r="H327" i="3" s="1"/>
  <c r="G251" i="3"/>
  <c r="H251" i="3" s="1"/>
  <c r="T290" i="3"/>
  <c r="U290" i="3" s="1"/>
  <c r="T56" i="3"/>
  <c r="U56" i="3" s="1"/>
  <c r="T69" i="3"/>
  <c r="U69" i="3" s="1"/>
  <c r="T288" i="3"/>
  <c r="U288" i="3" s="1"/>
  <c r="T180" i="3"/>
  <c r="U180" i="3" s="1"/>
  <c r="T314" i="3"/>
  <c r="U314" i="3" s="1"/>
  <c r="T356" i="3"/>
  <c r="U356" i="3" s="1"/>
  <c r="T63" i="3"/>
  <c r="U63" i="3" s="1"/>
  <c r="T218" i="3"/>
  <c r="U218" i="3" s="1"/>
  <c r="T293" i="3"/>
  <c r="U293" i="3" s="1"/>
  <c r="T287" i="3"/>
  <c r="U287" i="3" s="1"/>
  <c r="T292" i="3"/>
  <c r="U292" i="3" s="1"/>
  <c r="T286" i="3"/>
  <c r="U286" i="3" s="1"/>
  <c r="T15" i="3"/>
  <c r="U15" i="3" s="1"/>
  <c r="T140" i="3"/>
  <c r="U140" i="3" s="1"/>
  <c r="T248" i="3"/>
  <c r="U248" i="3" s="1"/>
  <c r="T291" i="3"/>
  <c r="U291" i="3" s="1"/>
  <c r="T285" i="3"/>
  <c r="U285" i="3" s="1"/>
  <c r="T251" i="3"/>
  <c r="U251" i="3" s="1"/>
  <c r="T214" i="3"/>
  <c r="U214" i="3" s="1"/>
  <c r="T351" i="3"/>
  <c r="U351" i="3" s="1"/>
  <c r="T49" i="3"/>
  <c r="U49" i="3" s="1"/>
  <c r="T75" i="3"/>
  <c r="U75" i="3" s="1"/>
  <c r="T139" i="3"/>
  <c r="U139" i="3" s="1"/>
  <c r="T358" i="3"/>
  <c r="U358" i="3" s="1"/>
  <c r="T188" i="3"/>
  <c r="U188" i="3" s="1"/>
  <c r="T392" i="3"/>
  <c r="U392" i="3" s="1"/>
  <c r="T391" i="3"/>
  <c r="U391" i="3" s="1"/>
  <c r="T390" i="3"/>
  <c r="U390" i="3" s="1"/>
  <c r="T432" i="3"/>
  <c r="U432" i="3" s="1"/>
  <c r="T419" i="3"/>
  <c r="U419" i="3" s="1"/>
  <c r="T417" i="3"/>
  <c r="U417" i="3" s="1"/>
  <c r="T416" i="3"/>
  <c r="U416" i="3" s="1"/>
  <c r="I197" i="3"/>
  <c r="J197" i="3" s="1"/>
  <c r="I188" i="3"/>
  <c r="J188" i="3" s="1"/>
  <c r="E63" i="3"/>
  <c r="F63" i="3" s="1"/>
  <c r="H63" i="3"/>
  <c r="K63" i="3"/>
  <c r="H246" i="16"/>
  <c r="G245" i="3" s="1"/>
  <c r="H245" i="3" s="1"/>
  <c r="H247" i="16"/>
  <c r="H248" i="16"/>
  <c r="H249" i="16"/>
  <c r="G392" i="3" s="1"/>
  <c r="H392" i="3" s="1"/>
  <c r="H250" i="16"/>
  <c r="G252" i="3" s="1"/>
  <c r="H252" i="3" s="1"/>
  <c r="G249" i="16"/>
  <c r="G250" i="16"/>
  <c r="E252" i="3" s="1"/>
  <c r="F252" i="3" s="1"/>
  <c r="K69" i="3"/>
  <c r="K392" i="3"/>
  <c r="G230" i="3"/>
  <c r="G442" i="3"/>
  <c r="G433" i="3"/>
  <c r="G409" i="3"/>
  <c r="G386" i="3"/>
  <c r="G362" i="3"/>
  <c r="G363" i="3"/>
  <c r="G335" i="3"/>
  <c r="G248" i="3"/>
  <c r="G144" i="3"/>
  <c r="G99" i="3"/>
  <c r="C312" i="16"/>
  <c r="G246" i="16"/>
  <c r="E245" i="3" s="1"/>
  <c r="F245" i="3" s="1"/>
  <c r="G247" i="16"/>
  <c r="G248" i="16"/>
  <c r="E396" i="3" s="1"/>
  <c r="F396" i="3" s="1"/>
  <c r="K379" i="3"/>
  <c r="G396" i="3" l="1"/>
  <c r="H396" i="3" s="1"/>
  <c r="I396" i="3" s="1"/>
  <c r="J396" i="3" s="1"/>
  <c r="I245" i="3"/>
  <c r="J245" i="3" s="1"/>
  <c r="I56" i="3"/>
  <c r="J56" i="3" s="1"/>
  <c r="I251" i="3"/>
  <c r="J251" i="3" s="1"/>
  <c r="E392" i="3"/>
  <c r="F392" i="3" s="1"/>
  <c r="I392" i="3" s="1"/>
  <c r="J392" i="3" s="1"/>
  <c r="I327" i="3"/>
  <c r="J327" i="3" s="1"/>
  <c r="I252" i="3"/>
  <c r="J252" i="3" s="1"/>
  <c r="I63" i="3"/>
  <c r="J63" i="3" s="1"/>
  <c r="E199" i="17" l="1"/>
  <c r="M477" i="3"/>
  <c r="K248" i="3" l="1"/>
  <c r="K230" i="3"/>
  <c r="K358" i="3"/>
  <c r="K351" i="3"/>
  <c r="A351" i="3"/>
  <c r="K75" i="3"/>
  <c r="A75" i="3"/>
  <c r="K180" i="3"/>
  <c r="A180" i="3"/>
  <c r="K319" i="3"/>
  <c r="A319" i="3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G399" i="3" s="1"/>
  <c r="H399" i="3" s="1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G3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E230" i="3" s="1"/>
  <c r="F230" i="3" s="1"/>
  <c r="G245" i="16"/>
  <c r="E248" i="3" s="1"/>
  <c r="F248" i="3" s="1"/>
  <c r="A140" i="3"/>
  <c r="E15" i="3"/>
  <c r="F15" i="3" s="1"/>
  <c r="A74" i="3"/>
  <c r="A378" i="3"/>
  <c r="A416" i="3"/>
  <c r="A285" i="3"/>
  <c r="A286" i="3"/>
  <c r="A287" i="3"/>
  <c r="A288" i="3"/>
  <c r="A289" i="3"/>
  <c r="A290" i="3"/>
  <c r="A291" i="3"/>
  <c r="A292" i="3"/>
  <c r="A293" i="3"/>
  <c r="K432" i="3"/>
  <c r="K433" i="3"/>
  <c r="K409" i="3"/>
  <c r="K386" i="3"/>
  <c r="K362" i="3"/>
  <c r="K363" i="3"/>
  <c r="K335" i="3"/>
  <c r="K218" i="3"/>
  <c r="K184" i="3"/>
  <c r="K106" i="3"/>
  <c r="A391" i="3"/>
  <c r="A390" i="3"/>
  <c r="A419" i="3"/>
  <c r="G43" i="3" l="1"/>
  <c r="H43" i="3" s="1"/>
  <c r="G55" i="3"/>
  <c r="H55" i="3" s="1"/>
  <c r="G218" i="3"/>
  <c r="G76" i="3"/>
  <c r="H76" i="3" s="1"/>
  <c r="E55" i="3"/>
  <c r="F55" i="3" s="1"/>
  <c r="G25" i="3"/>
  <c r="H25" i="3" s="1"/>
  <c r="E74" i="3"/>
  <c r="F74" i="3" s="1"/>
  <c r="E399" i="3"/>
  <c r="F399" i="3" s="1"/>
  <c r="I399" i="3" s="1"/>
  <c r="J399" i="3" s="1"/>
  <c r="E289" i="3"/>
  <c r="F289" i="3" s="1"/>
  <c r="G54" i="3"/>
  <c r="H54" i="3" s="1"/>
  <c r="E290" i="3"/>
  <c r="F290" i="3" s="1"/>
  <c r="E288" i="3"/>
  <c r="F288" i="3" s="1"/>
  <c r="E54" i="3"/>
  <c r="F54" i="3" s="1"/>
  <c r="G356" i="3"/>
  <c r="H356" i="3" s="1"/>
  <c r="G139" i="3"/>
  <c r="E390" i="3"/>
  <c r="F390" i="3" s="1"/>
  <c r="E419" i="3"/>
  <c r="F419" i="3" s="1"/>
  <c r="G69" i="3"/>
  <c r="H69" i="3" s="1"/>
  <c r="G314" i="3"/>
  <c r="G184" i="3"/>
  <c r="E69" i="3"/>
  <c r="F69" i="3" s="1"/>
  <c r="H312" i="16"/>
  <c r="G432" i="3"/>
  <c r="G445" i="3"/>
  <c r="E285" i="3"/>
  <c r="F285" i="3" s="1"/>
  <c r="E379" i="3"/>
  <c r="F379" i="3" s="1"/>
  <c r="G391" i="3"/>
  <c r="H391" i="3" s="1"/>
  <c r="G351" i="3"/>
  <c r="H351" i="3" s="1"/>
  <c r="G292" i="3"/>
  <c r="H292" i="3" s="1"/>
  <c r="G293" i="3"/>
  <c r="H293" i="3" s="1"/>
  <c r="G289" i="3"/>
  <c r="H289" i="3" s="1"/>
  <c r="G287" i="3"/>
  <c r="H287" i="3" s="1"/>
  <c r="G390" i="3"/>
  <c r="H390" i="3" s="1"/>
  <c r="G75" i="3"/>
  <c r="H75" i="3" s="1"/>
  <c r="G49" i="3"/>
  <c r="E391" i="3"/>
  <c r="F391" i="3" s="1"/>
  <c r="G15" i="3"/>
  <c r="H15" i="3" s="1"/>
  <c r="I15" i="3" s="1"/>
  <c r="J15" i="3" s="1"/>
  <c r="G214" i="3"/>
  <c r="G416" i="3"/>
  <c r="H416" i="3" s="1"/>
  <c r="G291" i="3"/>
  <c r="H291" i="3" s="1"/>
  <c r="G290" i="3"/>
  <c r="H290" i="3" s="1"/>
  <c r="G288" i="3"/>
  <c r="H288" i="3" s="1"/>
  <c r="G286" i="3"/>
  <c r="H286" i="3" s="1"/>
  <c r="G285" i="3"/>
  <c r="H285" i="3" s="1"/>
  <c r="G419" i="3"/>
  <c r="H419" i="3" s="1"/>
  <c r="G74" i="3"/>
  <c r="H74" i="3" s="1"/>
  <c r="G180" i="3"/>
  <c r="H180" i="3" s="1"/>
  <c r="E417" i="3"/>
  <c r="F417" i="3" s="1"/>
  <c r="H230" i="3"/>
  <c r="I230" i="3" s="1"/>
  <c r="J230" i="3" s="1"/>
  <c r="G417" i="3"/>
  <c r="H417" i="3" s="1"/>
  <c r="G319" i="3"/>
  <c r="H319" i="3" s="1"/>
  <c r="G140" i="3"/>
  <c r="H140" i="3" s="1"/>
  <c r="H248" i="3"/>
  <c r="I248" i="3" s="1"/>
  <c r="J248" i="3" s="1"/>
  <c r="G358" i="3"/>
  <c r="H358" i="3" s="1"/>
  <c r="G378" i="3"/>
  <c r="H378" i="3" s="1"/>
  <c r="G379" i="3"/>
  <c r="H379" i="3" s="1"/>
  <c r="E358" i="3"/>
  <c r="F358" i="3" s="1"/>
  <c r="E378" i="3"/>
  <c r="F378" i="3" s="1"/>
  <c r="E416" i="3"/>
  <c r="F416" i="3" s="1"/>
  <c r="E291" i="3"/>
  <c r="F291" i="3" s="1"/>
  <c r="E286" i="3"/>
  <c r="F286" i="3" s="1"/>
  <c r="E180" i="3"/>
  <c r="F180" i="3" s="1"/>
  <c r="E351" i="3"/>
  <c r="F351" i="3" s="1"/>
  <c r="E292" i="3"/>
  <c r="F292" i="3" s="1"/>
  <c r="E293" i="3"/>
  <c r="F293" i="3" s="1"/>
  <c r="E287" i="3"/>
  <c r="F287" i="3" s="1"/>
  <c r="E75" i="3"/>
  <c r="F75" i="3" s="1"/>
  <c r="I460" i="3"/>
  <c r="K286" i="3"/>
  <c r="K289" i="3"/>
  <c r="K416" i="3"/>
  <c r="K290" i="3"/>
  <c r="K74" i="3"/>
  <c r="K419" i="3"/>
  <c r="K293" i="3"/>
  <c r="K49" i="3"/>
  <c r="K378" i="3"/>
  <c r="K285" i="3"/>
  <c r="K391" i="3"/>
  <c r="K288" i="3"/>
  <c r="K291" i="3"/>
  <c r="K292" i="3"/>
  <c r="K417" i="3"/>
  <c r="K15" i="3"/>
  <c r="K140" i="3"/>
  <c r="K287" i="3"/>
  <c r="K390" i="3"/>
  <c r="K214" i="3"/>
  <c r="K139" i="3"/>
  <c r="K314" i="3"/>
  <c r="I55" i="3" l="1"/>
  <c r="J55" i="3" s="1"/>
  <c r="I288" i="3"/>
  <c r="J288" i="3" s="1"/>
  <c r="I289" i="3"/>
  <c r="J289" i="3" s="1"/>
  <c r="I74" i="3"/>
  <c r="J74" i="3" s="1"/>
  <c r="I290" i="3"/>
  <c r="J290" i="3" s="1"/>
  <c r="I54" i="3"/>
  <c r="J54" i="3" s="1"/>
  <c r="I390" i="3"/>
  <c r="J390" i="3" s="1"/>
  <c r="I69" i="3"/>
  <c r="J69" i="3" s="1"/>
  <c r="I419" i="3"/>
  <c r="J419" i="3" s="1"/>
  <c r="I391" i="3"/>
  <c r="J391" i="3" s="1"/>
  <c r="I379" i="3"/>
  <c r="J379" i="3" s="1"/>
  <c r="I285" i="3"/>
  <c r="J285" i="3" s="1"/>
  <c r="I293" i="3"/>
  <c r="J293" i="3" s="1"/>
  <c r="I292" i="3"/>
  <c r="J292" i="3" s="1"/>
  <c r="I286" i="3"/>
  <c r="J286" i="3" s="1"/>
  <c r="I417" i="3"/>
  <c r="J417" i="3" s="1"/>
  <c r="I416" i="3"/>
  <c r="J416" i="3" s="1"/>
  <c r="I358" i="3"/>
  <c r="J358" i="3" s="1"/>
  <c r="I75" i="3"/>
  <c r="J75" i="3" s="1"/>
  <c r="I378" i="3"/>
  <c r="J378" i="3" s="1"/>
  <c r="I291" i="3"/>
  <c r="J291" i="3" s="1"/>
  <c r="I180" i="3"/>
  <c r="J180" i="3" s="1"/>
  <c r="I351" i="3"/>
  <c r="J351" i="3" s="1"/>
  <c r="I287" i="3"/>
  <c r="J287" i="3" s="1"/>
  <c r="G4" i="16"/>
  <c r="G5" i="16"/>
  <c r="E76" i="3" s="1"/>
  <c r="F76" i="3" s="1"/>
  <c r="I76" i="3" s="1"/>
  <c r="J76" i="3" s="1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E43" i="3" l="1"/>
  <c r="F43" i="3" s="1"/>
  <c r="I43" i="3" s="1"/>
  <c r="J43" i="3" s="1"/>
  <c r="E25" i="3"/>
  <c r="F25" i="3" s="1"/>
  <c r="I25" i="3" s="1"/>
  <c r="J25" i="3" s="1"/>
  <c r="E140" i="3"/>
  <c r="F140" i="3" s="1"/>
  <c r="I140" i="3" s="1"/>
  <c r="J140" i="3" s="1"/>
  <c r="E356" i="3"/>
  <c r="F356" i="3" s="1"/>
  <c r="I356" i="3" s="1"/>
  <c r="J356" i="3" s="1"/>
  <c r="E319" i="3"/>
  <c r="F319" i="3" s="1"/>
  <c r="I319" i="3" s="1"/>
  <c r="J319" i="3" s="1"/>
  <c r="G312" i="16"/>
  <c r="H218" i="3"/>
  <c r="A218" i="3"/>
  <c r="H214" i="3"/>
  <c r="A214" i="3"/>
  <c r="H49" i="3"/>
  <c r="A49" i="3"/>
  <c r="H184" i="3"/>
  <c r="A184" i="3"/>
  <c r="H314" i="3"/>
  <c r="A314" i="3"/>
  <c r="H139" i="3"/>
  <c r="A139" i="3"/>
  <c r="H445" i="3"/>
  <c r="H442" i="3"/>
  <c r="E442" i="3"/>
  <c r="F442" i="3" s="1"/>
  <c r="H432" i="3"/>
  <c r="H409" i="3"/>
  <c r="E409" i="3"/>
  <c r="F409" i="3" s="1"/>
  <c r="H386" i="3"/>
  <c r="E386" i="3"/>
  <c r="F386" i="3" s="1"/>
  <c r="H363" i="3"/>
  <c r="E363" i="3"/>
  <c r="F363" i="3" s="1"/>
  <c r="H362" i="3"/>
  <c r="E362" i="3"/>
  <c r="F362" i="3" s="1"/>
  <c r="E335" i="3"/>
  <c r="F335" i="3" s="1"/>
  <c r="H335" i="3"/>
  <c r="E218" i="3"/>
  <c r="F218" i="3" s="1"/>
  <c r="E432" i="3"/>
  <c r="F432" i="3" s="1"/>
  <c r="E445" i="3"/>
  <c r="F445" i="3" s="1"/>
  <c r="E139" i="3"/>
  <c r="F139" i="3" s="1"/>
  <c r="E314" i="3"/>
  <c r="F314" i="3" s="1"/>
  <c r="E184" i="3"/>
  <c r="F184" i="3" s="1"/>
  <c r="E49" i="3"/>
  <c r="F49" i="3" s="1"/>
  <c r="E214" i="3"/>
  <c r="F214" i="3" s="1"/>
  <c r="E433" i="3"/>
  <c r="I214" i="3" l="1"/>
  <c r="J214" i="3" s="1"/>
  <c r="I218" i="3"/>
  <c r="J218" i="3" s="1"/>
  <c r="I445" i="3"/>
  <c r="I49" i="3"/>
  <c r="J49" i="3" s="1"/>
  <c r="I409" i="3"/>
  <c r="I314" i="3"/>
  <c r="J314" i="3" s="1"/>
  <c r="I184" i="3"/>
  <c r="J184" i="3" s="1"/>
  <c r="I139" i="3"/>
  <c r="J139" i="3" s="1"/>
  <c r="I442" i="3"/>
  <c r="I363" i="3"/>
  <c r="I386" i="3"/>
  <c r="I432" i="3"/>
  <c r="I362" i="3"/>
  <c r="I335" i="3"/>
  <c r="A445" i="3"/>
  <c r="A442" i="3"/>
  <c r="B441" i="3"/>
  <c r="D441" i="3" s="1"/>
  <c r="B402" i="3"/>
  <c r="D402" i="3" s="1"/>
  <c r="B403" i="3"/>
  <c r="D403" i="3" s="1"/>
  <c r="B389" i="3"/>
  <c r="D389" i="3" s="1"/>
  <c r="B236" i="3"/>
  <c r="D236" i="3" s="1"/>
  <c r="B219" i="3"/>
  <c r="D219" i="3" s="1"/>
  <c r="B57" i="3"/>
  <c r="D57" i="3" s="1"/>
  <c r="B82" i="3"/>
  <c r="D82" i="3" s="1"/>
  <c r="B30" i="3"/>
  <c r="D30" i="3" s="1"/>
  <c r="D326" i="11"/>
  <c r="B198" i="3" s="1"/>
  <c r="D198" i="3" s="1"/>
  <c r="D325" i="11"/>
  <c r="B199" i="3" s="1"/>
  <c r="D199" i="3" s="1"/>
  <c r="D324" i="11"/>
  <c r="B385" i="3" s="1"/>
  <c r="D385" i="3" s="1"/>
  <c r="D323" i="11"/>
  <c r="D322" i="11"/>
  <c r="B171" i="3" s="1"/>
  <c r="D171" i="3" s="1"/>
  <c r="D321" i="11"/>
  <c r="B172" i="3" s="1"/>
  <c r="D172" i="3" s="1"/>
  <c r="D320" i="11"/>
  <c r="B39" i="3" s="1"/>
  <c r="D39" i="3" s="1"/>
  <c r="D319" i="11"/>
  <c r="B40" i="3" s="1"/>
  <c r="D40" i="3" s="1"/>
  <c r="D318" i="11"/>
  <c r="B7" i="3" s="1"/>
  <c r="D7" i="3" s="1"/>
  <c r="D317" i="11"/>
  <c r="B8" i="3" s="1"/>
  <c r="D8" i="3" s="1"/>
  <c r="D316" i="11"/>
  <c r="B6" i="3" s="1"/>
  <c r="D6" i="3" s="1"/>
  <c r="D315" i="11"/>
  <c r="B256" i="3" s="1"/>
  <c r="D256" i="3" s="1"/>
  <c r="D314" i="11"/>
  <c r="B444" i="3" s="1"/>
  <c r="D444" i="3" s="1"/>
  <c r="D313" i="11"/>
  <c r="B361" i="3" s="1"/>
  <c r="D361" i="3" s="1"/>
  <c r="D311" i="11"/>
  <c r="B26" i="3" s="1"/>
  <c r="D26" i="3" s="1"/>
  <c r="D310" i="11"/>
  <c r="B27" i="3" s="1"/>
  <c r="D27" i="3" s="1"/>
  <c r="D309" i="11"/>
  <c r="B29" i="3" s="1"/>
  <c r="D29" i="3" s="1"/>
  <c r="D308" i="11"/>
  <c r="D307" i="11"/>
  <c r="B33" i="3" s="1"/>
  <c r="D33" i="3" s="1"/>
  <c r="D306" i="11"/>
  <c r="B32" i="3" s="1"/>
  <c r="D32" i="3" s="1"/>
  <c r="D305" i="11"/>
  <c r="B28" i="3" s="1"/>
  <c r="D28" i="3" s="1"/>
  <c r="D304" i="11"/>
  <c r="B31" i="3" s="1"/>
  <c r="D31" i="3" s="1"/>
  <c r="D303" i="11"/>
  <c r="B194" i="3" s="1"/>
  <c r="D194" i="3" s="1"/>
  <c r="D302" i="11"/>
  <c r="B334" i="3" s="1"/>
  <c r="D334" i="3" s="1"/>
  <c r="D298" i="11"/>
  <c r="B406" i="3" s="1"/>
  <c r="D406" i="3" s="1"/>
  <c r="D297" i="11"/>
  <c r="B408" i="3" s="1"/>
  <c r="D408" i="3" s="1"/>
  <c r="D296" i="11"/>
  <c r="B407" i="3" s="1"/>
  <c r="D407" i="3" s="1"/>
  <c r="D295" i="11"/>
  <c r="B405" i="3" s="1"/>
  <c r="D405" i="3" s="1"/>
  <c r="D293" i="11"/>
  <c r="B79" i="3" s="1"/>
  <c r="D79" i="3" s="1"/>
  <c r="D292" i="11"/>
  <c r="B80" i="3" s="1"/>
  <c r="D80" i="3" s="1"/>
  <c r="D291" i="11"/>
  <c r="D290" i="11"/>
  <c r="B81" i="3" s="1"/>
  <c r="D81" i="3" s="1"/>
  <c r="D289" i="11"/>
  <c r="B83" i="3" s="1"/>
  <c r="D83" i="3" s="1"/>
  <c r="D288" i="11"/>
  <c r="B20" i="3" s="1"/>
  <c r="D20" i="3" s="1"/>
  <c r="D287" i="11"/>
  <c r="B22" i="3" s="1"/>
  <c r="D22" i="3" s="1"/>
  <c r="D286" i="11"/>
  <c r="B17" i="3" s="1"/>
  <c r="D17" i="3" s="1"/>
  <c r="D285" i="11"/>
  <c r="B14" i="3" s="1"/>
  <c r="D14" i="3" s="1"/>
  <c r="D284" i="11"/>
  <c r="B19" i="3" s="1"/>
  <c r="D19" i="3" s="1"/>
  <c r="D283" i="11"/>
  <c r="B16" i="3" s="1"/>
  <c r="D16" i="3" s="1"/>
  <c r="D282" i="11"/>
  <c r="B18" i="3" s="1"/>
  <c r="D18" i="3" s="1"/>
  <c r="D281" i="11"/>
  <c r="B36" i="3" s="1"/>
  <c r="D36" i="3" s="1"/>
  <c r="D280" i="11"/>
  <c r="B21" i="3" s="1"/>
  <c r="D21" i="3" s="1"/>
  <c r="D279" i="11"/>
  <c r="B210" i="3" s="1"/>
  <c r="D210" i="3" s="1"/>
  <c r="D278" i="11"/>
  <c r="B384" i="3" s="1"/>
  <c r="D384" i="3" s="1"/>
  <c r="D277" i="11"/>
  <c r="B177" i="3" s="1"/>
  <c r="D177" i="3" s="1"/>
  <c r="D275" i="11"/>
  <c r="B400" i="3" s="1"/>
  <c r="D400" i="3" s="1"/>
  <c r="D274" i="11"/>
  <c r="B333" i="3" s="1"/>
  <c r="D333" i="3" s="1"/>
  <c r="D273" i="11"/>
  <c r="B374" i="3" s="1"/>
  <c r="D374" i="3" s="1"/>
  <c r="D272" i="11"/>
  <c r="B331" i="3" s="1"/>
  <c r="D331" i="3" s="1"/>
  <c r="D271" i="11"/>
  <c r="B332" i="3" s="1"/>
  <c r="D332" i="3" s="1"/>
  <c r="D270" i="11"/>
  <c r="D269" i="11"/>
  <c r="B431" i="3" s="1"/>
  <c r="D431" i="3" s="1"/>
  <c r="D268" i="11"/>
  <c r="B13" i="3" s="1"/>
  <c r="D13" i="3" s="1"/>
  <c r="D267" i="11"/>
  <c r="B78" i="3" s="1"/>
  <c r="D78" i="3" s="1"/>
  <c r="D266" i="11"/>
  <c r="B77" i="3" s="1"/>
  <c r="D77" i="3" s="1"/>
  <c r="D265" i="11"/>
  <c r="B260" i="3" s="1"/>
  <c r="D260" i="3" s="1"/>
  <c r="D264" i="11"/>
  <c r="B262" i="3" s="1"/>
  <c r="D262" i="3" s="1"/>
  <c r="D263" i="11"/>
  <c r="B430" i="3" s="1"/>
  <c r="D430" i="3" s="1"/>
  <c r="D262" i="11"/>
  <c r="B209" i="3" s="1"/>
  <c r="D209" i="3" s="1"/>
  <c r="D261" i="11"/>
  <c r="B193" i="3" s="1"/>
  <c r="D193" i="3" s="1"/>
  <c r="D260" i="11"/>
  <c r="B253" i="3" s="1"/>
  <c r="D253" i="3" s="1"/>
  <c r="D259" i="11"/>
  <c r="B249" i="3" s="1"/>
  <c r="D249" i="3" s="1"/>
  <c r="D258" i="11"/>
  <c r="B115" i="3" s="1"/>
  <c r="D115" i="3" s="1"/>
  <c r="D257" i="11"/>
  <c r="B185" i="3" s="1"/>
  <c r="D185" i="3" s="1"/>
  <c r="D254" i="11"/>
  <c r="B425" i="3" s="1"/>
  <c r="D425" i="3" s="1"/>
  <c r="D253" i="11"/>
  <c r="B427" i="3" s="1"/>
  <c r="D427" i="3" s="1"/>
  <c r="D252" i="11"/>
  <c r="B426" i="3" s="1"/>
  <c r="D426" i="3" s="1"/>
  <c r="D251" i="11"/>
  <c r="B428" i="3" s="1"/>
  <c r="D428" i="3" s="1"/>
  <c r="D250" i="11"/>
  <c r="B429" i="3" s="1"/>
  <c r="D429" i="3" s="1"/>
  <c r="D249" i="11"/>
  <c r="B247" i="3" s="1"/>
  <c r="D247" i="3" s="1"/>
  <c r="D248" i="11"/>
  <c r="B246" i="3" s="1"/>
  <c r="D246" i="3" s="1"/>
  <c r="D247" i="11"/>
  <c r="B208" i="3" s="1"/>
  <c r="D208" i="3" s="1"/>
  <c r="D246" i="11"/>
  <c r="B190" i="3" s="1"/>
  <c r="D190" i="3" s="1"/>
  <c r="D245" i="11"/>
  <c r="B191" i="3" s="1"/>
  <c r="D191" i="3" s="1"/>
  <c r="D244" i="11"/>
  <c r="B192" i="3" s="1"/>
  <c r="D192" i="3" s="1"/>
  <c r="D242" i="11"/>
  <c r="B240" i="3" s="1"/>
  <c r="D240" i="3" s="1"/>
  <c r="D241" i="11"/>
  <c r="B233" i="3" s="1"/>
  <c r="D233" i="3" s="1"/>
  <c r="D240" i="11"/>
  <c r="B231" i="3" s="1"/>
  <c r="D231" i="3" s="1"/>
  <c r="D239" i="11"/>
  <c r="B227" i="3" s="1"/>
  <c r="D227" i="3" s="1"/>
  <c r="D238" i="11"/>
  <c r="B401" i="3" s="1"/>
  <c r="D401" i="3" s="1"/>
  <c r="D237" i="11"/>
  <c r="B242" i="3" s="1"/>
  <c r="D242" i="3" s="1"/>
  <c r="D236" i="11"/>
  <c r="B243" i="3" s="1"/>
  <c r="D243" i="3" s="1"/>
  <c r="D235" i="11"/>
  <c r="B125" i="3" s="1"/>
  <c r="D125" i="3" s="1"/>
  <c r="D234" i="11"/>
  <c r="D233" i="11"/>
  <c r="B146" i="3" s="1"/>
  <c r="D146" i="3" s="1"/>
  <c r="D232" i="11"/>
  <c r="B156" i="3" s="1"/>
  <c r="D156" i="3" s="1"/>
  <c r="D231" i="11"/>
  <c r="B157" i="3" s="1"/>
  <c r="D157" i="3" s="1"/>
  <c r="D230" i="11"/>
  <c r="B161" i="3" s="1"/>
  <c r="D161" i="3" s="1"/>
  <c r="D229" i="11"/>
  <c r="B160" i="3" s="1"/>
  <c r="D160" i="3" s="1"/>
  <c r="D228" i="11"/>
  <c r="B137" i="3" s="1"/>
  <c r="D137" i="3" s="1"/>
  <c r="D227" i="11"/>
  <c r="B142" i="3" s="1"/>
  <c r="D142" i="3" s="1"/>
  <c r="D226" i="11"/>
  <c r="B120" i="3" s="1"/>
  <c r="D120" i="3" s="1"/>
  <c r="D225" i="11"/>
  <c r="B116" i="3" s="1"/>
  <c r="D116" i="3" s="1"/>
  <c r="D224" i="11"/>
  <c r="B131" i="3" s="1"/>
  <c r="D131" i="3" s="1"/>
  <c r="D223" i="11"/>
  <c r="B119" i="3" s="1"/>
  <c r="D119" i="3" s="1"/>
  <c r="D222" i="11"/>
  <c r="B143" i="3" s="1"/>
  <c r="D143" i="3" s="1"/>
  <c r="D221" i="11"/>
  <c r="D220" i="11"/>
  <c r="B141" i="3" s="1"/>
  <c r="D141" i="3" s="1"/>
  <c r="D219" i="11"/>
  <c r="D218" i="11"/>
  <c r="B136" i="3" s="1"/>
  <c r="D136" i="3" s="1"/>
  <c r="D217" i="11"/>
  <c r="B159" i="3" s="1"/>
  <c r="D159" i="3" s="1"/>
  <c r="D216" i="11"/>
  <c r="B130" i="3" s="1"/>
  <c r="D130" i="3" s="1"/>
  <c r="D215" i="11"/>
  <c r="D214" i="11"/>
  <c r="D213" i="11"/>
  <c r="B118" i="3" s="1"/>
  <c r="D118" i="3" s="1"/>
  <c r="D212" i="11"/>
  <c r="D211" i="11"/>
  <c r="B138" i="3" s="1"/>
  <c r="D138" i="3" s="1"/>
  <c r="D210" i="11"/>
  <c r="B158" i="3" s="1"/>
  <c r="D158" i="3" s="1"/>
  <c r="D209" i="11"/>
  <c r="B132" i="3" s="1"/>
  <c r="D132" i="3" s="1"/>
  <c r="D208" i="11"/>
  <c r="B122" i="3" s="1"/>
  <c r="D122" i="3" s="1"/>
  <c r="D207" i="11"/>
  <c r="B123" i="3" s="1"/>
  <c r="D123" i="3" s="1"/>
  <c r="D206" i="11"/>
  <c r="B134" i="3" s="1"/>
  <c r="D134" i="3" s="1"/>
  <c r="D205" i="11"/>
  <c r="B149" i="3" s="1"/>
  <c r="D149" i="3" s="1"/>
  <c r="D204" i="11"/>
  <c r="B124" i="3" s="1"/>
  <c r="D124" i="3" s="1"/>
  <c r="D203" i="11"/>
  <c r="B148" i="3" s="1"/>
  <c r="D148" i="3" s="1"/>
  <c r="D202" i="11"/>
  <c r="B147" i="3" s="1"/>
  <c r="D147" i="3" s="1"/>
  <c r="D201" i="11"/>
  <c r="B121" i="3" s="1"/>
  <c r="D121" i="3" s="1"/>
  <c r="D200" i="11"/>
  <c r="B154" i="3" s="1"/>
  <c r="D154" i="3" s="1"/>
  <c r="D199" i="11"/>
  <c r="B153" i="3" s="1"/>
  <c r="D153" i="3" s="1"/>
  <c r="D198" i="11"/>
  <c r="B133" i="3" s="1"/>
  <c r="D133" i="3" s="1"/>
  <c r="D197" i="11"/>
  <c r="B152" i="3" s="1"/>
  <c r="D152" i="3" s="1"/>
  <c r="D196" i="11"/>
  <c r="B117" i="3" s="1"/>
  <c r="D117" i="3" s="1"/>
  <c r="D195" i="11"/>
  <c r="B162" i="3" s="1"/>
  <c r="D162" i="3" s="1"/>
  <c r="D194" i="11"/>
  <c r="B155" i="3" s="1"/>
  <c r="D155" i="3" s="1"/>
  <c r="D193" i="11"/>
  <c r="B151" i="3" s="1"/>
  <c r="D151" i="3" s="1"/>
  <c r="D192" i="11"/>
  <c r="B135" i="3" s="1"/>
  <c r="D135" i="3" s="1"/>
  <c r="D191" i="11"/>
  <c r="B129" i="3" s="1"/>
  <c r="D129" i="3" s="1"/>
  <c r="D190" i="11"/>
  <c r="B145" i="3" s="1"/>
  <c r="D145" i="3" s="1"/>
  <c r="D189" i="11"/>
  <c r="B150" i="3" s="1"/>
  <c r="D150" i="3" s="1"/>
  <c r="D188" i="11"/>
  <c r="B173" i="3" s="1"/>
  <c r="D173" i="3" s="1"/>
  <c r="D187" i="11"/>
  <c r="B359" i="3" s="1"/>
  <c r="D359" i="3" s="1"/>
  <c r="D186" i="11"/>
  <c r="B223" i="3" s="1"/>
  <c r="D223" i="3" s="1"/>
  <c r="D183" i="11"/>
  <c r="B238" i="3" s="1"/>
  <c r="D238" i="3" s="1"/>
  <c r="D182" i="11"/>
  <c r="B239" i="3" s="1"/>
  <c r="D239" i="3" s="1"/>
  <c r="D181" i="11"/>
  <c r="D180" i="11"/>
  <c r="D179" i="11"/>
  <c r="B44" i="3" s="1"/>
  <c r="D44" i="3" s="1"/>
  <c r="D178" i="11"/>
  <c r="D177" i="11"/>
  <c r="D176" i="11"/>
  <c r="B360" i="3" s="1"/>
  <c r="D360" i="3" s="1"/>
  <c r="D175" i="11"/>
  <c r="D174" i="11"/>
  <c r="B98" i="3" s="1"/>
  <c r="D98" i="3" s="1"/>
  <c r="D173" i="11"/>
  <c r="B95" i="3" s="1"/>
  <c r="D95" i="3" s="1"/>
  <c r="D172" i="11"/>
  <c r="B97" i="3" s="1"/>
  <c r="D97" i="3" s="1"/>
  <c r="D171" i="11"/>
  <c r="B100" i="3" s="1"/>
  <c r="D100" i="3" s="1"/>
  <c r="D170" i="11"/>
  <c r="B93" i="3" s="1"/>
  <c r="D93" i="3" s="1"/>
  <c r="D169" i="11"/>
  <c r="B104" i="3" s="1"/>
  <c r="D104" i="3" s="1"/>
  <c r="D168" i="11"/>
  <c r="B103" i="3" s="1"/>
  <c r="D103" i="3" s="1"/>
  <c r="D167" i="11"/>
  <c r="B102" i="3" s="1"/>
  <c r="D102" i="3" s="1"/>
  <c r="D166" i="11"/>
  <c r="B101" i="3" s="1"/>
  <c r="D101" i="3" s="1"/>
  <c r="D165" i="11"/>
  <c r="B96" i="3" s="1"/>
  <c r="D96" i="3" s="1"/>
  <c r="D164" i="11"/>
  <c r="B94" i="3" s="1"/>
  <c r="D94" i="3" s="1"/>
  <c r="D163" i="11"/>
  <c r="B92" i="3" s="1"/>
  <c r="D92" i="3" s="1"/>
  <c r="D162" i="11"/>
  <c r="B105" i="3" s="1"/>
  <c r="D105" i="3" s="1"/>
  <c r="D160" i="11"/>
  <c r="D159" i="11"/>
  <c r="D158" i="11"/>
  <c r="D157" i="11"/>
  <c r="B329" i="3" s="1"/>
  <c r="D329" i="3" s="1"/>
  <c r="D156" i="11"/>
  <c r="B398" i="3" s="1"/>
  <c r="D398" i="3" s="1"/>
  <c r="D155" i="11"/>
  <c r="D154" i="11"/>
  <c r="D153" i="11"/>
  <c r="B423" i="3" s="1"/>
  <c r="D423" i="3" s="1"/>
  <c r="D152" i="11"/>
  <c r="D151" i="11"/>
  <c r="B328" i="3" s="1"/>
  <c r="D328" i="3" s="1"/>
  <c r="D150" i="11"/>
  <c r="D149" i="11"/>
  <c r="B397" i="3" s="1"/>
  <c r="D397" i="3" s="1"/>
  <c r="D148" i="11"/>
  <c r="B422" i="3" s="1"/>
  <c r="D422" i="3" s="1"/>
  <c r="D147" i="11"/>
  <c r="B187" i="3" s="1"/>
  <c r="D187" i="3" s="1"/>
  <c r="D146" i="11"/>
  <c r="B186" i="3" s="1"/>
  <c r="D186" i="3" s="1"/>
  <c r="D145" i="11"/>
  <c r="B42" i="3" s="1"/>
  <c r="D42" i="3" s="1"/>
  <c r="D144" i="11"/>
  <c r="B72" i="3" s="1"/>
  <c r="D72" i="3" s="1"/>
  <c r="D143" i="11"/>
  <c r="D142" i="11"/>
  <c r="B68" i="3" s="1"/>
  <c r="D68" i="3" s="1"/>
  <c r="D141" i="11"/>
  <c r="B73" i="3" s="1"/>
  <c r="D73" i="3" s="1"/>
  <c r="D140" i="11"/>
  <c r="B70" i="3" s="1"/>
  <c r="D70" i="3" s="1"/>
  <c r="D139" i="11"/>
  <c r="B71" i="3" s="1"/>
  <c r="D71" i="3" s="1"/>
  <c r="D137" i="11"/>
  <c r="B343" i="3" s="1"/>
  <c r="D343" i="3" s="1"/>
  <c r="D136" i="11"/>
  <c r="B395" i="3" s="1"/>
  <c r="D395" i="3" s="1"/>
  <c r="D135" i="11"/>
  <c r="B341" i="3" s="1"/>
  <c r="D341" i="3" s="1"/>
  <c r="D134" i="11"/>
  <c r="B394" i="3" s="1"/>
  <c r="D394" i="3" s="1"/>
  <c r="D133" i="11"/>
  <c r="B382" i="3" s="1"/>
  <c r="D382" i="3" s="1"/>
  <c r="D132" i="11"/>
  <c r="B342" i="3" s="1"/>
  <c r="D342" i="3" s="1"/>
  <c r="D131" i="11"/>
  <c r="B380" i="3" s="1"/>
  <c r="D380" i="3" s="1"/>
  <c r="D130" i="11"/>
  <c r="B344" i="3" s="1"/>
  <c r="D344" i="3" s="1"/>
  <c r="D129" i="11"/>
  <c r="B381" i="3" s="1"/>
  <c r="D381" i="3" s="1"/>
  <c r="D128" i="11"/>
  <c r="B414" i="3" s="1"/>
  <c r="D414" i="3" s="1"/>
  <c r="D127" i="11"/>
  <c r="B415" i="3" s="1"/>
  <c r="D415" i="3" s="1"/>
  <c r="D126" i="11"/>
  <c r="D125" i="11"/>
  <c r="D124" i="11"/>
  <c r="B182" i="3" s="1"/>
  <c r="D182" i="3" s="1"/>
  <c r="D122" i="11"/>
  <c r="D121" i="11"/>
  <c r="B60" i="3" s="1"/>
  <c r="D60" i="3" s="1"/>
  <c r="D120" i="11"/>
  <c r="B59" i="3" s="1"/>
  <c r="D59" i="3" s="1"/>
  <c r="D119" i="11"/>
  <c r="B58" i="3" s="1"/>
  <c r="D58" i="3" s="1"/>
  <c r="D118" i="11"/>
  <c r="B61" i="3" s="1"/>
  <c r="D61" i="3" s="1"/>
  <c r="D117" i="11"/>
  <c r="B62" i="3" s="1"/>
  <c r="D62" i="3" s="1"/>
  <c r="D116" i="11"/>
  <c r="D115" i="11"/>
  <c r="B181" i="3" s="1"/>
  <c r="D181" i="3" s="1"/>
  <c r="D114" i="11"/>
  <c r="B229" i="3" s="1"/>
  <c r="D229" i="3" s="1"/>
  <c r="D113" i="11"/>
  <c r="B12" i="3" s="1"/>
  <c r="D12" i="3" s="1"/>
  <c r="D112" i="11"/>
  <c r="B393" i="3" s="1"/>
  <c r="D393" i="3" s="1"/>
  <c r="D110" i="11"/>
  <c r="B228" i="3" s="1"/>
  <c r="D228" i="3" s="1"/>
  <c r="D108" i="11"/>
  <c r="B377" i="3" s="1"/>
  <c r="D377" i="3" s="1"/>
  <c r="D107" i="11"/>
  <c r="B372" i="3" s="1"/>
  <c r="D372" i="3" s="1"/>
  <c r="D106" i="11"/>
  <c r="D105" i="11"/>
  <c r="B373" i="3" s="1"/>
  <c r="D373" i="3" s="1"/>
  <c r="D104" i="11"/>
  <c r="B376" i="3" s="1"/>
  <c r="D376" i="3" s="1"/>
  <c r="D103" i="11"/>
  <c r="B41" i="3" s="1"/>
  <c r="D41" i="3" s="1"/>
  <c r="D102" i="11"/>
  <c r="B52" i="3" s="1"/>
  <c r="D52" i="3" s="1"/>
  <c r="D101" i="11"/>
  <c r="B50" i="3" s="1"/>
  <c r="D50" i="3" s="1"/>
  <c r="D100" i="11"/>
  <c r="B48" i="3" s="1"/>
  <c r="D48" i="3" s="1"/>
  <c r="D99" i="11"/>
  <c r="B47" i="3" s="1"/>
  <c r="D47" i="3" s="1"/>
  <c r="D98" i="11"/>
  <c r="B53" i="3" s="1"/>
  <c r="D53" i="3" s="1"/>
  <c r="D97" i="11"/>
  <c r="B51" i="3" s="1"/>
  <c r="D51" i="3" s="1"/>
  <c r="D96" i="11"/>
  <c r="B9" i="3" s="1"/>
  <c r="D9" i="3" s="1"/>
  <c r="D95" i="11"/>
  <c r="B179" i="3" s="1"/>
  <c r="D179" i="3" s="1"/>
  <c r="D94" i="11"/>
  <c r="B11" i="3" s="1"/>
  <c r="D11" i="3" s="1"/>
  <c r="D93" i="11"/>
  <c r="B10" i="3" s="1"/>
  <c r="D10" i="3" s="1"/>
  <c r="D91" i="11"/>
  <c r="B213" i="3" s="1"/>
  <c r="D213" i="3" s="1"/>
  <c r="D90" i="11"/>
  <c r="B215" i="3" s="1"/>
  <c r="D215" i="3" s="1"/>
  <c r="D89" i="11"/>
  <c r="B217" i="3" s="1"/>
  <c r="D217" i="3" s="1"/>
  <c r="D88" i="11"/>
  <c r="B216" i="3" s="1"/>
  <c r="D216" i="3" s="1"/>
  <c r="D87" i="11"/>
  <c r="B234" i="3" s="1"/>
  <c r="D234" i="3" s="1"/>
  <c r="D86" i="11"/>
  <c r="D84" i="11"/>
  <c r="B237" i="3" s="1"/>
  <c r="D237" i="3" s="1"/>
  <c r="D83" i="11"/>
  <c r="B235" i="3" s="1"/>
  <c r="D235" i="3" s="1"/>
  <c r="D82" i="11"/>
  <c r="B222" i="3" s="1"/>
  <c r="D222" i="3" s="1"/>
  <c r="D81" i="11"/>
  <c r="B221" i="3" s="1"/>
  <c r="D221" i="3" s="1"/>
  <c r="D80" i="11"/>
  <c r="B220" i="3" s="1"/>
  <c r="D220" i="3" s="1"/>
  <c r="D79" i="11"/>
  <c r="B176" i="3" s="1"/>
  <c r="D176" i="3" s="1"/>
  <c r="D78" i="11"/>
  <c r="B413" i="3" s="1"/>
  <c r="D413" i="3" s="1"/>
  <c r="D77" i="11"/>
  <c r="B175" i="3" s="1"/>
  <c r="D175" i="3" s="1"/>
  <c r="D76" i="11"/>
  <c r="B174" i="3" s="1"/>
  <c r="D174" i="3" s="1"/>
  <c r="D75" i="11"/>
  <c r="D57" i="11"/>
  <c r="B412" i="3" s="1"/>
  <c r="D412" i="3" s="1"/>
  <c r="D56" i="11"/>
  <c r="B312" i="3" s="1"/>
  <c r="D312" i="3" s="1"/>
  <c r="D55" i="11"/>
  <c r="B275" i="3" s="1"/>
  <c r="D275" i="3" s="1"/>
  <c r="D54" i="11"/>
  <c r="B349" i="3" s="1"/>
  <c r="D349" i="3" s="1"/>
  <c r="D53" i="11"/>
  <c r="B309" i="3" s="1"/>
  <c r="D309" i="3" s="1"/>
  <c r="D52" i="11"/>
  <c r="B305" i="3" s="1"/>
  <c r="D305" i="3" s="1"/>
  <c r="D51" i="11"/>
  <c r="B304" i="3" s="1"/>
  <c r="D304" i="3" s="1"/>
  <c r="D50" i="11"/>
  <c r="B302" i="3" s="1"/>
  <c r="D302" i="3" s="1"/>
  <c r="D49" i="11"/>
  <c r="B278" i="3" s="1"/>
  <c r="D278" i="3" s="1"/>
  <c r="D48" i="11"/>
  <c r="B296" i="3" s="1"/>
  <c r="D296" i="3" s="1"/>
  <c r="D47" i="11"/>
  <c r="B311" i="3" s="1"/>
  <c r="D311" i="3" s="1"/>
  <c r="D46" i="11"/>
  <c r="B418" i="3" s="1"/>
  <c r="D418" i="3" s="1"/>
  <c r="D45" i="11"/>
  <c r="D44" i="11"/>
  <c r="B299" i="3" s="1"/>
  <c r="D299" i="3" s="1"/>
  <c r="D43" i="11"/>
  <c r="B294" i="3" s="1"/>
  <c r="D294" i="3" s="1"/>
  <c r="D42" i="11"/>
  <c r="D41" i="11"/>
  <c r="B301" i="3" s="1"/>
  <c r="D301" i="3" s="1"/>
  <c r="D40" i="11"/>
  <c r="B297" i="3" s="1"/>
  <c r="D297" i="3" s="1"/>
  <c r="D39" i="11"/>
  <c r="B282" i="3" s="1"/>
  <c r="D282" i="3" s="1"/>
  <c r="D38" i="11"/>
  <c r="B274" i="3" s="1"/>
  <c r="D274" i="3" s="1"/>
  <c r="D37" i="11"/>
  <c r="B280" i="3" s="1"/>
  <c r="D280" i="3" s="1"/>
  <c r="D36" i="11"/>
  <c r="B276" i="3" s="1"/>
  <c r="D276" i="3" s="1"/>
  <c r="D35" i="11"/>
  <c r="B283" i="3" s="1"/>
  <c r="D283" i="3" s="1"/>
  <c r="D34" i="11"/>
  <c r="B321" i="3" s="1"/>
  <c r="D321" i="3" s="1"/>
  <c r="D33" i="11"/>
  <c r="B320" i="3" s="1"/>
  <c r="D320" i="3" s="1"/>
  <c r="D32" i="11"/>
  <c r="D31" i="11"/>
  <c r="B313" i="3" s="1"/>
  <c r="D313" i="3" s="1"/>
  <c r="D30" i="11"/>
  <c r="B277" i="3" s="1"/>
  <c r="D277" i="3" s="1"/>
  <c r="D29" i="11"/>
  <c r="B298" i="3" s="1"/>
  <c r="D298" i="3" s="1"/>
  <c r="D28" i="11"/>
  <c r="B308" i="3" s="1"/>
  <c r="D308" i="3" s="1"/>
  <c r="D27" i="11"/>
  <c r="B284" i="3" s="1"/>
  <c r="D284" i="3" s="1"/>
  <c r="D26" i="11"/>
  <c r="B295" i="3" s="1"/>
  <c r="D295" i="3" s="1"/>
  <c r="D25" i="11"/>
  <c r="B281" i="3" s="1"/>
  <c r="D281" i="3" s="1"/>
  <c r="D24" i="11"/>
  <c r="B300" i="3" s="1"/>
  <c r="D300" i="3" s="1"/>
  <c r="D23" i="11"/>
  <c r="B310" i="3" s="1"/>
  <c r="D310" i="3" s="1"/>
  <c r="D22" i="11"/>
  <c r="B338" i="3" s="1"/>
  <c r="D338" i="3" s="1"/>
  <c r="D21" i="11"/>
  <c r="B306" i="3" s="1"/>
  <c r="D306" i="3" s="1"/>
  <c r="D20" i="11"/>
  <c r="B348" i="3" s="1"/>
  <c r="D348" i="3" s="1"/>
  <c r="D19" i="11"/>
  <c r="B307" i="3" s="1"/>
  <c r="D307" i="3" s="1"/>
  <c r="D18" i="11"/>
  <c r="B347" i="3" s="1"/>
  <c r="D347" i="3" s="1"/>
  <c r="D17" i="11"/>
  <c r="B350" i="3" s="1"/>
  <c r="D350" i="3" s="1"/>
  <c r="D16" i="11"/>
  <c r="B273" i="3" s="1"/>
  <c r="D273" i="3" s="1"/>
  <c r="D15" i="11"/>
  <c r="B279" i="3" s="1"/>
  <c r="D279" i="3" s="1"/>
  <c r="D14" i="11"/>
  <c r="B303" i="3" s="1"/>
  <c r="D303" i="3" s="1"/>
  <c r="D13" i="11"/>
  <c r="B315" i="3" s="1"/>
  <c r="D315" i="3" s="1"/>
  <c r="D12" i="11"/>
  <c r="B316" i="3" s="1"/>
  <c r="D316" i="3" s="1"/>
  <c r="D11" i="11"/>
  <c r="B318" i="3" s="1"/>
  <c r="D318" i="3" s="1"/>
  <c r="D10" i="11"/>
  <c r="B317" i="3" s="1"/>
  <c r="D317" i="3" s="1"/>
  <c r="D9" i="11"/>
  <c r="B322" i="3" s="1"/>
  <c r="D322" i="3" s="1"/>
  <c r="D8" i="11"/>
  <c r="B270" i="3" s="1"/>
  <c r="D270" i="3" s="1"/>
  <c r="D7" i="11"/>
  <c r="B5" i="3" s="1"/>
  <c r="D5" i="3" s="1"/>
  <c r="D6" i="11"/>
  <c r="B355" i="3" s="1"/>
  <c r="D355" i="3" s="1"/>
  <c r="D5" i="11"/>
  <c r="B357" i="3" s="1"/>
  <c r="D357" i="3" s="1"/>
  <c r="D4" i="11"/>
  <c r="D3" i="11"/>
  <c r="B226" i="3" s="1"/>
  <c r="D226" i="3" s="1"/>
  <c r="D2" i="11"/>
  <c r="B170" i="3" s="1"/>
  <c r="D170" i="3" s="1"/>
  <c r="J465" i="3"/>
  <c r="J456" i="3"/>
  <c r="I144" i="3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K270" i="3" l="1"/>
  <c r="P270" i="3"/>
  <c r="Q270" i="3" s="1"/>
  <c r="E270" i="3"/>
  <c r="R270" i="3"/>
  <c r="S270" i="3" s="1"/>
  <c r="A270" i="3"/>
  <c r="G270" i="3"/>
  <c r="R226" i="3"/>
  <c r="P226" i="3"/>
  <c r="K5" i="3"/>
  <c r="P5" i="3"/>
  <c r="R5" i="3"/>
  <c r="P315" i="3"/>
  <c r="Q315" i="3" s="1"/>
  <c r="R315" i="3"/>
  <c r="S315" i="3" s="1"/>
  <c r="P279" i="3"/>
  <c r="Q279" i="3" s="1"/>
  <c r="R279" i="3"/>
  <c r="S279" i="3" s="1"/>
  <c r="P306" i="3"/>
  <c r="Q306" i="3" s="1"/>
  <c r="R306" i="3"/>
  <c r="S306" i="3" s="1"/>
  <c r="P281" i="3"/>
  <c r="Q281" i="3" s="1"/>
  <c r="R281" i="3"/>
  <c r="S281" i="3" s="1"/>
  <c r="G284" i="3"/>
  <c r="H284" i="3" s="1"/>
  <c r="P284" i="3"/>
  <c r="Q284" i="3" s="1"/>
  <c r="R284" i="3"/>
  <c r="S284" i="3" s="1"/>
  <c r="P313" i="3"/>
  <c r="Q313" i="3" s="1"/>
  <c r="R313" i="3"/>
  <c r="S313" i="3" s="1"/>
  <c r="R283" i="3"/>
  <c r="S283" i="3" s="1"/>
  <c r="P283" i="3"/>
  <c r="Q283" i="3" s="1"/>
  <c r="P282" i="3"/>
  <c r="Q282" i="3" s="1"/>
  <c r="R282" i="3"/>
  <c r="S282" i="3" s="1"/>
  <c r="G294" i="3"/>
  <c r="H294" i="3" s="1"/>
  <c r="P294" i="3"/>
  <c r="Q294" i="3" s="1"/>
  <c r="R294" i="3"/>
  <c r="S294" i="3" s="1"/>
  <c r="R304" i="3"/>
  <c r="S304" i="3" s="1"/>
  <c r="P304" i="3"/>
  <c r="Q304" i="3" s="1"/>
  <c r="P275" i="3"/>
  <c r="Q275" i="3" s="1"/>
  <c r="R275" i="3"/>
  <c r="S275" i="3" s="1"/>
  <c r="R174" i="3"/>
  <c r="S174" i="3" s="1"/>
  <c r="P174" i="3"/>
  <c r="Q174" i="3" s="1"/>
  <c r="R220" i="3"/>
  <c r="S220" i="3" s="1"/>
  <c r="P220" i="3"/>
  <c r="Q220" i="3" s="1"/>
  <c r="R237" i="3"/>
  <c r="S237" i="3" s="1"/>
  <c r="P237" i="3"/>
  <c r="Q237" i="3" s="1"/>
  <c r="R217" i="3"/>
  <c r="S217" i="3" s="1"/>
  <c r="P217" i="3"/>
  <c r="Q217" i="3" s="1"/>
  <c r="P11" i="3"/>
  <c r="Q11" i="3" s="1"/>
  <c r="R11" i="3"/>
  <c r="S11" i="3" s="1"/>
  <c r="R53" i="3"/>
  <c r="S53" i="3" s="1"/>
  <c r="P53" i="3"/>
  <c r="Q53" i="3" s="1"/>
  <c r="P52" i="3"/>
  <c r="Q52" i="3" s="1"/>
  <c r="R52" i="3"/>
  <c r="S52" i="3" s="1"/>
  <c r="R377" i="3"/>
  <c r="S377" i="3" s="1"/>
  <c r="P377" i="3"/>
  <c r="Q377" i="3" s="1"/>
  <c r="P229" i="3"/>
  <c r="Q229" i="3" s="1"/>
  <c r="R229" i="3"/>
  <c r="S229" i="3" s="1"/>
  <c r="R59" i="3"/>
  <c r="S59" i="3" s="1"/>
  <c r="P59" i="3"/>
  <c r="Q59" i="3" s="1"/>
  <c r="R381" i="3"/>
  <c r="S381" i="3" s="1"/>
  <c r="P381" i="3"/>
  <c r="Q381" i="3" s="1"/>
  <c r="P380" i="3"/>
  <c r="Q380" i="3" s="1"/>
  <c r="R380" i="3"/>
  <c r="S380" i="3" s="1"/>
  <c r="R341" i="3"/>
  <c r="S341" i="3" s="1"/>
  <c r="P341" i="3"/>
  <c r="Q341" i="3" s="1"/>
  <c r="P68" i="3"/>
  <c r="Q68" i="3" s="1"/>
  <c r="R68" i="3"/>
  <c r="S68" i="3" s="1"/>
  <c r="P186" i="3"/>
  <c r="Q186" i="3" s="1"/>
  <c r="R186" i="3"/>
  <c r="S186" i="3" s="1"/>
  <c r="P398" i="3"/>
  <c r="Q398" i="3" s="1"/>
  <c r="R398" i="3"/>
  <c r="S398" i="3" s="1"/>
  <c r="R96" i="3"/>
  <c r="S96" i="3" s="1"/>
  <c r="P96" i="3"/>
  <c r="Q96" i="3" s="1"/>
  <c r="R104" i="3"/>
  <c r="S104" i="3" s="1"/>
  <c r="P104" i="3"/>
  <c r="Q104" i="3" s="1"/>
  <c r="R95" i="3"/>
  <c r="S95" i="3" s="1"/>
  <c r="P95" i="3"/>
  <c r="Q95" i="3" s="1"/>
  <c r="R238" i="3"/>
  <c r="S238" i="3" s="1"/>
  <c r="P238" i="3"/>
  <c r="Q238" i="3" s="1"/>
  <c r="P150" i="3"/>
  <c r="Q150" i="3" s="1"/>
  <c r="R150" i="3"/>
  <c r="S150" i="3" s="1"/>
  <c r="R151" i="3"/>
  <c r="S151" i="3" s="1"/>
  <c r="P151" i="3"/>
  <c r="Q151" i="3" s="1"/>
  <c r="P152" i="3"/>
  <c r="Q152" i="3" s="1"/>
  <c r="R152" i="3"/>
  <c r="S152" i="3" s="1"/>
  <c r="R153" i="3"/>
  <c r="S153" i="3" s="1"/>
  <c r="P153" i="3"/>
  <c r="Q153" i="3" s="1"/>
  <c r="P148" i="3"/>
  <c r="Q148" i="3" s="1"/>
  <c r="R148" i="3"/>
  <c r="S148" i="3" s="1"/>
  <c r="R132" i="3"/>
  <c r="S132" i="3" s="1"/>
  <c r="P132" i="3"/>
  <c r="Q132" i="3" s="1"/>
  <c r="P118" i="3"/>
  <c r="Q118" i="3" s="1"/>
  <c r="R118" i="3"/>
  <c r="S118" i="3" s="1"/>
  <c r="P119" i="3"/>
  <c r="Q119" i="3" s="1"/>
  <c r="R119" i="3"/>
  <c r="S119" i="3" s="1"/>
  <c r="R116" i="3"/>
  <c r="S116" i="3" s="1"/>
  <c r="P116" i="3"/>
  <c r="Q116" i="3" s="1"/>
  <c r="P160" i="3"/>
  <c r="Q160" i="3" s="1"/>
  <c r="R160" i="3"/>
  <c r="S160" i="3" s="1"/>
  <c r="P146" i="3"/>
  <c r="Q146" i="3" s="1"/>
  <c r="R146" i="3"/>
  <c r="S146" i="3" s="1"/>
  <c r="P242" i="3"/>
  <c r="Q242" i="3" s="1"/>
  <c r="R242" i="3"/>
  <c r="S242" i="3" s="1"/>
  <c r="P233" i="3"/>
  <c r="Q233" i="3" s="1"/>
  <c r="R233" i="3"/>
  <c r="S233" i="3" s="1"/>
  <c r="R190" i="3"/>
  <c r="S190" i="3" s="1"/>
  <c r="P190" i="3"/>
  <c r="Q190" i="3" s="1"/>
  <c r="P429" i="3"/>
  <c r="Q429" i="3" s="1"/>
  <c r="R429" i="3"/>
  <c r="S429" i="3" s="1"/>
  <c r="R425" i="3"/>
  <c r="S425" i="3" s="1"/>
  <c r="P425" i="3"/>
  <c r="Q425" i="3" s="1"/>
  <c r="R115" i="3"/>
  <c r="P115" i="3"/>
  <c r="P253" i="3"/>
  <c r="Q253" i="3" s="1"/>
  <c r="R253" i="3"/>
  <c r="S253" i="3" s="1"/>
  <c r="P262" i="3"/>
  <c r="Q262" i="3" s="1"/>
  <c r="R262" i="3"/>
  <c r="S262" i="3" s="1"/>
  <c r="P331" i="3"/>
  <c r="Q331" i="3" s="1"/>
  <c r="R331" i="3"/>
  <c r="S331" i="3" s="1"/>
  <c r="P177" i="3"/>
  <c r="Q177" i="3" s="1"/>
  <c r="R177" i="3"/>
  <c r="S177" i="3" s="1"/>
  <c r="P36" i="3"/>
  <c r="Q36" i="3" s="1"/>
  <c r="R36" i="3"/>
  <c r="S36" i="3" s="1"/>
  <c r="P16" i="3"/>
  <c r="Q16" i="3" s="1"/>
  <c r="R16" i="3"/>
  <c r="S16" i="3" s="1"/>
  <c r="R83" i="3"/>
  <c r="S83" i="3" s="1"/>
  <c r="P83" i="3"/>
  <c r="Q83" i="3" s="1"/>
  <c r="R79" i="3"/>
  <c r="S79" i="3" s="1"/>
  <c r="P79" i="3"/>
  <c r="Q79" i="3" s="1"/>
  <c r="P406" i="3"/>
  <c r="Q406" i="3" s="1"/>
  <c r="R406" i="3"/>
  <c r="S406" i="3" s="1"/>
  <c r="P33" i="3"/>
  <c r="Q33" i="3" s="1"/>
  <c r="R33" i="3"/>
  <c r="S33" i="3" s="1"/>
  <c r="P26" i="3"/>
  <c r="Q26" i="3" s="1"/>
  <c r="R26" i="3"/>
  <c r="S26" i="3" s="1"/>
  <c r="P6" i="3"/>
  <c r="Q6" i="3" s="1"/>
  <c r="R6" i="3"/>
  <c r="S6" i="3" s="1"/>
  <c r="P7" i="3"/>
  <c r="Q7" i="3" s="1"/>
  <c r="R7" i="3"/>
  <c r="S7" i="3" s="1"/>
  <c r="R39" i="3"/>
  <c r="P39" i="3"/>
  <c r="R385" i="3"/>
  <c r="S385" i="3" s="1"/>
  <c r="P385" i="3"/>
  <c r="Q385" i="3" s="1"/>
  <c r="P198" i="3"/>
  <c r="Q198" i="3" s="1"/>
  <c r="R198" i="3"/>
  <c r="S198" i="3" s="1"/>
  <c r="G82" i="3"/>
  <c r="H82" i="3" s="1"/>
  <c r="P82" i="3"/>
  <c r="Q82" i="3" s="1"/>
  <c r="R82" i="3"/>
  <c r="S82" i="3" s="1"/>
  <c r="P219" i="3"/>
  <c r="Q219" i="3" s="1"/>
  <c r="R219" i="3"/>
  <c r="S219" i="3" s="1"/>
  <c r="G389" i="3"/>
  <c r="R389" i="3"/>
  <c r="P389" i="3"/>
  <c r="P402" i="3"/>
  <c r="Q402" i="3" s="1"/>
  <c r="R402" i="3"/>
  <c r="S402" i="3" s="1"/>
  <c r="R357" i="3"/>
  <c r="S357" i="3" s="1"/>
  <c r="P357" i="3"/>
  <c r="Q357" i="3" s="1"/>
  <c r="R322" i="3"/>
  <c r="S322" i="3" s="1"/>
  <c r="P322" i="3"/>
  <c r="Q322" i="3" s="1"/>
  <c r="P318" i="3"/>
  <c r="Q318" i="3" s="1"/>
  <c r="R318" i="3"/>
  <c r="S318" i="3" s="1"/>
  <c r="P350" i="3"/>
  <c r="Q350" i="3" s="1"/>
  <c r="R350" i="3"/>
  <c r="S350" i="3" s="1"/>
  <c r="P307" i="3"/>
  <c r="Q307" i="3" s="1"/>
  <c r="R307" i="3"/>
  <c r="S307" i="3" s="1"/>
  <c r="P310" i="3"/>
  <c r="Q310" i="3" s="1"/>
  <c r="R310" i="3"/>
  <c r="S310" i="3" s="1"/>
  <c r="R298" i="3"/>
  <c r="S298" i="3" s="1"/>
  <c r="P298" i="3"/>
  <c r="Q298" i="3" s="1"/>
  <c r="R320" i="3"/>
  <c r="S320" i="3" s="1"/>
  <c r="P320" i="3"/>
  <c r="Q320" i="3" s="1"/>
  <c r="R280" i="3"/>
  <c r="S280" i="3" s="1"/>
  <c r="P280" i="3"/>
  <c r="Q280" i="3" s="1"/>
  <c r="R301" i="3"/>
  <c r="S301" i="3" s="1"/>
  <c r="P301" i="3"/>
  <c r="Q301" i="3" s="1"/>
  <c r="P311" i="3"/>
  <c r="Q311" i="3" s="1"/>
  <c r="R311" i="3"/>
  <c r="S311" i="3" s="1"/>
  <c r="P278" i="3"/>
  <c r="Q278" i="3" s="1"/>
  <c r="R278" i="3"/>
  <c r="S278" i="3" s="1"/>
  <c r="P309" i="3"/>
  <c r="Q309" i="3" s="1"/>
  <c r="R309" i="3"/>
  <c r="S309" i="3" s="1"/>
  <c r="R412" i="3"/>
  <c r="P412" i="3"/>
  <c r="P413" i="3"/>
  <c r="Q413" i="3" s="1"/>
  <c r="R413" i="3"/>
  <c r="S413" i="3" s="1"/>
  <c r="P222" i="3"/>
  <c r="Q222" i="3" s="1"/>
  <c r="R222" i="3"/>
  <c r="S222" i="3" s="1"/>
  <c r="P234" i="3"/>
  <c r="Q234" i="3" s="1"/>
  <c r="R234" i="3"/>
  <c r="S234" i="3" s="1"/>
  <c r="R213" i="3"/>
  <c r="P213" i="3"/>
  <c r="P9" i="3"/>
  <c r="Q9" i="3" s="1"/>
  <c r="R9" i="3"/>
  <c r="S9" i="3" s="1"/>
  <c r="P48" i="3"/>
  <c r="Q48" i="3" s="1"/>
  <c r="R48" i="3"/>
  <c r="S48" i="3" s="1"/>
  <c r="R376" i="3"/>
  <c r="S376" i="3" s="1"/>
  <c r="P376" i="3"/>
  <c r="Q376" i="3" s="1"/>
  <c r="P393" i="3"/>
  <c r="Q393" i="3" s="1"/>
  <c r="R393" i="3"/>
  <c r="S393" i="3" s="1"/>
  <c r="P61" i="3"/>
  <c r="Q61" i="3" s="1"/>
  <c r="R61" i="3"/>
  <c r="S61" i="3" s="1"/>
  <c r="P415" i="3"/>
  <c r="Q415" i="3" s="1"/>
  <c r="R415" i="3"/>
  <c r="S415" i="3" s="1"/>
  <c r="R382" i="3"/>
  <c r="S382" i="3" s="1"/>
  <c r="P382" i="3"/>
  <c r="Q382" i="3" s="1"/>
  <c r="R343" i="3"/>
  <c r="S343" i="3" s="1"/>
  <c r="P343" i="3"/>
  <c r="Q343" i="3" s="1"/>
  <c r="P70" i="3"/>
  <c r="Q70" i="3" s="1"/>
  <c r="R70" i="3"/>
  <c r="S70" i="3" s="1"/>
  <c r="R72" i="3"/>
  <c r="S72" i="3" s="1"/>
  <c r="P72" i="3"/>
  <c r="Q72" i="3" s="1"/>
  <c r="P422" i="3"/>
  <c r="Q422" i="3" s="1"/>
  <c r="R422" i="3"/>
  <c r="S422" i="3" s="1"/>
  <c r="R92" i="3"/>
  <c r="P92" i="3"/>
  <c r="R102" i="3"/>
  <c r="S102" i="3" s="1"/>
  <c r="P102" i="3"/>
  <c r="Q102" i="3" s="1"/>
  <c r="R100" i="3"/>
  <c r="S100" i="3" s="1"/>
  <c r="P100" i="3"/>
  <c r="Q100" i="3" s="1"/>
  <c r="R44" i="3"/>
  <c r="S44" i="3" s="1"/>
  <c r="P44" i="3"/>
  <c r="Q44" i="3" s="1"/>
  <c r="R359" i="3"/>
  <c r="S359" i="3" s="1"/>
  <c r="P359" i="3"/>
  <c r="Q359" i="3" s="1"/>
  <c r="P129" i="3"/>
  <c r="R129" i="3"/>
  <c r="R162" i="3"/>
  <c r="S162" i="3" s="1"/>
  <c r="P162" i="3"/>
  <c r="Q162" i="3" s="1"/>
  <c r="P121" i="3"/>
  <c r="Q121" i="3" s="1"/>
  <c r="R121" i="3"/>
  <c r="S121" i="3" s="1"/>
  <c r="P149" i="3"/>
  <c r="Q149" i="3" s="1"/>
  <c r="R149" i="3"/>
  <c r="S149" i="3" s="1"/>
  <c r="R123" i="3"/>
  <c r="S123" i="3" s="1"/>
  <c r="P123" i="3"/>
  <c r="Q123" i="3" s="1"/>
  <c r="R138" i="3"/>
  <c r="S138" i="3" s="1"/>
  <c r="P138" i="3"/>
  <c r="Q138" i="3" s="1"/>
  <c r="R159" i="3"/>
  <c r="S159" i="3" s="1"/>
  <c r="P159" i="3"/>
  <c r="Q159" i="3" s="1"/>
  <c r="R142" i="3"/>
  <c r="S142" i="3" s="1"/>
  <c r="P142" i="3"/>
  <c r="Q142" i="3" s="1"/>
  <c r="P157" i="3"/>
  <c r="Q157" i="3" s="1"/>
  <c r="R157" i="3"/>
  <c r="S157" i="3" s="1"/>
  <c r="P125" i="3"/>
  <c r="Q125" i="3" s="1"/>
  <c r="R125" i="3"/>
  <c r="S125" i="3" s="1"/>
  <c r="P227" i="3"/>
  <c r="Q227" i="3" s="1"/>
  <c r="R227" i="3"/>
  <c r="S227" i="3" s="1"/>
  <c r="P192" i="3"/>
  <c r="Q192" i="3" s="1"/>
  <c r="R192" i="3"/>
  <c r="S192" i="3" s="1"/>
  <c r="R246" i="3"/>
  <c r="S246" i="3" s="1"/>
  <c r="P246" i="3"/>
  <c r="Q246" i="3" s="1"/>
  <c r="P426" i="3"/>
  <c r="Q426" i="3" s="1"/>
  <c r="R426" i="3"/>
  <c r="S426" i="3" s="1"/>
  <c r="R209" i="3"/>
  <c r="S209" i="3" s="1"/>
  <c r="P209" i="3"/>
  <c r="Q209" i="3" s="1"/>
  <c r="P77" i="3"/>
  <c r="Q77" i="3" s="1"/>
  <c r="R77" i="3"/>
  <c r="S77" i="3" s="1"/>
  <c r="P13" i="3"/>
  <c r="Q13" i="3" s="1"/>
  <c r="R13" i="3"/>
  <c r="S13" i="3" s="1"/>
  <c r="R333" i="3"/>
  <c r="S333" i="3" s="1"/>
  <c r="P333" i="3"/>
  <c r="Q333" i="3" s="1"/>
  <c r="R210" i="3"/>
  <c r="S210" i="3" s="1"/>
  <c r="P210" i="3"/>
  <c r="Q210" i="3" s="1"/>
  <c r="P14" i="3"/>
  <c r="Q14" i="3" s="1"/>
  <c r="R14" i="3"/>
  <c r="S14" i="3" s="1"/>
  <c r="P22" i="3"/>
  <c r="Q22" i="3" s="1"/>
  <c r="R22" i="3"/>
  <c r="S22" i="3" s="1"/>
  <c r="P407" i="3"/>
  <c r="Q407" i="3" s="1"/>
  <c r="R407" i="3"/>
  <c r="S407" i="3" s="1"/>
  <c r="P194" i="3"/>
  <c r="Q194" i="3" s="1"/>
  <c r="R194" i="3"/>
  <c r="S194" i="3" s="1"/>
  <c r="P28" i="3"/>
  <c r="Q28" i="3" s="1"/>
  <c r="R28" i="3"/>
  <c r="S28" i="3" s="1"/>
  <c r="P29" i="3"/>
  <c r="Q29" i="3" s="1"/>
  <c r="R29" i="3"/>
  <c r="S29" i="3" s="1"/>
  <c r="G444" i="3"/>
  <c r="H444" i="3" s="1"/>
  <c r="P444" i="3"/>
  <c r="Q444" i="3" s="1"/>
  <c r="R444" i="3"/>
  <c r="S444" i="3" s="1"/>
  <c r="P171" i="3"/>
  <c r="Q171" i="3" s="1"/>
  <c r="R171" i="3"/>
  <c r="S171" i="3" s="1"/>
  <c r="P170" i="3"/>
  <c r="R170" i="3"/>
  <c r="P355" i="3"/>
  <c r="Q355" i="3" s="1"/>
  <c r="R355" i="3"/>
  <c r="S355" i="3" s="1"/>
  <c r="P317" i="3"/>
  <c r="Q317" i="3" s="1"/>
  <c r="R317" i="3"/>
  <c r="S317" i="3" s="1"/>
  <c r="P316" i="3"/>
  <c r="Q316" i="3" s="1"/>
  <c r="R316" i="3"/>
  <c r="S316" i="3" s="1"/>
  <c r="P303" i="3"/>
  <c r="Q303" i="3" s="1"/>
  <c r="R303" i="3"/>
  <c r="S303" i="3" s="1"/>
  <c r="P273" i="3"/>
  <c r="R273" i="3"/>
  <c r="R347" i="3"/>
  <c r="P347" i="3"/>
  <c r="R348" i="3"/>
  <c r="S348" i="3" s="1"/>
  <c r="P348" i="3"/>
  <c r="Q348" i="3" s="1"/>
  <c r="R338" i="3"/>
  <c r="P338" i="3"/>
  <c r="P300" i="3"/>
  <c r="Q300" i="3" s="1"/>
  <c r="R300" i="3"/>
  <c r="S300" i="3" s="1"/>
  <c r="R295" i="3"/>
  <c r="S295" i="3" s="1"/>
  <c r="P295" i="3"/>
  <c r="Q295" i="3" s="1"/>
  <c r="P308" i="3"/>
  <c r="Q308" i="3" s="1"/>
  <c r="R308" i="3"/>
  <c r="S308" i="3" s="1"/>
  <c r="R277" i="3"/>
  <c r="S277" i="3" s="1"/>
  <c r="P277" i="3"/>
  <c r="Q277" i="3" s="1"/>
  <c r="P321" i="3"/>
  <c r="Q321" i="3" s="1"/>
  <c r="R321" i="3"/>
  <c r="S321" i="3" s="1"/>
  <c r="P276" i="3"/>
  <c r="Q276" i="3" s="1"/>
  <c r="R276" i="3"/>
  <c r="S276" i="3" s="1"/>
  <c r="R274" i="3"/>
  <c r="S274" i="3" s="1"/>
  <c r="P274" i="3"/>
  <c r="Q274" i="3" s="1"/>
  <c r="P297" i="3"/>
  <c r="Q297" i="3" s="1"/>
  <c r="R297" i="3"/>
  <c r="S297" i="3" s="1"/>
  <c r="P299" i="3"/>
  <c r="Q299" i="3" s="1"/>
  <c r="R299" i="3"/>
  <c r="S299" i="3" s="1"/>
  <c r="R418" i="3"/>
  <c r="S418" i="3" s="1"/>
  <c r="P418" i="3"/>
  <c r="Q418" i="3" s="1"/>
  <c r="P296" i="3"/>
  <c r="Q296" i="3" s="1"/>
  <c r="R296" i="3"/>
  <c r="S296" i="3" s="1"/>
  <c r="P302" i="3"/>
  <c r="Q302" i="3" s="1"/>
  <c r="R302" i="3"/>
  <c r="S302" i="3" s="1"/>
  <c r="P305" i="3"/>
  <c r="Q305" i="3" s="1"/>
  <c r="R305" i="3"/>
  <c r="S305" i="3" s="1"/>
  <c r="R349" i="3"/>
  <c r="S349" i="3" s="1"/>
  <c r="P349" i="3"/>
  <c r="Q349" i="3" s="1"/>
  <c r="P312" i="3"/>
  <c r="Q312" i="3" s="1"/>
  <c r="R312" i="3"/>
  <c r="S312" i="3" s="1"/>
  <c r="R175" i="3"/>
  <c r="S175" i="3" s="1"/>
  <c r="P175" i="3"/>
  <c r="Q175" i="3" s="1"/>
  <c r="P176" i="3"/>
  <c r="Q176" i="3" s="1"/>
  <c r="R176" i="3"/>
  <c r="S176" i="3" s="1"/>
  <c r="P221" i="3"/>
  <c r="Q221" i="3" s="1"/>
  <c r="R221" i="3"/>
  <c r="S221" i="3" s="1"/>
  <c r="P235" i="3"/>
  <c r="Q235" i="3" s="1"/>
  <c r="R235" i="3"/>
  <c r="S235" i="3" s="1"/>
  <c r="P216" i="3"/>
  <c r="Q216" i="3" s="1"/>
  <c r="R216" i="3"/>
  <c r="S216" i="3" s="1"/>
  <c r="P215" i="3"/>
  <c r="Q215" i="3" s="1"/>
  <c r="R215" i="3"/>
  <c r="S215" i="3" s="1"/>
  <c r="P10" i="3"/>
  <c r="Q10" i="3" s="1"/>
  <c r="R10" i="3"/>
  <c r="S10" i="3" s="1"/>
  <c r="P179" i="3"/>
  <c r="Q179" i="3" s="1"/>
  <c r="R179" i="3"/>
  <c r="S179" i="3" s="1"/>
  <c r="P51" i="3"/>
  <c r="Q51" i="3" s="1"/>
  <c r="R51" i="3"/>
  <c r="S51" i="3" s="1"/>
  <c r="R47" i="3"/>
  <c r="P47" i="3"/>
  <c r="R50" i="3"/>
  <c r="S50" i="3" s="1"/>
  <c r="P50" i="3"/>
  <c r="Q50" i="3" s="1"/>
  <c r="R41" i="3"/>
  <c r="S41" i="3" s="1"/>
  <c r="P41" i="3"/>
  <c r="Q41" i="3" s="1"/>
  <c r="R373" i="3"/>
  <c r="S373" i="3" s="1"/>
  <c r="P373" i="3"/>
  <c r="Q373" i="3" s="1"/>
  <c r="R372" i="3"/>
  <c r="P372" i="3"/>
  <c r="P228" i="3"/>
  <c r="Q228" i="3" s="1"/>
  <c r="R228" i="3"/>
  <c r="S228" i="3" s="1"/>
  <c r="P12" i="3"/>
  <c r="Q12" i="3" s="1"/>
  <c r="R12" i="3"/>
  <c r="S12" i="3" s="1"/>
  <c r="R181" i="3"/>
  <c r="S181" i="3" s="1"/>
  <c r="P181" i="3"/>
  <c r="Q181" i="3" s="1"/>
  <c r="R62" i="3"/>
  <c r="S62" i="3" s="1"/>
  <c r="P62" i="3"/>
  <c r="Q62" i="3" s="1"/>
  <c r="P58" i="3"/>
  <c r="Q58" i="3" s="1"/>
  <c r="R58" i="3"/>
  <c r="S58" i="3" s="1"/>
  <c r="P60" i="3"/>
  <c r="Q60" i="3" s="1"/>
  <c r="R60" i="3"/>
  <c r="S60" i="3" s="1"/>
  <c r="R182" i="3"/>
  <c r="S182" i="3" s="1"/>
  <c r="P182" i="3"/>
  <c r="Q182" i="3" s="1"/>
  <c r="P414" i="3"/>
  <c r="Q414" i="3" s="1"/>
  <c r="R414" i="3"/>
  <c r="S414" i="3" s="1"/>
  <c r="R344" i="3"/>
  <c r="S344" i="3" s="1"/>
  <c r="P344" i="3"/>
  <c r="Q344" i="3" s="1"/>
  <c r="R342" i="3"/>
  <c r="S342" i="3" s="1"/>
  <c r="P342" i="3"/>
  <c r="Q342" i="3" s="1"/>
  <c r="P394" i="3"/>
  <c r="Q394" i="3" s="1"/>
  <c r="R394" i="3"/>
  <c r="S394" i="3" s="1"/>
  <c r="P395" i="3"/>
  <c r="Q395" i="3" s="1"/>
  <c r="R395" i="3"/>
  <c r="S395" i="3" s="1"/>
  <c r="P71" i="3"/>
  <c r="Q71" i="3" s="1"/>
  <c r="R71" i="3"/>
  <c r="S71" i="3" s="1"/>
  <c r="P73" i="3"/>
  <c r="Q73" i="3" s="1"/>
  <c r="R73" i="3"/>
  <c r="S73" i="3" s="1"/>
  <c r="P42" i="3"/>
  <c r="Q42" i="3" s="1"/>
  <c r="R42" i="3"/>
  <c r="S42" i="3" s="1"/>
  <c r="P187" i="3"/>
  <c r="Q187" i="3" s="1"/>
  <c r="R187" i="3"/>
  <c r="S187" i="3" s="1"/>
  <c r="P397" i="3"/>
  <c r="Q397" i="3" s="1"/>
  <c r="R397" i="3"/>
  <c r="S397" i="3" s="1"/>
  <c r="R328" i="3"/>
  <c r="S328" i="3" s="1"/>
  <c r="P328" i="3"/>
  <c r="Q328" i="3" s="1"/>
  <c r="P423" i="3"/>
  <c r="Q423" i="3" s="1"/>
  <c r="R423" i="3"/>
  <c r="S423" i="3" s="1"/>
  <c r="P329" i="3"/>
  <c r="Q329" i="3" s="1"/>
  <c r="R329" i="3"/>
  <c r="S329" i="3" s="1"/>
  <c r="R105" i="3"/>
  <c r="S105" i="3" s="1"/>
  <c r="P105" i="3"/>
  <c r="Q105" i="3" s="1"/>
  <c r="R94" i="3"/>
  <c r="S94" i="3" s="1"/>
  <c r="P94" i="3"/>
  <c r="Q94" i="3" s="1"/>
  <c r="R101" i="3"/>
  <c r="S101" i="3" s="1"/>
  <c r="P101" i="3"/>
  <c r="Q101" i="3" s="1"/>
  <c r="R103" i="3"/>
  <c r="S103" i="3" s="1"/>
  <c r="P103" i="3"/>
  <c r="Q103" i="3" s="1"/>
  <c r="R93" i="3"/>
  <c r="S93" i="3" s="1"/>
  <c r="P93" i="3"/>
  <c r="Q93" i="3" s="1"/>
  <c r="R97" i="3"/>
  <c r="S97" i="3" s="1"/>
  <c r="P97" i="3"/>
  <c r="Q97" i="3" s="1"/>
  <c r="R98" i="3"/>
  <c r="S98" i="3" s="1"/>
  <c r="P98" i="3"/>
  <c r="Q98" i="3" s="1"/>
  <c r="P360" i="3"/>
  <c r="Q360" i="3" s="1"/>
  <c r="R360" i="3"/>
  <c r="S360" i="3" s="1"/>
  <c r="P239" i="3"/>
  <c r="Q239" i="3" s="1"/>
  <c r="R239" i="3"/>
  <c r="S239" i="3" s="1"/>
  <c r="R223" i="3"/>
  <c r="S223" i="3" s="1"/>
  <c r="P223" i="3"/>
  <c r="Q223" i="3" s="1"/>
  <c r="P173" i="3"/>
  <c r="Q173" i="3" s="1"/>
  <c r="R173" i="3"/>
  <c r="S173" i="3" s="1"/>
  <c r="R145" i="3"/>
  <c r="S145" i="3" s="1"/>
  <c r="P145" i="3"/>
  <c r="Q145" i="3" s="1"/>
  <c r="P135" i="3"/>
  <c r="Q135" i="3" s="1"/>
  <c r="R135" i="3"/>
  <c r="S135" i="3" s="1"/>
  <c r="P155" i="3"/>
  <c r="Q155" i="3" s="1"/>
  <c r="R155" i="3"/>
  <c r="S155" i="3" s="1"/>
  <c r="R117" i="3"/>
  <c r="S117" i="3" s="1"/>
  <c r="P117" i="3"/>
  <c r="Q117" i="3" s="1"/>
  <c r="P133" i="3"/>
  <c r="Q133" i="3" s="1"/>
  <c r="R133" i="3"/>
  <c r="S133" i="3" s="1"/>
  <c r="P154" i="3"/>
  <c r="Q154" i="3" s="1"/>
  <c r="R154" i="3"/>
  <c r="S154" i="3" s="1"/>
  <c r="R147" i="3"/>
  <c r="S147" i="3" s="1"/>
  <c r="P147" i="3"/>
  <c r="Q147" i="3" s="1"/>
  <c r="P124" i="3"/>
  <c r="Q124" i="3" s="1"/>
  <c r="R124" i="3"/>
  <c r="S124" i="3" s="1"/>
  <c r="P134" i="3"/>
  <c r="Q134" i="3" s="1"/>
  <c r="R134" i="3"/>
  <c r="S134" i="3" s="1"/>
  <c r="R122" i="3"/>
  <c r="S122" i="3" s="1"/>
  <c r="P122" i="3"/>
  <c r="Q122" i="3" s="1"/>
  <c r="P158" i="3"/>
  <c r="Q158" i="3" s="1"/>
  <c r="R158" i="3"/>
  <c r="S158" i="3" s="1"/>
  <c r="R130" i="3"/>
  <c r="S130" i="3" s="1"/>
  <c r="P130" i="3"/>
  <c r="Q130" i="3" s="1"/>
  <c r="R136" i="3"/>
  <c r="S136" i="3" s="1"/>
  <c r="P136" i="3"/>
  <c r="Q136" i="3" s="1"/>
  <c r="G141" i="3"/>
  <c r="H141" i="3" s="1"/>
  <c r="P141" i="3"/>
  <c r="Q141" i="3" s="1"/>
  <c r="R141" i="3"/>
  <c r="S141" i="3" s="1"/>
  <c r="P143" i="3"/>
  <c r="Q143" i="3" s="1"/>
  <c r="R143" i="3"/>
  <c r="S143" i="3" s="1"/>
  <c r="P131" i="3"/>
  <c r="Q131" i="3" s="1"/>
  <c r="R131" i="3"/>
  <c r="S131" i="3" s="1"/>
  <c r="P120" i="3"/>
  <c r="Q120" i="3" s="1"/>
  <c r="R120" i="3"/>
  <c r="S120" i="3" s="1"/>
  <c r="P137" i="3"/>
  <c r="Q137" i="3" s="1"/>
  <c r="R137" i="3"/>
  <c r="S137" i="3" s="1"/>
  <c r="P161" i="3"/>
  <c r="Q161" i="3" s="1"/>
  <c r="R161" i="3"/>
  <c r="S161" i="3" s="1"/>
  <c r="R156" i="3"/>
  <c r="S156" i="3" s="1"/>
  <c r="P156" i="3"/>
  <c r="Q156" i="3" s="1"/>
  <c r="P243" i="3"/>
  <c r="Q243" i="3" s="1"/>
  <c r="R243" i="3"/>
  <c r="S243" i="3" s="1"/>
  <c r="P401" i="3"/>
  <c r="Q401" i="3" s="1"/>
  <c r="R401" i="3"/>
  <c r="S401" i="3" s="1"/>
  <c r="P231" i="3"/>
  <c r="Q231" i="3" s="1"/>
  <c r="R231" i="3"/>
  <c r="S231" i="3" s="1"/>
  <c r="P240" i="3"/>
  <c r="Q240" i="3" s="1"/>
  <c r="R240" i="3"/>
  <c r="S240" i="3" s="1"/>
  <c r="R191" i="3"/>
  <c r="S191" i="3" s="1"/>
  <c r="P191" i="3"/>
  <c r="Q191" i="3" s="1"/>
  <c r="R208" i="3"/>
  <c r="P208" i="3"/>
  <c r="R247" i="3"/>
  <c r="S247" i="3" s="1"/>
  <c r="P247" i="3"/>
  <c r="Q247" i="3" s="1"/>
  <c r="P428" i="3"/>
  <c r="Q428" i="3" s="1"/>
  <c r="R428" i="3"/>
  <c r="S428" i="3" s="1"/>
  <c r="R427" i="3"/>
  <c r="S427" i="3" s="1"/>
  <c r="P427" i="3"/>
  <c r="Q427" i="3" s="1"/>
  <c r="P185" i="3"/>
  <c r="Q185" i="3" s="1"/>
  <c r="R185" i="3"/>
  <c r="S185" i="3" s="1"/>
  <c r="P249" i="3"/>
  <c r="Q249" i="3" s="1"/>
  <c r="R249" i="3"/>
  <c r="S249" i="3" s="1"/>
  <c r="P193" i="3"/>
  <c r="Q193" i="3" s="1"/>
  <c r="R193" i="3"/>
  <c r="S193" i="3" s="1"/>
  <c r="P430" i="3"/>
  <c r="Q430" i="3" s="1"/>
  <c r="R430" i="3"/>
  <c r="S430" i="3" s="1"/>
  <c r="R260" i="3"/>
  <c r="P260" i="3"/>
  <c r="P78" i="3"/>
  <c r="Q78" i="3" s="1"/>
  <c r="R78" i="3"/>
  <c r="S78" i="3" s="1"/>
  <c r="R431" i="3"/>
  <c r="S431" i="3" s="1"/>
  <c r="P431" i="3"/>
  <c r="Q431" i="3" s="1"/>
  <c r="P332" i="3"/>
  <c r="Q332" i="3" s="1"/>
  <c r="R332" i="3"/>
  <c r="S332" i="3" s="1"/>
  <c r="R374" i="3"/>
  <c r="S374" i="3" s="1"/>
  <c r="P374" i="3"/>
  <c r="Q374" i="3" s="1"/>
  <c r="P400" i="3"/>
  <c r="Q400" i="3" s="1"/>
  <c r="R400" i="3"/>
  <c r="S400" i="3" s="1"/>
  <c r="R384" i="3"/>
  <c r="S384" i="3" s="1"/>
  <c r="P384" i="3"/>
  <c r="Q384" i="3" s="1"/>
  <c r="P21" i="3"/>
  <c r="Q21" i="3" s="1"/>
  <c r="R21" i="3"/>
  <c r="S21" i="3" s="1"/>
  <c r="P18" i="3"/>
  <c r="Q18" i="3" s="1"/>
  <c r="R18" i="3"/>
  <c r="S18" i="3" s="1"/>
  <c r="P19" i="3"/>
  <c r="Q19" i="3" s="1"/>
  <c r="R19" i="3"/>
  <c r="S19" i="3" s="1"/>
  <c r="P17" i="3"/>
  <c r="Q17" i="3" s="1"/>
  <c r="R17" i="3"/>
  <c r="S17" i="3" s="1"/>
  <c r="P20" i="3"/>
  <c r="Q20" i="3" s="1"/>
  <c r="R20" i="3"/>
  <c r="S20" i="3" s="1"/>
  <c r="R81" i="3"/>
  <c r="S81" i="3" s="1"/>
  <c r="P81" i="3"/>
  <c r="Q81" i="3" s="1"/>
  <c r="P80" i="3"/>
  <c r="Q80" i="3" s="1"/>
  <c r="R80" i="3"/>
  <c r="S80" i="3" s="1"/>
  <c r="P405" i="3"/>
  <c r="Q405" i="3" s="1"/>
  <c r="R405" i="3"/>
  <c r="S405" i="3" s="1"/>
  <c r="P408" i="3"/>
  <c r="Q408" i="3" s="1"/>
  <c r="R408" i="3"/>
  <c r="S408" i="3" s="1"/>
  <c r="R334" i="3"/>
  <c r="S334" i="3" s="1"/>
  <c r="P334" i="3"/>
  <c r="Q334" i="3" s="1"/>
  <c r="P31" i="3"/>
  <c r="Q31" i="3" s="1"/>
  <c r="R31" i="3"/>
  <c r="S31" i="3" s="1"/>
  <c r="P32" i="3"/>
  <c r="Q32" i="3" s="1"/>
  <c r="R32" i="3"/>
  <c r="S32" i="3" s="1"/>
  <c r="P27" i="3"/>
  <c r="Q27" i="3" s="1"/>
  <c r="R27" i="3"/>
  <c r="S27" i="3" s="1"/>
  <c r="P361" i="3"/>
  <c r="Q361" i="3" s="1"/>
  <c r="R361" i="3"/>
  <c r="S361" i="3" s="1"/>
  <c r="P256" i="3"/>
  <c r="Q256" i="3" s="1"/>
  <c r="R256" i="3"/>
  <c r="S256" i="3" s="1"/>
  <c r="P8" i="3"/>
  <c r="Q8" i="3" s="1"/>
  <c r="R8" i="3"/>
  <c r="S8" i="3" s="1"/>
  <c r="R40" i="3"/>
  <c r="S40" i="3" s="1"/>
  <c r="P40" i="3"/>
  <c r="Q40" i="3" s="1"/>
  <c r="P172" i="3"/>
  <c r="Q172" i="3" s="1"/>
  <c r="R172" i="3"/>
  <c r="S172" i="3" s="1"/>
  <c r="R199" i="3"/>
  <c r="S199" i="3" s="1"/>
  <c r="P199" i="3"/>
  <c r="Q199" i="3" s="1"/>
  <c r="P30" i="3"/>
  <c r="Q30" i="3" s="1"/>
  <c r="R30" i="3"/>
  <c r="S30" i="3" s="1"/>
  <c r="P57" i="3"/>
  <c r="Q57" i="3" s="1"/>
  <c r="R57" i="3"/>
  <c r="S57" i="3" s="1"/>
  <c r="P236" i="3"/>
  <c r="Q236" i="3" s="1"/>
  <c r="R236" i="3"/>
  <c r="S236" i="3" s="1"/>
  <c r="P403" i="3"/>
  <c r="Q403" i="3" s="1"/>
  <c r="R403" i="3"/>
  <c r="S403" i="3" s="1"/>
  <c r="G441" i="3"/>
  <c r="H441" i="3" s="1"/>
  <c r="R441" i="3"/>
  <c r="S441" i="3" s="1"/>
  <c r="P441" i="3"/>
  <c r="Q441" i="3" s="1"/>
  <c r="K170" i="3"/>
  <c r="G170" i="3"/>
  <c r="K355" i="3"/>
  <c r="G355" i="3"/>
  <c r="H355" i="3" s="1"/>
  <c r="K317" i="3"/>
  <c r="G317" i="3"/>
  <c r="H317" i="3" s="1"/>
  <c r="K303" i="3"/>
  <c r="G303" i="3"/>
  <c r="H303" i="3" s="1"/>
  <c r="K347" i="3"/>
  <c r="G347" i="3"/>
  <c r="K348" i="3"/>
  <c r="G348" i="3"/>
  <c r="H348" i="3" s="1"/>
  <c r="K300" i="3"/>
  <c r="G300" i="3"/>
  <c r="H300" i="3" s="1"/>
  <c r="K295" i="3"/>
  <c r="G295" i="3"/>
  <c r="H295" i="3" s="1"/>
  <c r="K277" i="3"/>
  <c r="G277" i="3"/>
  <c r="H277" i="3" s="1"/>
  <c r="K276" i="3"/>
  <c r="G276" i="3"/>
  <c r="H276" i="3" s="1"/>
  <c r="K274" i="3"/>
  <c r="G274" i="3"/>
  <c r="H274" i="3" s="1"/>
  <c r="K299" i="3"/>
  <c r="G299" i="3"/>
  <c r="H299" i="3" s="1"/>
  <c r="K418" i="3"/>
  <c r="G418" i="3"/>
  <c r="H418" i="3" s="1"/>
  <c r="K302" i="3"/>
  <c r="G302" i="3"/>
  <c r="H302" i="3" s="1"/>
  <c r="K349" i="3"/>
  <c r="G349" i="3"/>
  <c r="H349" i="3" s="1"/>
  <c r="K312" i="3"/>
  <c r="G312" i="3"/>
  <c r="H312" i="3" s="1"/>
  <c r="K176" i="3"/>
  <c r="G176" i="3"/>
  <c r="H176" i="3" s="1"/>
  <c r="K221" i="3"/>
  <c r="G221" i="3"/>
  <c r="H221" i="3" s="1"/>
  <c r="K216" i="3"/>
  <c r="G216" i="3"/>
  <c r="H216" i="3" s="1"/>
  <c r="K215" i="3"/>
  <c r="G215" i="3"/>
  <c r="H215" i="3" s="1"/>
  <c r="K179" i="3"/>
  <c r="G179" i="3"/>
  <c r="H179" i="3" s="1"/>
  <c r="K51" i="3"/>
  <c r="G51" i="3"/>
  <c r="H51" i="3" s="1"/>
  <c r="K50" i="3"/>
  <c r="G50" i="3"/>
  <c r="H50" i="3" s="1"/>
  <c r="K41" i="3"/>
  <c r="G41" i="3"/>
  <c r="H41" i="3" s="1"/>
  <c r="K372" i="3"/>
  <c r="G372" i="3"/>
  <c r="K228" i="3"/>
  <c r="G228" i="3"/>
  <c r="H228" i="3" s="1"/>
  <c r="K181" i="3"/>
  <c r="G181" i="3"/>
  <c r="H181" i="3" s="1"/>
  <c r="K62" i="3"/>
  <c r="G62" i="3"/>
  <c r="H62" i="3" s="1"/>
  <c r="K60" i="3"/>
  <c r="G60" i="3"/>
  <c r="H60" i="3" s="1"/>
  <c r="K182" i="3"/>
  <c r="G182" i="3"/>
  <c r="H182" i="3" s="1"/>
  <c r="K344" i="3"/>
  <c r="G344" i="3"/>
  <c r="H344" i="3" s="1"/>
  <c r="K394" i="3"/>
  <c r="G394" i="3"/>
  <c r="H394" i="3" s="1"/>
  <c r="K395" i="3"/>
  <c r="G395" i="3"/>
  <c r="H395" i="3" s="1"/>
  <c r="K73" i="3"/>
  <c r="G73" i="3"/>
  <c r="H73" i="3" s="1"/>
  <c r="K42" i="3"/>
  <c r="G42" i="3"/>
  <c r="H42" i="3" s="1"/>
  <c r="K397" i="3"/>
  <c r="G397" i="3"/>
  <c r="H397" i="3" s="1"/>
  <c r="K423" i="3"/>
  <c r="G423" i="3"/>
  <c r="H423" i="3" s="1"/>
  <c r="K329" i="3"/>
  <c r="G329" i="3"/>
  <c r="H329" i="3" s="1"/>
  <c r="K105" i="3"/>
  <c r="G105" i="3"/>
  <c r="H105" i="3" s="1"/>
  <c r="K101" i="3"/>
  <c r="G101" i="3"/>
  <c r="H101" i="3" s="1"/>
  <c r="K103" i="3"/>
  <c r="G103" i="3"/>
  <c r="H103" i="3" s="1"/>
  <c r="K97" i="3"/>
  <c r="G97" i="3"/>
  <c r="H97" i="3" s="1"/>
  <c r="K360" i="3"/>
  <c r="G360" i="3"/>
  <c r="H360" i="3" s="1"/>
  <c r="K239" i="3"/>
  <c r="G239" i="3"/>
  <c r="H239" i="3" s="1"/>
  <c r="K173" i="3"/>
  <c r="G173" i="3"/>
  <c r="H173" i="3" s="1"/>
  <c r="K145" i="3"/>
  <c r="G145" i="3"/>
  <c r="H145" i="3" s="1"/>
  <c r="K155" i="3"/>
  <c r="G155" i="3"/>
  <c r="H155" i="3" s="1"/>
  <c r="K117" i="3"/>
  <c r="G117" i="3"/>
  <c r="H117" i="3" s="1"/>
  <c r="K154" i="3"/>
  <c r="G154" i="3"/>
  <c r="H154" i="3" s="1"/>
  <c r="K147" i="3"/>
  <c r="G147" i="3"/>
  <c r="H147" i="3" s="1"/>
  <c r="K134" i="3"/>
  <c r="G134" i="3"/>
  <c r="H134" i="3" s="1"/>
  <c r="K158" i="3"/>
  <c r="G158" i="3"/>
  <c r="H158" i="3" s="1"/>
  <c r="K226" i="3"/>
  <c r="G226" i="3"/>
  <c r="K357" i="3"/>
  <c r="G357" i="3"/>
  <c r="H357" i="3" s="1"/>
  <c r="K322" i="3"/>
  <c r="G322" i="3"/>
  <c r="H322" i="3" s="1"/>
  <c r="K318" i="3"/>
  <c r="G318" i="3"/>
  <c r="H318" i="3" s="1"/>
  <c r="K315" i="3"/>
  <c r="G315" i="3"/>
  <c r="H315" i="3" s="1"/>
  <c r="K279" i="3"/>
  <c r="G279" i="3"/>
  <c r="H279" i="3" s="1"/>
  <c r="K350" i="3"/>
  <c r="G350" i="3"/>
  <c r="H350" i="3" s="1"/>
  <c r="K307" i="3"/>
  <c r="G307" i="3"/>
  <c r="H307" i="3" s="1"/>
  <c r="K306" i="3"/>
  <c r="G306" i="3"/>
  <c r="H306" i="3" s="1"/>
  <c r="K310" i="3"/>
  <c r="G310" i="3"/>
  <c r="H310" i="3" s="1"/>
  <c r="K281" i="3"/>
  <c r="G281" i="3"/>
  <c r="H281" i="3" s="1"/>
  <c r="K298" i="3"/>
  <c r="G298" i="3"/>
  <c r="H298" i="3" s="1"/>
  <c r="K313" i="3"/>
  <c r="G313" i="3"/>
  <c r="H313" i="3" s="1"/>
  <c r="K320" i="3"/>
  <c r="G320" i="3"/>
  <c r="H320" i="3" s="1"/>
  <c r="K283" i="3"/>
  <c r="G283" i="3"/>
  <c r="H283" i="3" s="1"/>
  <c r="K280" i="3"/>
  <c r="G280" i="3"/>
  <c r="H280" i="3" s="1"/>
  <c r="K282" i="3"/>
  <c r="G282" i="3"/>
  <c r="H282" i="3" s="1"/>
  <c r="K301" i="3"/>
  <c r="G301" i="3"/>
  <c r="H301" i="3" s="1"/>
  <c r="K311" i="3"/>
  <c r="G311" i="3"/>
  <c r="H311" i="3" s="1"/>
  <c r="K278" i="3"/>
  <c r="G278" i="3"/>
  <c r="H278" i="3" s="1"/>
  <c r="K304" i="3"/>
  <c r="G304" i="3"/>
  <c r="H304" i="3" s="1"/>
  <c r="K309" i="3"/>
  <c r="G309" i="3"/>
  <c r="H309" i="3" s="1"/>
  <c r="K275" i="3"/>
  <c r="G275" i="3"/>
  <c r="H275" i="3" s="1"/>
  <c r="K412" i="3"/>
  <c r="G412" i="3"/>
  <c r="K174" i="3"/>
  <c r="G174" i="3"/>
  <c r="H174" i="3" s="1"/>
  <c r="K413" i="3"/>
  <c r="G413" i="3"/>
  <c r="H413" i="3" s="1"/>
  <c r="K220" i="3"/>
  <c r="G220" i="3"/>
  <c r="H220" i="3" s="1"/>
  <c r="K222" i="3"/>
  <c r="G222" i="3"/>
  <c r="H222" i="3" s="1"/>
  <c r="K237" i="3"/>
  <c r="G237" i="3"/>
  <c r="H237" i="3" s="1"/>
  <c r="K234" i="3"/>
  <c r="G234" i="3"/>
  <c r="H234" i="3" s="1"/>
  <c r="K217" i="3"/>
  <c r="G217" i="3"/>
  <c r="H217" i="3" s="1"/>
  <c r="K213" i="3"/>
  <c r="G213" i="3"/>
  <c r="K11" i="3"/>
  <c r="G11" i="3"/>
  <c r="K9" i="3"/>
  <c r="G9" i="3"/>
  <c r="K53" i="3"/>
  <c r="G53" i="3"/>
  <c r="H53" i="3" s="1"/>
  <c r="K48" i="3"/>
  <c r="G48" i="3"/>
  <c r="H48" i="3" s="1"/>
  <c r="K52" i="3"/>
  <c r="G52" i="3"/>
  <c r="H52" i="3" s="1"/>
  <c r="K376" i="3"/>
  <c r="G376" i="3"/>
  <c r="H376" i="3" s="1"/>
  <c r="K377" i="3"/>
  <c r="G377" i="3"/>
  <c r="H377" i="3" s="1"/>
  <c r="K393" i="3"/>
  <c r="G393" i="3"/>
  <c r="H393" i="3" s="1"/>
  <c r="K229" i="3"/>
  <c r="G229" i="3"/>
  <c r="H229" i="3" s="1"/>
  <c r="K61" i="3"/>
  <c r="G61" i="3"/>
  <c r="H61" i="3" s="1"/>
  <c r="K59" i="3"/>
  <c r="G59" i="3"/>
  <c r="H59" i="3" s="1"/>
  <c r="K415" i="3"/>
  <c r="G415" i="3"/>
  <c r="H415" i="3" s="1"/>
  <c r="K381" i="3"/>
  <c r="G381" i="3"/>
  <c r="H381" i="3" s="1"/>
  <c r="K380" i="3"/>
  <c r="G380" i="3"/>
  <c r="H380" i="3" s="1"/>
  <c r="K382" i="3"/>
  <c r="G382" i="3"/>
  <c r="H382" i="3" s="1"/>
  <c r="K341" i="3"/>
  <c r="G341" i="3"/>
  <c r="H341" i="3" s="1"/>
  <c r="K343" i="3"/>
  <c r="G343" i="3"/>
  <c r="H343" i="3" s="1"/>
  <c r="K70" i="3"/>
  <c r="G70" i="3"/>
  <c r="H70" i="3" s="1"/>
  <c r="K68" i="3"/>
  <c r="G68" i="3"/>
  <c r="H68" i="3" s="1"/>
  <c r="K72" i="3"/>
  <c r="G72" i="3"/>
  <c r="H72" i="3" s="1"/>
  <c r="K186" i="3"/>
  <c r="G186" i="3"/>
  <c r="H186" i="3" s="1"/>
  <c r="K422" i="3"/>
  <c r="G422" i="3"/>
  <c r="H422" i="3" s="1"/>
  <c r="K398" i="3"/>
  <c r="G398" i="3"/>
  <c r="H398" i="3" s="1"/>
  <c r="K92" i="3"/>
  <c r="G92" i="3"/>
  <c r="K96" i="3"/>
  <c r="G96" i="3"/>
  <c r="H96" i="3" s="1"/>
  <c r="K102" i="3"/>
  <c r="G102" i="3"/>
  <c r="H102" i="3" s="1"/>
  <c r="K104" i="3"/>
  <c r="G104" i="3"/>
  <c r="H104" i="3" s="1"/>
  <c r="K100" i="3"/>
  <c r="G100" i="3"/>
  <c r="H100" i="3" s="1"/>
  <c r="K95" i="3"/>
  <c r="G95" i="3"/>
  <c r="H95" i="3" s="1"/>
  <c r="K44" i="3"/>
  <c r="G44" i="3"/>
  <c r="H44" i="3" s="1"/>
  <c r="K238" i="3"/>
  <c r="G238" i="3"/>
  <c r="H238" i="3" s="1"/>
  <c r="K359" i="3"/>
  <c r="G359" i="3"/>
  <c r="H359" i="3" s="1"/>
  <c r="K150" i="3"/>
  <c r="G150" i="3"/>
  <c r="H150" i="3" s="1"/>
  <c r="K129" i="3"/>
  <c r="G129" i="3"/>
  <c r="K151" i="3"/>
  <c r="G151" i="3"/>
  <c r="H151" i="3" s="1"/>
  <c r="K162" i="3"/>
  <c r="G162" i="3"/>
  <c r="H162" i="3" s="1"/>
  <c r="K152" i="3"/>
  <c r="G152" i="3"/>
  <c r="H152" i="3" s="1"/>
  <c r="K153" i="3"/>
  <c r="G153" i="3"/>
  <c r="H153" i="3" s="1"/>
  <c r="K121" i="3"/>
  <c r="G121" i="3"/>
  <c r="H121" i="3" s="1"/>
  <c r="K148" i="3"/>
  <c r="G148" i="3"/>
  <c r="H148" i="3" s="1"/>
  <c r="K149" i="3"/>
  <c r="G149" i="3"/>
  <c r="H149" i="3" s="1"/>
  <c r="K123" i="3"/>
  <c r="G123" i="3"/>
  <c r="H123" i="3" s="1"/>
  <c r="K132" i="3"/>
  <c r="G132" i="3"/>
  <c r="H132" i="3" s="1"/>
  <c r="K138" i="3"/>
  <c r="G138" i="3"/>
  <c r="H138" i="3" s="1"/>
  <c r="K118" i="3"/>
  <c r="G118" i="3"/>
  <c r="H118" i="3" s="1"/>
  <c r="K159" i="3"/>
  <c r="G159" i="3"/>
  <c r="H159" i="3" s="1"/>
  <c r="K119" i="3"/>
  <c r="G119" i="3"/>
  <c r="H119" i="3" s="1"/>
  <c r="K116" i="3"/>
  <c r="G116" i="3"/>
  <c r="H116" i="3" s="1"/>
  <c r="K142" i="3"/>
  <c r="G142" i="3"/>
  <c r="H142" i="3" s="1"/>
  <c r="K160" i="3"/>
  <c r="G160" i="3"/>
  <c r="H160" i="3" s="1"/>
  <c r="K157" i="3"/>
  <c r="G157" i="3"/>
  <c r="H157" i="3" s="1"/>
  <c r="K146" i="3"/>
  <c r="G146" i="3"/>
  <c r="H146" i="3" s="1"/>
  <c r="K125" i="3"/>
  <c r="G125" i="3"/>
  <c r="H125" i="3" s="1"/>
  <c r="K242" i="3"/>
  <c r="G242" i="3"/>
  <c r="H242" i="3" s="1"/>
  <c r="K227" i="3"/>
  <c r="G227" i="3"/>
  <c r="H227" i="3" s="1"/>
  <c r="K233" i="3"/>
  <c r="G233" i="3"/>
  <c r="H233" i="3" s="1"/>
  <c r="K192" i="3"/>
  <c r="G192" i="3"/>
  <c r="H192" i="3" s="1"/>
  <c r="K190" i="3"/>
  <c r="G190" i="3"/>
  <c r="H190" i="3" s="1"/>
  <c r="K246" i="3"/>
  <c r="G246" i="3"/>
  <c r="H246" i="3" s="1"/>
  <c r="K429" i="3"/>
  <c r="G429" i="3"/>
  <c r="H429" i="3" s="1"/>
  <c r="K426" i="3"/>
  <c r="G426" i="3"/>
  <c r="H426" i="3" s="1"/>
  <c r="K425" i="3"/>
  <c r="G425" i="3"/>
  <c r="H425" i="3" s="1"/>
  <c r="K115" i="3"/>
  <c r="G115" i="3"/>
  <c r="K253" i="3"/>
  <c r="G253" i="3"/>
  <c r="H253" i="3" s="1"/>
  <c r="K209" i="3"/>
  <c r="G209" i="3"/>
  <c r="H209" i="3" s="1"/>
  <c r="K262" i="3"/>
  <c r="G262" i="3"/>
  <c r="H262" i="3" s="1"/>
  <c r="K77" i="3"/>
  <c r="G77" i="3"/>
  <c r="H77" i="3" s="1"/>
  <c r="K13" i="3"/>
  <c r="G13" i="3"/>
  <c r="K331" i="3"/>
  <c r="G331" i="3"/>
  <c r="H331" i="3" s="1"/>
  <c r="K333" i="3"/>
  <c r="G333" i="3"/>
  <c r="H333" i="3" s="1"/>
  <c r="K177" i="3"/>
  <c r="G177" i="3"/>
  <c r="H177" i="3" s="1"/>
  <c r="K210" i="3"/>
  <c r="G210" i="3"/>
  <c r="H210" i="3" s="1"/>
  <c r="K36" i="3"/>
  <c r="G36" i="3"/>
  <c r="K16" i="3"/>
  <c r="G16" i="3"/>
  <c r="K14" i="3"/>
  <c r="G14" i="3"/>
  <c r="K22" i="3"/>
  <c r="G22" i="3"/>
  <c r="K83" i="3"/>
  <c r="G83" i="3"/>
  <c r="H83" i="3" s="1"/>
  <c r="K79" i="3"/>
  <c r="G79" i="3"/>
  <c r="H79" i="3" s="1"/>
  <c r="K407" i="3"/>
  <c r="G407" i="3"/>
  <c r="H407" i="3" s="1"/>
  <c r="K406" i="3"/>
  <c r="G406" i="3"/>
  <c r="H406" i="3" s="1"/>
  <c r="K194" i="3"/>
  <c r="G194" i="3"/>
  <c r="H194" i="3" s="1"/>
  <c r="K28" i="3"/>
  <c r="G28" i="3"/>
  <c r="K33" i="3"/>
  <c r="G33" i="3"/>
  <c r="K29" i="3"/>
  <c r="G29" i="3"/>
  <c r="K26" i="3"/>
  <c r="G26" i="3"/>
  <c r="K6" i="3"/>
  <c r="G6" i="3"/>
  <c r="K7" i="3"/>
  <c r="G7" i="3"/>
  <c r="K39" i="3"/>
  <c r="G39" i="3"/>
  <c r="H39" i="3" s="1"/>
  <c r="K171" i="3"/>
  <c r="G171" i="3"/>
  <c r="H171" i="3" s="1"/>
  <c r="K385" i="3"/>
  <c r="G385" i="3"/>
  <c r="H385" i="3" s="1"/>
  <c r="K198" i="3"/>
  <c r="G198" i="3"/>
  <c r="H198" i="3" s="1"/>
  <c r="K219" i="3"/>
  <c r="G219" i="3"/>
  <c r="H219" i="3" s="1"/>
  <c r="K402" i="3"/>
  <c r="G402" i="3"/>
  <c r="H402" i="3" s="1"/>
  <c r="K316" i="3"/>
  <c r="G316" i="3"/>
  <c r="H316" i="3" s="1"/>
  <c r="K273" i="3"/>
  <c r="G273" i="3"/>
  <c r="K338" i="3"/>
  <c r="G338" i="3"/>
  <c r="K308" i="3"/>
  <c r="G308" i="3"/>
  <c r="H308" i="3" s="1"/>
  <c r="K321" i="3"/>
  <c r="G321" i="3"/>
  <c r="H321" i="3" s="1"/>
  <c r="K297" i="3"/>
  <c r="G297" i="3"/>
  <c r="H297" i="3" s="1"/>
  <c r="K296" i="3"/>
  <c r="G296" i="3"/>
  <c r="H296" i="3" s="1"/>
  <c r="K305" i="3"/>
  <c r="G305" i="3"/>
  <c r="H305" i="3" s="1"/>
  <c r="K175" i="3"/>
  <c r="G175" i="3"/>
  <c r="H175" i="3" s="1"/>
  <c r="K235" i="3"/>
  <c r="G235" i="3"/>
  <c r="H235" i="3" s="1"/>
  <c r="K10" i="3"/>
  <c r="G10" i="3"/>
  <c r="K47" i="3"/>
  <c r="G47" i="3"/>
  <c r="H47" i="3" s="1"/>
  <c r="K373" i="3"/>
  <c r="G373" i="3"/>
  <c r="H373" i="3" s="1"/>
  <c r="K12" i="3"/>
  <c r="G12" i="3"/>
  <c r="K58" i="3"/>
  <c r="G58" i="3"/>
  <c r="H58" i="3" s="1"/>
  <c r="K414" i="3"/>
  <c r="G414" i="3"/>
  <c r="H414" i="3" s="1"/>
  <c r="K342" i="3"/>
  <c r="G342" i="3"/>
  <c r="H342" i="3" s="1"/>
  <c r="K71" i="3"/>
  <c r="G71" i="3"/>
  <c r="H71" i="3" s="1"/>
  <c r="K187" i="3"/>
  <c r="G187" i="3"/>
  <c r="H187" i="3" s="1"/>
  <c r="K328" i="3"/>
  <c r="G328" i="3"/>
  <c r="H328" i="3" s="1"/>
  <c r="K94" i="3"/>
  <c r="G94" i="3"/>
  <c r="H94" i="3" s="1"/>
  <c r="K93" i="3"/>
  <c r="G93" i="3"/>
  <c r="H93" i="3" s="1"/>
  <c r="K98" i="3"/>
  <c r="G98" i="3"/>
  <c r="H98" i="3" s="1"/>
  <c r="K223" i="3"/>
  <c r="G223" i="3"/>
  <c r="H223" i="3" s="1"/>
  <c r="K135" i="3"/>
  <c r="G135" i="3"/>
  <c r="H135" i="3" s="1"/>
  <c r="K133" i="3"/>
  <c r="G133" i="3"/>
  <c r="H133" i="3" s="1"/>
  <c r="K124" i="3"/>
  <c r="G124" i="3"/>
  <c r="H124" i="3" s="1"/>
  <c r="K122" i="3"/>
  <c r="G122" i="3"/>
  <c r="H122" i="3" s="1"/>
  <c r="K130" i="3"/>
  <c r="G130" i="3"/>
  <c r="H130" i="3" s="1"/>
  <c r="K136" i="3"/>
  <c r="G136" i="3"/>
  <c r="H136" i="3" s="1"/>
  <c r="K143" i="3"/>
  <c r="G143" i="3"/>
  <c r="H143" i="3" s="1"/>
  <c r="K131" i="3"/>
  <c r="G131" i="3"/>
  <c r="H131" i="3" s="1"/>
  <c r="K120" i="3"/>
  <c r="G120" i="3"/>
  <c r="H120" i="3" s="1"/>
  <c r="K137" i="3"/>
  <c r="G137" i="3"/>
  <c r="H137" i="3" s="1"/>
  <c r="K161" i="3"/>
  <c r="G161" i="3"/>
  <c r="H161" i="3" s="1"/>
  <c r="K156" i="3"/>
  <c r="G156" i="3"/>
  <c r="H156" i="3" s="1"/>
  <c r="K243" i="3"/>
  <c r="G243" i="3"/>
  <c r="H243" i="3" s="1"/>
  <c r="K401" i="3"/>
  <c r="G401" i="3"/>
  <c r="H401" i="3" s="1"/>
  <c r="K231" i="3"/>
  <c r="G231" i="3"/>
  <c r="H231" i="3" s="1"/>
  <c r="K240" i="3"/>
  <c r="G240" i="3"/>
  <c r="H240" i="3" s="1"/>
  <c r="K191" i="3"/>
  <c r="G191" i="3"/>
  <c r="H191" i="3" s="1"/>
  <c r="K208" i="3"/>
  <c r="G208" i="3"/>
  <c r="H208" i="3" s="1"/>
  <c r="K247" i="3"/>
  <c r="G247" i="3"/>
  <c r="H247" i="3" s="1"/>
  <c r="K428" i="3"/>
  <c r="G428" i="3"/>
  <c r="H428" i="3" s="1"/>
  <c r="K427" i="3"/>
  <c r="G427" i="3"/>
  <c r="H427" i="3" s="1"/>
  <c r="K185" i="3"/>
  <c r="G185" i="3"/>
  <c r="H185" i="3" s="1"/>
  <c r="K249" i="3"/>
  <c r="G249" i="3"/>
  <c r="H249" i="3" s="1"/>
  <c r="K193" i="3"/>
  <c r="G193" i="3"/>
  <c r="H193" i="3" s="1"/>
  <c r="K430" i="3"/>
  <c r="G430" i="3"/>
  <c r="H430" i="3" s="1"/>
  <c r="K260" i="3"/>
  <c r="G260" i="3"/>
  <c r="H260" i="3" s="1"/>
  <c r="K78" i="3"/>
  <c r="G78" i="3"/>
  <c r="H78" i="3" s="1"/>
  <c r="K431" i="3"/>
  <c r="G431" i="3"/>
  <c r="H431" i="3" s="1"/>
  <c r="K332" i="3"/>
  <c r="G332" i="3"/>
  <c r="H332" i="3" s="1"/>
  <c r="K374" i="3"/>
  <c r="G374" i="3"/>
  <c r="H374" i="3" s="1"/>
  <c r="K400" i="3"/>
  <c r="G400" i="3"/>
  <c r="H400" i="3" s="1"/>
  <c r="K384" i="3"/>
  <c r="G384" i="3"/>
  <c r="H384" i="3" s="1"/>
  <c r="K21" i="3"/>
  <c r="G21" i="3"/>
  <c r="K18" i="3"/>
  <c r="G18" i="3"/>
  <c r="K19" i="3"/>
  <c r="G19" i="3"/>
  <c r="K17" i="3"/>
  <c r="G17" i="3"/>
  <c r="K20" i="3"/>
  <c r="G20" i="3"/>
  <c r="K81" i="3"/>
  <c r="G81" i="3"/>
  <c r="H81" i="3" s="1"/>
  <c r="K80" i="3"/>
  <c r="G80" i="3"/>
  <c r="H80" i="3" s="1"/>
  <c r="K405" i="3"/>
  <c r="G405" i="3"/>
  <c r="H405" i="3" s="1"/>
  <c r="K408" i="3"/>
  <c r="G408" i="3"/>
  <c r="H408" i="3" s="1"/>
  <c r="K334" i="3"/>
  <c r="G334" i="3"/>
  <c r="H334" i="3" s="1"/>
  <c r="K31" i="3"/>
  <c r="G31" i="3"/>
  <c r="K32" i="3"/>
  <c r="G32" i="3"/>
  <c r="K27" i="3"/>
  <c r="G27" i="3"/>
  <c r="K361" i="3"/>
  <c r="G361" i="3"/>
  <c r="H361" i="3" s="1"/>
  <c r="K256" i="3"/>
  <c r="G256" i="3"/>
  <c r="H256" i="3" s="1"/>
  <c r="K8" i="3"/>
  <c r="G8" i="3"/>
  <c r="K40" i="3"/>
  <c r="G40" i="3"/>
  <c r="H40" i="3" s="1"/>
  <c r="K172" i="3"/>
  <c r="G172" i="3"/>
  <c r="H172" i="3" s="1"/>
  <c r="K199" i="3"/>
  <c r="G199" i="3"/>
  <c r="H199" i="3" s="1"/>
  <c r="K30" i="3"/>
  <c r="G30" i="3"/>
  <c r="K57" i="3"/>
  <c r="G57" i="3"/>
  <c r="H57" i="3" s="1"/>
  <c r="K236" i="3"/>
  <c r="G236" i="3"/>
  <c r="H236" i="3" s="1"/>
  <c r="K403" i="3"/>
  <c r="G403" i="3"/>
  <c r="H403" i="3" s="1"/>
  <c r="K141" i="3"/>
  <c r="E141" i="3"/>
  <c r="F141" i="3" s="1"/>
  <c r="K294" i="3"/>
  <c r="E294" i="3"/>
  <c r="F294" i="3" s="1"/>
  <c r="K284" i="3"/>
  <c r="A284" i="3"/>
  <c r="A389" i="3"/>
  <c r="K389" i="3"/>
  <c r="A82" i="3"/>
  <c r="K82" i="3"/>
  <c r="A283" i="3"/>
  <c r="E283" i="3"/>
  <c r="F283" i="3" s="1"/>
  <c r="A159" i="3"/>
  <c r="E159" i="3"/>
  <c r="F159" i="3" s="1"/>
  <c r="A236" i="3"/>
  <c r="E236" i="3"/>
  <c r="F236" i="3" s="1"/>
  <c r="A276" i="3"/>
  <c r="E276" i="3"/>
  <c r="F276" i="3" s="1"/>
  <c r="A134" i="3"/>
  <c r="E134" i="3"/>
  <c r="F134" i="3" s="1"/>
  <c r="A350" i="3"/>
  <c r="E350" i="3"/>
  <c r="F350" i="3" s="1"/>
  <c r="A298" i="3"/>
  <c r="E298" i="3"/>
  <c r="F298" i="3" s="1"/>
  <c r="A301" i="3"/>
  <c r="E301" i="3"/>
  <c r="F301" i="3" s="1"/>
  <c r="A309" i="3"/>
  <c r="E309" i="3"/>
  <c r="F309" i="3" s="1"/>
  <c r="A222" i="3"/>
  <c r="E222" i="3"/>
  <c r="F222" i="3" s="1"/>
  <c r="A9" i="3"/>
  <c r="E9" i="3"/>
  <c r="A377" i="3"/>
  <c r="E377" i="3"/>
  <c r="F377" i="3" s="1"/>
  <c r="A341" i="3"/>
  <c r="E341" i="3"/>
  <c r="F341" i="3" s="1"/>
  <c r="A422" i="3"/>
  <c r="E422" i="3"/>
  <c r="F422" i="3" s="1"/>
  <c r="A95" i="3"/>
  <c r="E95" i="3"/>
  <c r="F95" i="3" s="1"/>
  <c r="A359" i="3"/>
  <c r="E359" i="3"/>
  <c r="F359" i="3" s="1"/>
  <c r="A153" i="3"/>
  <c r="E153" i="3"/>
  <c r="F153" i="3" s="1"/>
  <c r="A138" i="3"/>
  <c r="E138" i="3"/>
  <c r="F138" i="3" s="1"/>
  <c r="A119" i="3"/>
  <c r="E119" i="3"/>
  <c r="F119" i="3" s="1"/>
  <c r="A125" i="3"/>
  <c r="E125" i="3"/>
  <c r="F125" i="3" s="1"/>
  <c r="A246" i="3"/>
  <c r="E246" i="3"/>
  <c r="F246" i="3" s="1"/>
  <c r="A209" i="3"/>
  <c r="E209" i="3"/>
  <c r="F209" i="3" s="1"/>
  <c r="A333" i="3"/>
  <c r="E333" i="3"/>
  <c r="F333" i="3" s="1"/>
  <c r="E22" i="3"/>
  <c r="A194" i="3"/>
  <c r="E194" i="3"/>
  <c r="F194" i="3" s="1"/>
  <c r="A6" i="3"/>
  <c r="E6" i="3"/>
  <c r="A381" i="3"/>
  <c r="E381" i="3"/>
  <c r="F381" i="3" s="1"/>
  <c r="A29" i="3"/>
  <c r="E29" i="3"/>
  <c r="A175" i="3"/>
  <c r="E175" i="3"/>
  <c r="F175" i="3" s="1"/>
  <c r="A155" i="3"/>
  <c r="E155" i="3"/>
  <c r="F155" i="3" s="1"/>
  <c r="A277" i="3"/>
  <c r="E277" i="3"/>
  <c r="F277" i="3" s="1"/>
  <c r="A182" i="3"/>
  <c r="E182" i="3"/>
  <c r="F182" i="3" s="1"/>
  <c r="A395" i="3"/>
  <c r="E395" i="3"/>
  <c r="F395" i="3" s="1"/>
  <c r="A397" i="3"/>
  <c r="E397" i="3"/>
  <c r="F397" i="3" s="1"/>
  <c r="A105" i="3"/>
  <c r="E105" i="3"/>
  <c r="F105" i="3" s="1"/>
  <c r="A98" i="3"/>
  <c r="E98" i="3"/>
  <c r="F98" i="3" s="1"/>
  <c r="A173" i="3"/>
  <c r="E173" i="3"/>
  <c r="F173" i="3" s="1"/>
  <c r="A154" i="3"/>
  <c r="E154" i="3"/>
  <c r="F154" i="3" s="1"/>
  <c r="A131" i="3"/>
  <c r="E131" i="3"/>
  <c r="F131" i="3" s="1"/>
  <c r="A243" i="3"/>
  <c r="E243" i="3"/>
  <c r="F243" i="3" s="1"/>
  <c r="A247" i="3"/>
  <c r="E247" i="3"/>
  <c r="F247" i="3" s="1"/>
  <c r="A430" i="3"/>
  <c r="E430" i="3"/>
  <c r="F430" i="3" s="1"/>
  <c r="A400" i="3"/>
  <c r="E400" i="3"/>
  <c r="F400" i="3" s="1"/>
  <c r="E20" i="3"/>
  <c r="A31" i="3"/>
  <c r="E31" i="3"/>
  <c r="A8" i="3"/>
  <c r="E8" i="3"/>
  <c r="A174" i="3"/>
  <c r="E174" i="3"/>
  <c r="F174" i="3" s="1"/>
  <c r="A79" i="3"/>
  <c r="E79" i="3"/>
  <c r="F79" i="3" s="1"/>
  <c r="A161" i="3"/>
  <c r="E161" i="3"/>
  <c r="F161" i="3" s="1"/>
  <c r="A357" i="3"/>
  <c r="E357" i="3"/>
  <c r="F357" i="3" s="1"/>
  <c r="A347" i="3"/>
  <c r="E347" i="3"/>
  <c r="F347" i="3" s="1"/>
  <c r="A235" i="3"/>
  <c r="E235" i="3"/>
  <c r="F235" i="3" s="1"/>
  <c r="A307" i="3"/>
  <c r="E307" i="3"/>
  <c r="F307" i="3" s="1"/>
  <c r="A275" i="3"/>
  <c r="E275" i="3"/>
  <c r="F275" i="3" s="1"/>
  <c r="A393" i="3"/>
  <c r="E393" i="3"/>
  <c r="F393" i="3" s="1"/>
  <c r="A343" i="3"/>
  <c r="E343" i="3"/>
  <c r="F343" i="3" s="1"/>
  <c r="A92" i="3"/>
  <c r="E92" i="3"/>
  <c r="A150" i="3"/>
  <c r="E150" i="3"/>
  <c r="F150" i="3" s="1"/>
  <c r="A121" i="3"/>
  <c r="E121" i="3"/>
  <c r="F121" i="3" s="1"/>
  <c r="A118" i="3"/>
  <c r="E118" i="3"/>
  <c r="F118" i="3" s="1"/>
  <c r="A116" i="3"/>
  <c r="E116" i="3"/>
  <c r="F116" i="3" s="1"/>
  <c r="A242" i="3"/>
  <c r="E242" i="3"/>
  <c r="F242" i="3" s="1"/>
  <c r="A429" i="3"/>
  <c r="E429" i="3"/>
  <c r="F429" i="3" s="1"/>
  <c r="A262" i="3"/>
  <c r="E262" i="3"/>
  <c r="F262" i="3" s="1"/>
  <c r="A177" i="3"/>
  <c r="E177" i="3"/>
  <c r="F177" i="3" s="1"/>
  <c r="A83" i="3"/>
  <c r="E83" i="3"/>
  <c r="F83" i="3" s="1"/>
  <c r="A28" i="3"/>
  <c r="E28" i="3"/>
  <c r="A7" i="3"/>
  <c r="E7" i="3"/>
  <c r="E82" i="3"/>
  <c r="F82" i="3" s="1"/>
  <c r="A52" i="3"/>
  <c r="E52" i="3"/>
  <c r="F52" i="3" s="1"/>
  <c r="A36" i="3"/>
  <c r="E36" i="3"/>
  <c r="A185" i="3"/>
  <c r="E185" i="3"/>
  <c r="F185" i="3" s="1"/>
  <c r="A349" i="3"/>
  <c r="E349" i="3"/>
  <c r="F349" i="3" s="1"/>
  <c r="A51" i="3"/>
  <c r="E51" i="3"/>
  <c r="F51" i="3" s="1"/>
  <c r="A5" i="3"/>
  <c r="E5" i="3"/>
  <c r="G5" i="3"/>
  <c r="A313" i="3"/>
  <c r="E313" i="3"/>
  <c r="F313" i="3" s="1"/>
  <c r="A53" i="3"/>
  <c r="E53" i="3"/>
  <c r="F53" i="3" s="1"/>
  <c r="A348" i="3"/>
  <c r="E348" i="3"/>
  <c r="F348" i="3" s="1"/>
  <c r="A47" i="3"/>
  <c r="E47" i="3"/>
  <c r="F47" i="3" s="1"/>
  <c r="A71" i="3"/>
  <c r="E71" i="3"/>
  <c r="F71" i="3" s="1"/>
  <c r="A328" i="3"/>
  <c r="E328" i="3"/>
  <c r="F328" i="3" s="1"/>
  <c r="A94" i="3"/>
  <c r="E94" i="3"/>
  <c r="F94" i="3" s="1"/>
  <c r="A360" i="3"/>
  <c r="E360" i="3"/>
  <c r="F360" i="3" s="1"/>
  <c r="A145" i="3"/>
  <c r="E145" i="3"/>
  <c r="F145" i="3" s="1"/>
  <c r="A147" i="3"/>
  <c r="E147" i="3"/>
  <c r="F147" i="3" s="1"/>
  <c r="A120" i="3"/>
  <c r="E120" i="3"/>
  <c r="F120" i="3" s="1"/>
  <c r="A401" i="3"/>
  <c r="E401" i="3"/>
  <c r="F401" i="3" s="1"/>
  <c r="A428" i="3"/>
  <c r="E428" i="3"/>
  <c r="F428" i="3" s="1"/>
  <c r="A260" i="3"/>
  <c r="E260" i="3"/>
  <c r="F260" i="3" s="1"/>
  <c r="A384" i="3"/>
  <c r="E384" i="3"/>
  <c r="F384" i="3" s="1"/>
  <c r="A81" i="3"/>
  <c r="E81" i="3"/>
  <c r="F81" i="3" s="1"/>
  <c r="A32" i="3"/>
  <c r="E32" i="3"/>
  <c r="A40" i="3"/>
  <c r="E40" i="3"/>
  <c r="F40" i="3" s="1"/>
  <c r="A57" i="3"/>
  <c r="E57" i="3"/>
  <c r="F57" i="3" s="1"/>
  <c r="A217" i="3"/>
  <c r="E217" i="3"/>
  <c r="F217" i="3" s="1"/>
  <c r="A13" i="3"/>
  <c r="E13" i="3"/>
  <c r="A316" i="3"/>
  <c r="E316" i="3"/>
  <c r="F316" i="3" s="1"/>
  <c r="A240" i="3"/>
  <c r="E240" i="3"/>
  <c r="F240" i="3" s="1"/>
  <c r="A355" i="3"/>
  <c r="E355" i="3"/>
  <c r="F355" i="3" s="1"/>
  <c r="A228" i="3"/>
  <c r="E228" i="3"/>
  <c r="F228" i="3" s="1"/>
  <c r="A294" i="3"/>
  <c r="A237" i="3"/>
  <c r="E237" i="3"/>
  <c r="F237" i="3" s="1"/>
  <c r="A299" i="3"/>
  <c r="E299" i="3"/>
  <c r="F299" i="3" s="1"/>
  <c r="A312" i="3"/>
  <c r="E312" i="3"/>
  <c r="F312" i="3" s="1"/>
  <c r="A12" i="3"/>
  <c r="E12" i="3"/>
  <c r="A322" i="3"/>
  <c r="E322" i="3"/>
  <c r="F322" i="3" s="1"/>
  <c r="A306" i="3"/>
  <c r="E306" i="3"/>
  <c r="F306" i="3" s="1"/>
  <c r="A320" i="3"/>
  <c r="E320" i="3"/>
  <c r="F320" i="3" s="1"/>
  <c r="A412" i="3"/>
  <c r="E412" i="3"/>
  <c r="F412" i="3" s="1"/>
  <c r="A234" i="3"/>
  <c r="E234" i="3"/>
  <c r="F234" i="3" s="1"/>
  <c r="A48" i="3"/>
  <c r="E48" i="3"/>
  <c r="F48" i="3" s="1"/>
  <c r="A229" i="3"/>
  <c r="E229" i="3"/>
  <c r="F229" i="3" s="1"/>
  <c r="A415" i="3"/>
  <c r="E415" i="3"/>
  <c r="F415" i="3" s="1"/>
  <c r="A70" i="3"/>
  <c r="E70" i="3"/>
  <c r="F70" i="3" s="1"/>
  <c r="A96" i="3"/>
  <c r="E96" i="3"/>
  <c r="F96" i="3" s="1"/>
  <c r="A129" i="3"/>
  <c r="E129" i="3"/>
  <c r="F129" i="3" s="1"/>
  <c r="A148" i="3"/>
  <c r="E148" i="3"/>
  <c r="F148" i="3" s="1"/>
  <c r="A142" i="3"/>
  <c r="E142" i="3"/>
  <c r="F142" i="3" s="1"/>
  <c r="A227" i="3"/>
  <c r="E227" i="3"/>
  <c r="F227" i="3" s="1"/>
  <c r="A426" i="3"/>
  <c r="E426" i="3"/>
  <c r="F426" i="3" s="1"/>
  <c r="A77" i="3"/>
  <c r="E77" i="3"/>
  <c r="F77" i="3" s="1"/>
  <c r="A210" i="3"/>
  <c r="E210" i="3"/>
  <c r="F210" i="3" s="1"/>
  <c r="A33" i="3"/>
  <c r="E33" i="3"/>
  <c r="A39" i="3"/>
  <c r="E39" i="3"/>
  <c r="F39" i="3" s="1"/>
  <c r="A136" i="3"/>
  <c r="E136" i="3"/>
  <c r="F136" i="3" s="1"/>
  <c r="A102" i="3"/>
  <c r="E102" i="3"/>
  <c r="F102" i="3" s="1"/>
  <c r="A233" i="3"/>
  <c r="E233" i="3"/>
  <c r="F233" i="3" s="1"/>
  <c r="A296" i="3"/>
  <c r="E296" i="3"/>
  <c r="F296" i="3" s="1"/>
  <c r="A103" i="3"/>
  <c r="E103" i="3"/>
  <c r="F103" i="3" s="1"/>
  <c r="A317" i="3"/>
  <c r="E317" i="3"/>
  <c r="F317" i="3" s="1"/>
  <c r="A338" i="3"/>
  <c r="E338" i="3"/>
  <c r="F338" i="3" s="1"/>
  <c r="A321" i="3"/>
  <c r="E321" i="3"/>
  <c r="F321" i="3" s="1"/>
  <c r="A418" i="3"/>
  <c r="E418" i="3"/>
  <c r="F418" i="3" s="1"/>
  <c r="A216" i="3"/>
  <c r="E216" i="3"/>
  <c r="F216" i="3" s="1"/>
  <c r="A50" i="3"/>
  <c r="E50" i="3"/>
  <c r="F50" i="3" s="1"/>
  <c r="A181" i="3"/>
  <c r="E181" i="3"/>
  <c r="F181" i="3" s="1"/>
  <c r="A414" i="3"/>
  <c r="E414" i="3"/>
  <c r="F414" i="3" s="1"/>
  <c r="A73" i="3"/>
  <c r="E73" i="3"/>
  <c r="F73" i="3" s="1"/>
  <c r="A423" i="3"/>
  <c r="E423" i="3"/>
  <c r="F423" i="3" s="1"/>
  <c r="A101" i="3"/>
  <c r="E101" i="3"/>
  <c r="F101" i="3" s="1"/>
  <c r="A135" i="3"/>
  <c r="E135" i="3"/>
  <c r="F135" i="3" s="1"/>
  <c r="A124" i="3"/>
  <c r="E124" i="3"/>
  <c r="F124" i="3" s="1"/>
  <c r="A130" i="3"/>
  <c r="E130" i="3"/>
  <c r="F130" i="3" s="1"/>
  <c r="A137" i="3"/>
  <c r="E137" i="3"/>
  <c r="F137" i="3" s="1"/>
  <c r="A231" i="3"/>
  <c r="E231" i="3"/>
  <c r="F231" i="3" s="1"/>
  <c r="A427" i="3"/>
  <c r="E427" i="3"/>
  <c r="F427" i="3" s="1"/>
  <c r="A78" i="3"/>
  <c r="E78" i="3"/>
  <c r="F78" i="3" s="1"/>
  <c r="A21" i="3"/>
  <c r="E21" i="3"/>
  <c r="A80" i="3"/>
  <c r="E80" i="3"/>
  <c r="F80" i="3" s="1"/>
  <c r="A172" i="3"/>
  <c r="E172" i="3"/>
  <c r="F172" i="3" s="1"/>
  <c r="A219" i="3"/>
  <c r="E219" i="3"/>
  <c r="F219" i="3" s="1"/>
  <c r="A68" i="3"/>
  <c r="E68" i="3"/>
  <c r="F68" i="3" s="1"/>
  <c r="A425" i="3"/>
  <c r="E425" i="3"/>
  <c r="F425" i="3" s="1"/>
  <c r="A62" i="3"/>
  <c r="E62" i="3"/>
  <c r="F62" i="3" s="1"/>
  <c r="A18" i="3"/>
  <c r="E18" i="3"/>
  <c r="E389" i="3"/>
  <c r="F389" i="3" s="1"/>
  <c r="A315" i="3"/>
  <c r="E315" i="3"/>
  <c r="F315" i="3" s="1"/>
  <c r="A281" i="3"/>
  <c r="E281" i="3"/>
  <c r="F281" i="3" s="1"/>
  <c r="A280" i="3"/>
  <c r="E280" i="3"/>
  <c r="F280" i="3" s="1"/>
  <c r="A278" i="3"/>
  <c r="E278" i="3"/>
  <c r="F278" i="3" s="1"/>
  <c r="A413" i="3"/>
  <c r="E413" i="3"/>
  <c r="F413" i="3" s="1"/>
  <c r="A213" i="3"/>
  <c r="E213" i="3"/>
  <c r="A376" i="3"/>
  <c r="E376" i="3"/>
  <c r="F376" i="3" s="1"/>
  <c r="A61" i="3"/>
  <c r="E61" i="3"/>
  <c r="F61" i="3" s="1"/>
  <c r="A380" i="3"/>
  <c r="E380" i="3"/>
  <c r="F380" i="3" s="1"/>
  <c r="A72" i="3"/>
  <c r="E72" i="3"/>
  <c r="F72" i="3" s="1"/>
  <c r="A398" i="3"/>
  <c r="E398" i="3"/>
  <c r="F398" i="3" s="1"/>
  <c r="A104" i="3"/>
  <c r="E104" i="3"/>
  <c r="F104" i="3" s="1"/>
  <c r="A162" i="3"/>
  <c r="E162" i="3"/>
  <c r="F162" i="3" s="1"/>
  <c r="A123" i="3"/>
  <c r="E123" i="3"/>
  <c r="F123" i="3" s="1"/>
  <c r="A157" i="3"/>
  <c r="E157" i="3"/>
  <c r="F157" i="3" s="1"/>
  <c r="A192" i="3"/>
  <c r="E192" i="3"/>
  <c r="F192" i="3" s="1"/>
  <c r="A115" i="3"/>
  <c r="E115" i="3"/>
  <c r="F115" i="3" s="1"/>
  <c r="E16" i="3"/>
  <c r="A407" i="3"/>
  <c r="E407" i="3"/>
  <c r="F407" i="3" s="1"/>
  <c r="A26" i="3"/>
  <c r="E26" i="3"/>
  <c r="A385" i="3"/>
  <c r="E385" i="3"/>
  <c r="F385" i="3" s="1"/>
  <c r="A403" i="3"/>
  <c r="E403" i="3"/>
  <c r="F403" i="3" s="1"/>
  <c r="A318" i="3"/>
  <c r="E318" i="3"/>
  <c r="F318" i="3" s="1"/>
  <c r="A310" i="3"/>
  <c r="E310" i="3"/>
  <c r="F310" i="3" s="1"/>
  <c r="A311" i="3"/>
  <c r="E311" i="3"/>
  <c r="F311" i="3" s="1"/>
  <c r="A151" i="3"/>
  <c r="E151" i="3"/>
  <c r="F151" i="3" s="1"/>
  <c r="A149" i="3"/>
  <c r="E149" i="3"/>
  <c r="F149" i="3" s="1"/>
  <c r="A171" i="3"/>
  <c r="E171" i="3"/>
  <c r="F171" i="3" s="1"/>
  <c r="A300" i="3"/>
  <c r="E300" i="3"/>
  <c r="F300" i="3" s="1"/>
  <c r="A215" i="3"/>
  <c r="E215" i="3"/>
  <c r="F215" i="3" s="1"/>
  <c r="A344" i="3"/>
  <c r="E344" i="3"/>
  <c r="F344" i="3" s="1"/>
  <c r="A431" i="3"/>
  <c r="E431" i="3"/>
  <c r="F431" i="3" s="1"/>
  <c r="A27" i="3"/>
  <c r="E27" i="3"/>
  <c r="A170" i="3"/>
  <c r="E170" i="3"/>
  <c r="F170" i="3" s="1"/>
  <c r="A295" i="3"/>
  <c r="E295" i="3"/>
  <c r="F295" i="3" s="1"/>
  <c r="A274" i="3"/>
  <c r="E274" i="3"/>
  <c r="F274" i="3" s="1"/>
  <c r="A176" i="3"/>
  <c r="E176" i="3"/>
  <c r="F176" i="3" s="1"/>
  <c r="A373" i="3"/>
  <c r="E373" i="3"/>
  <c r="F373" i="3" s="1"/>
  <c r="A58" i="3"/>
  <c r="E58" i="3"/>
  <c r="F58" i="3" s="1"/>
  <c r="A342" i="3"/>
  <c r="E342" i="3"/>
  <c r="F342" i="3" s="1"/>
  <c r="A42" i="3"/>
  <c r="E42" i="3"/>
  <c r="F42" i="3" s="1"/>
  <c r="A329" i="3"/>
  <c r="E329" i="3"/>
  <c r="F329" i="3" s="1"/>
  <c r="A93" i="3"/>
  <c r="E93" i="3"/>
  <c r="F93" i="3" s="1"/>
  <c r="A239" i="3"/>
  <c r="E239" i="3"/>
  <c r="F239" i="3" s="1"/>
  <c r="A117" i="3"/>
  <c r="E117" i="3"/>
  <c r="F117" i="3" s="1"/>
  <c r="A122" i="3"/>
  <c r="E122" i="3"/>
  <c r="F122" i="3" s="1"/>
  <c r="A141" i="3"/>
  <c r="A156" i="3"/>
  <c r="E156" i="3"/>
  <c r="F156" i="3" s="1"/>
  <c r="A191" i="3"/>
  <c r="E191" i="3"/>
  <c r="F191" i="3" s="1"/>
  <c r="A249" i="3"/>
  <c r="E249" i="3"/>
  <c r="F249" i="3" s="1"/>
  <c r="A332" i="3"/>
  <c r="E332" i="3"/>
  <c r="F332" i="3" s="1"/>
  <c r="A19" i="3"/>
  <c r="E19" i="3"/>
  <c r="A408" i="3"/>
  <c r="E408" i="3"/>
  <c r="F408" i="3" s="1"/>
  <c r="A361" i="3"/>
  <c r="E361" i="3"/>
  <c r="F361" i="3" s="1"/>
  <c r="A199" i="3"/>
  <c r="E199" i="3"/>
  <c r="F199" i="3" s="1"/>
  <c r="A402" i="3"/>
  <c r="E402" i="3"/>
  <c r="F402" i="3" s="1"/>
  <c r="A226" i="3"/>
  <c r="E226" i="3"/>
  <c r="F226" i="3" s="1"/>
  <c r="A279" i="3"/>
  <c r="E279" i="3"/>
  <c r="F279" i="3" s="1"/>
  <c r="E284" i="3"/>
  <c r="F284" i="3" s="1"/>
  <c r="A282" i="3"/>
  <c r="E282" i="3"/>
  <c r="F282" i="3" s="1"/>
  <c r="A304" i="3"/>
  <c r="E304" i="3"/>
  <c r="F304" i="3" s="1"/>
  <c r="A220" i="3"/>
  <c r="E220" i="3"/>
  <c r="F220" i="3" s="1"/>
  <c r="A11" i="3"/>
  <c r="E11" i="3"/>
  <c r="A59" i="3"/>
  <c r="E59" i="3"/>
  <c r="F59" i="3" s="1"/>
  <c r="A382" i="3"/>
  <c r="E382" i="3"/>
  <c r="F382" i="3" s="1"/>
  <c r="A186" i="3"/>
  <c r="E186" i="3"/>
  <c r="F186" i="3" s="1"/>
  <c r="A100" i="3"/>
  <c r="E100" i="3"/>
  <c r="F100" i="3" s="1"/>
  <c r="A238" i="3"/>
  <c r="E238" i="3"/>
  <c r="F238" i="3" s="1"/>
  <c r="A152" i="3"/>
  <c r="E152" i="3"/>
  <c r="F152" i="3" s="1"/>
  <c r="A132" i="3"/>
  <c r="E132" i="3"/>
  <c r="F132" i="3" s="1"/>
  <c r="A146" i="3"/>
  <c r="E146" i="3"/>
  <c r="F146" i="3" s="1"/>
  <c r="A190" i="3"/>
  <c r="E190" i="3"/>
  <c r="F190" i="3" s="1"/>
  <c r="A253" i="3"/>
  <c r="E253" i="3"/>
  <c r="F253" i="3" s="1"/>
  <c r="A331" i="3"/>
  <c r="E331" i="3"/>
  <c r="F331" i="3" s="1"/>
  <c r="A14" i="3"/>
  <c r="E14" i="3"/>
  <c r="A406" i="3"/>
  <c r="E406" i="3"/>
  <c r="F406" i="3" s="1"/>
  <c r="A444" i="3"/>
  <c r="E444" i="3"/>
  <c r="F444" i="3" s="1"/>
  <c r="A198" i="3"/>
  <c r="E198" i="3"/>
  <c r="F198" i="3" s="1"/>
  <c r="A441" i="3"/>
  <c r="E441" i="3"/>
  <c r="F441" i="3" s="1"/>
  <c r="A44" i="3"/>
  <c r="E44" i="3"/>
  <c r="F44" i="3" s="1"/>
  <c r="A160" i="3"/>
  <c r="E160" i="3"/>
  <c r="F160" i="3" s="1"/>
  <c r="A41" i="3"/>
  <c r="E41" i="3"/>
  <c r="F41" i="3" s="1"/>
  <c r="A405" i="3"/>
  <c r="E405" i="3"/>
  <c r="F405" i="3" s="1"/>
  <c r="A303" i="3"/>
  <c r="E303" i="3"/>
  <c r="F303" i="3" s="1"/>
  <c r="A302" i="3"/>
  <c r="E302" i="3"/>
  <c r="F302" i="3" s="1"/>
  <c r="A10" i="3"/>
  <c r="E10" i="3"/>
  <c r="A273" i="3"/>
  <c r="E273" i="3"/>
  <c r="F273" i="3" s="1"/>
  <c r="A308" i="3"/>
  <c r="E308" i="3"/>
  <c r="F308" i="3" s="1"/>
  <c r="A297" i="3"/>
  <c r="E297" i="3"/>
  <c r="F297" i="3" s="1"/>
  <c r="A305" i="3"/>
  <c r="E305" i="3"/>
  <c r="F305" i="3" s="1"/>
  <c r="A221" i="3"/>
  <c r="E221" i="3"/>
  <c r="F221" i="3" s="1"/>
  <c r="A179" i="3"/>
  <c r="E179" i="3"/>
  <c r="F179" i="3" s="1"/>
  <c r="A372" i="3"/>
  <c r="E372" i="3"/>
  <c r="F372" i="3" s="1"/>
  <c r="A60" i="3"/>
  <c r="E60" i="3"/>
  <c r="F60" i="3" s="1"/>
  <c r="A394" i="3"/>
  <c r="E394" i="3"/>
  <c r="F394" i="3" s="1"/>
  <c r="A187" i="3"/>
  <c r="E187" i="3"/>
  <c r="F187" i="3" s="1"/>
  <c r="A97" i="3"/>
  <c r="E97" i="3"/>
  <c r="F97" i="3" s="1"/>
  <c r="A223" i="3"/>
  <c r="E223" i="3"/>
  <c r="F223" i="3" s="1"/>
  <c r="A133" i="3"/>
  <c r="E133" i="3"/>
  <c r="F133" i="3" s="1"/>
  <c r="A158" i="3"/>
  <c r="E158" i="3"/>
  <c r="F158" i="3" s="1"/>
  <c r="A143" i="3"/>
  <c r="E143" i="3"/>
  <c r="F143" i="3" s="1"/>
  <c r="A208" i="3"/>
  <c r="E208" i="3"/>
  <c r="F208" i="3" s="1"/>
  <c r="A193" i="3"/>
  <c r="E193" i="3"/>
  <c r="F193" i="3" s="1"/>
  <c r="A374" i="3"/>
  <c r="E374" i="3"/>
  <c r="F374" i="3" s="1"/>
  <c r="A17" i="3"/>
  <c r="E17" i="3"/>
  <c r="A334" i="3"/>
  <c r="E334" i="3"/>
  <c r="F334" i="3" s="1"/>
  <c r="A256" i="3"/>
  <c r="E256" i="3"/>
  <c r="F256" i="3" s="1"/>
  <c r="A30" i="3"/>
  <c r="E30" i="3"/>
  <c r="J266" i="3"/>
  <c r="J203" i="3"/>
  <c r="J166" i="3"/>
  <c r="J110" i="3"/>
  <c r="H270" i="3" l="1"/>
  <c r="F270" i="3"/>
  <c r="T116" i="3"/>
  <c r="U116" i="3" s="1"/>
  <c r="T199" i="3"/>
  <c r="U199" i="3" s="1"/>
  <c r="T427" i="3"/>
  <c r="U427" i="3" s="1"/>
  <c r="T333" i="3"/>
  <c r="U333" i="3" s="1"/>
  <c r="T138" i="3"/>
  <c r="U138" i="3" s="1"/>
  <c r="T359" i="3"/>
  <c r="U359" i="3" s="1"/>
  <c r="T72" i="3"/>
  <c r="U72" i="3" s="1"/>
  <c r="T431" i="3"/>
  <c r="U431" i="3" s="1"/>
  <c r="T210" i="3"/>
  <c r="U210" i="3" s="1"/>
  <c r="T246" i="3"/>
  <c r="U246" i="3" s="1"/>
  <c r="T159" i="3"/>
  <c r="U159" i="3" s="1"/>
  <c r="T237" i="3"/>
  <c r="U237" i="3" s="1"/>
  <c r="T83" i="3"/>
  <c r="U83" i="3" s="1"/>
  <c r="T132" i="3"/>
  <c r="U132" i="3" s="1"/>
  <c r="T280" i="3"/>
  <c r="U280" i="3" s="1"/>
  <c r="T298" i="3"/>
  <c r="U298" i="3" s="1"/>
  <c r="T357" i="3"/>
  <c r="U357" i="3" s="1"/>
  <c r="T79" i="3"/>
  <c r="U79" i="3" s="1"/>
  <c r="T154" i="3"/>
  <c r="U154" i="3" s="1"/>
  <c r="T173" i="3"/>
  <c r="U173" i="3" s="1"/>
  <c r="T423" i="3"/>
  <c r="U423" i="3" s="1"/>
  <c r="T71" i="3"/>
  <c r="U71" i="3" s="1"/>
  <c r="T228" i="3"/>
  <c r="U228" i="3" s="1"/>
  <c r="T51" i="3"/>
  <c r="U51" i="3" s="1"/>
  <c r="T221" i="3"/>
  <c r="U221" i="3" s="1"/>
  <c r="T302" i="3"/>
  <c r="U302" i="3" s="1"/>
  <c r="T276" i="3"/>
  <c r="U276" i="3" s="1"/>
  <c r="T317" i="3"/>
  <c r="U317" i="3" s="1"/>
  <c r="T301" i="3"/>
  <c r="U301" i="3" s="1"/>
  <c r="T81" i="3"/>
  <c r="U81" i="3" s="1"/>
  <c r="T384" i="3"/>
  <c r="U384" i="3" s="1"/>
  <c r="T123" i="3"/>
  <c r="U123" i="3" s="1"/>
  <c r="T44" i="3"/>
  <c r="U44" i="3" s="1"/>
  <c r="T376" i="3"/>
  <c r="U376" i="3" s="1"/>
  <c r="K163" i="3"/>
  <c r="T40" i="3"/>
  <c r="U40" i="3" s="1"/>
  <c r="T247" i="3"/>
  <c r="U247" i="3" s="1"/>
  <c r="T239" i="3"/>
  <c r="U239" i="3" s="1"/>
  <c r="T397" i="3"/>
  <c r="U397" i="3" s="1"/>
  <c r="T394" i="3"/>
  <c r="U394" i="3" s="1"/>
  <c r="T58" i="3"/>
  <c r="U58" i="3" s="1"/>
  <c r="T10" i="3"/>
  <c r="U10" i="3" s="1"/>
  <c r="T100" i="3"/>
  <c r="U100" i="3" s="1"/>
  <c r="T343" i="3"/>
  <c r="U343" i="3" s="1"/>
  <c r="T320" i="3"/>
  <c r="U320" i="3" s="1"/>
  <c r="T322" i="3"/>
  <c r="U322" i="3" s="1"/>
  <c r="T425" i="3"/>
  <c r="U425" i="3" s="1"/>
  <c r="T153" i="3"/>
  <c r="U153" i="3" s="1"/>
  <c r="T104" i="3"/>
  <c r="U104" i="3" s="1"/>
  <c r="T53" i="3"/>
  <c r="U53" i="3" s="1"/>
  <c r="K45" i="3"/>
  <c r="T334" i="3"/>
  <c r="U334" i="3" s="1"/>
  <c r="T374" i="3"/>
  <c r="U374" i="3" s="1"/>
  <c r="T156" i="3"/>
  <c r="U156" i="3" s="1"/>
  <c r="T209" i="3"/>
  <c r="U209" i="3" s="1"/>
  <c r="T102" i="3"/>
  <c r="U102" i="3" s="1"/>
  <c r="T382" i="3"/>
  <c r="U382" i="3" s="1"/>
  <c r="T124" i="3"/>
  <c r="U124" i="3" s="1"/>
  <c r="T135" i="3"/>
  <c r="U135" i="3" s="1"/>
  <c r="T42" i="3"/>
  <c r="U42" i="3" s="1"/>
  <c r="T216" i="3"/>
  <c r="U216" i="3" s="1"/>
  <c r="T297" i="3"/>
  <c r="U297" i="3" s="1"/>
  <c r="T303" i="3"/>
  <c r="U303" i="3" s="1"/>
  <c r="T444" i="3"/>
  <c r="U444" i="3" s="1"/>
  <c r="T190" i="3"/>
  <c r="U190" i="3" s="1"/>
  <c r="T95" i="3"/>
  <c r="U95" i="3" s="1"/>
  <c r="T341" i="3"/>
  <c r="U341" i="3" s="1"/>
  <c r="T158" i="3"/>
  <c r="U158" i="3" s="1"/>
  <c r="T133" i="3"/>
  <c r="U133" i="3" s="1"/>
  <c r="T395" i="3"/>
  <c r="U395" i="3" s="1"/>
  <c r="T60" i="3"/>
  <c r="U60" i="3" s="1"/>
  <c r="T179" i="3"/>
  <c r="U179" i="3" s="1"/>
  <c r="T176" i="3"/>
  <c r="U176" i="3" s="1"/>
  <c r="T296" i="3"/>
  <c r="U296" i="3" s="1"/>
  <c r="T321" i="3"/>
  <c r="U321" i="3" s="1"/>
  <c r="T355" i="3"/>
  <c r="U355" i="3" s="1"/>
  <c r="T219" i="3"/>
  <c r="U219" i="3" s="1"/>
  <c r="T82" i="3"/>
  <c r="U82" i="3" s="1"/>
  <c r="T313" i="3"/>
  <c r="U313" i="3" s="1"/>
  <c r="K263" i="3"/>
  <c r="T96" i="3"/>
  <c r="U96" i="3" s="1"/>
  <c r="T381" i="3"/>
  <c r="U381" i="3" s="1"/>
  <c r="T304" i="3"/>
  <c r="U304" i="3" s="1"/>
  <c r="T284" i="3"/>
  <c r="U284" i="3" s="1"/>
  <c r="T134" i="3"/>
  <c r="U134" i="3" s="1"/>
  <c r="T155" i="3"/>
  <c r="U155" i="3" s="1"/>
  <c r="T360" i="3"/>
  <c r="U360" i="3" s="1"/>
  <c r="T187" i="3"/>
  <c r="U187" i="3" s="1"/>
  <c r="T215" i="3"/>
  <c r="U215" i="3" s="1"/>
  <c r="T312" i="3"/>
  <c r="U312" i="3" s="1"/>
  <c r="T299" i="3"/>
  <c r="U299" i="3" s="1"/>
  <c r="T308" i="3"/>
  <c r="U308" i="3" s="1"/>
  <c r="T171" i="3"/>
  <c r="U171" i="3" s="1"/>
  <c r="K211" i="3"/>
  <c r="T191" i="3"/>
  <c r="U191" i="3" s="1"/>
  <c r="T142" i="3"/>
  <c r="U142" i="3" s="1"/>
  <c r="T162" i="3"/>
  <c r="U162" i="3" s="1"/>
  <c r="T385" i="3"/>
  <c r="U385" i="3" s="1"/>
  <c r="T151" i="3"/>
  <c r="U151" i="3" s="1"/>
  <c r="T59" i="3"/>
  <c r="U59" i="3" s="1"/>
  <c r="T217" i="3"/>
  <c r="U217" i="3" s="1"/>
  <c r="T329" i="3"/>
  <c r="U329" i="3" s="1"/>
  <c r="T73" i="3"/>
  <c r="U73" i="3" s="1"/>
  <c r="T414" i="3"/>
  <c r="U414" i="3" s="1"/>
  <c r="T12" i="3"/>
  <c r="U12" i="3" s="1"/>
  <c r="T235" i="3"/>
  <c r="U235" i="3" s="1"/>
  <c r="T305" i="3"/>
  <c r="U305" i="3" s="1"/>
  <c r="T300" i="3"/>
  <c r="U300" i="3" s="1"/>
  <c r="T316" i="3"/>
  <c r="U316" i="3" s="1"/>
  <c r="T238" i="3"/>
  <c r="U238" i="3" s="1"/>
  <c r="T377" i="3"/>
  <c r="U377" i="3" s="1"/>
  <c r="T220" i="3"/>
  <c r="U220" i="3" s="1"/>
  <c r="T282" i="3"/>
  <c r="U282" i="3" s="1"/>
  <c r="T174" i="3"/>
  <c r="U174" i="3" s="1"/>
  <c r="T441" i="3"/>
  <c r="U441" i="3" s="1"/>
  <c r="T403" i="3"/>
  <c r="U403" i="3" s="1"/>
  <c r="T236" i="3"/>
  <c r="U236" i="3" s="1"/>
  <c r="T57" i="3"/>
  <c r="U57" i="3" s="1"/>
  <c r="T30" i="3"/>
  <c r="U30" i="3" s="1"/>
  <c r="T172" i="3"/>
  <c r="U172" i="3" s="1"/>
  <c r="T8" i="3"/>
  <c r="U8" i="3" s="1"/>
  <c r="T256" i="3"/>
  <c r="U256" i="3" s="1"/>
  <c r="T361" i="3"/>
  <c r="U361" i="3" s="1"/>
  <c r="T27" i="3"/>
  <c r="U27" i="3" s="1"/>
  <c r="T32" i="3"/>
  <c r="U32" i="3" s="1"/>
  <c r="T31" i="3"/>
  <c r="U31" i="3" s="1"/>
  <c r="T408" i="3"/>
  <c r="U408" i="3" s="1"/>
  <c r="T405" i="3"/>
  <c r="U405" i="3" s="1"/>
  <c r="T80" i="3"/>
  <c r="U80" i="3" s="1"/>
  <c r="T20" i="3"/>
  <c r="U20" i="3" s="1"/>
  <c r="T17" i="3"/>
  <c r="U17" i="3" s="1"/>
  <c r="T19" i="3"/>
  <c r="U19" i="3" s="1"/>
  <c r="T18" i="3"/>
  <c r="U18" i="3" s="1"/>
  <c r="T21" i="3"/>
  <c r="U21" i="3" s="1"/>
  <c r="T400" i="3"/>
  <c r="U400" i="3" s="1"/>
  <c r="T332" i="3"/>
  <c r="U332" i="3" s="1"/>
  <c r="T78" i="3"/>
  <c r="U78" i="3" s="1"/>
  <c r="S260" i="3"/>
  <c r="S263" i="3" s="1"/>
  <c r="R263" i="3"/>
  <c r="T430" i="3"/>
  <c r="U430" i="3" s="1"/>
  <c r="T193" i="3"/>
  <c r="U193" i="3" s="1"/>
  <c r="T249" i="3"/>
  <c r="U249" i="3" s="1"/>
  <c r="T185" i="3"/>
  <c r="U185" i="3" s="1"/>
  <c r="T428" i="3"/>
  <c r="U428" i="3" s="1"/>
  <c r="S208" i="3"/>
  <c r="S211" i="3" s="1"/>
  <c r="R211" i="3"/>
  <c r="T240" i="3"/>
  <c r="U240" i="3" s="1"/>
  <c r="T231" i="3"/>
  <c r="U231" i="3" s="1"/>
  <c r="T401" i="3"/>
  <c r="U401" i="3" s="1"/>
  <c r="T243" i="3"/>
  <c r="U243" i="3" s="1"/>
  <c r="T161" i="3"/>
  <c r="U161" i="3" s="1"/>
  <c r="T137" i="3"/>
  <c r="U137" i="3" s="1"/>
  <c r="T120" i="3"/>
  <c r="U120" i="3" s="1"/>
  <c r="T131" i="3"/>
  <c r="U131" i="3" s="1"/>
  <c r="T143" i="3"/>
  <c r="U143" i="3" s="1"/>
  <c r="T141" i="3"/>
  <c r="U141" i="3" s="1"/>
  <c r="T136" i="3"/>
  <c r="U136" i="3" s="1"/>
  <c r="T130" i="3"/>
  <c r="U130" i="3" s="1"/>
  <c r="T122" i="3"/>
  <c r="U122" i="3" s="1"/>
  <c r="T147" i="3"/>
  <c r="U147" i="3" s="1"/>
  <c r="T117" i="3"/>
  <c r="U117" i="3" s="1"/>
  <c r="T145" i="3"/>
  <c r="U145" i="3" s="1"/>
  <c r="T223" i="3"/>
  <c r="U223" i="3" s="1"/>
  <c r="T98" i="3"/>
  <c r="U98" i="3" s="1"/>
  <c r="T97" i="3"/>
  <c r="U97" i="3" s="1"/>
  <c r="T93" i="3"/>
  <c r="U93" i="3" s="1"/>
  <c r="T103" i="3"/>
  <c r="U103" i="3" s="1"/>
  <c r="T101" i="3"/>
  <c r="U101" i="3" s="1"/>
  <c r="T94" i="3"/>
  <c r="U94" i="3" s="1"/>
  <c r="T105" i="3"/>
  <c r="U105" i="3" s="1"/>
  <c r="T328" i="3"/>
  <c r="U328" i="3" s="1"/>
  <c r="T342" i="3"/>
  <c r="U342" i="3" s="1"/>
  <c r="T344" i="3"/>
  <c r="U344" i="3" s="1"/>
  <c r="T182" i="3"/>
  <c r="U182" i="3" s="1"/>
  <c r="T62" i="3"/>
  <c r="U62" i="3" s="1"/>
  <c r="T181" i="3"/>
  <c r="U181" i="3" s="1"/>
  <c r="Q372" i="3"/>
  <c r="P387" i="3"/>
  <c r="T373" i="3"/>
  <c r="U373" i="3" s="1"/>
  <c r="T41" i="3"/>
  <c r="U41" i="3" s="1"/>
  <c r="T50" i="3"/>
  <c r="U50" i="3" s="1"/>
  <c r="Q47" i="3"/>
  <c r="P84" i="3"/>
  <c r="T175" i="3"/>
  <c r="U175" i="3" s="1"/>
  <c r="T349" i="3"/>
  <c r="U349" i="3" s="1"/>
  <c r="T418" i="3"/>
  <c r="U418" i="3" s="1"/>
  <c r="T274" i="3"/>
  <c r="U274" i="3" s="1"/>
  <c r="T277" i="3"/>
  <c r="U277" i="3" s="1"/>
  <c r="T295" i="3"/>
  <c r="U295" i="3" s="1"/>
  <c r="Q338" i="3"/>
  <c r="P345" i="3"/>
  <c r="T348" i="3"/>
  <c r="U348" i="3" s="1"/>
  <c r="Q347" i="3"/>
  <c r="P364" i="3"/>
  <c r="S273" i="3"/>
  <c r="S336" i="3" s="1"/>
  <c r="R336" i="3"/>
  <c r="S170" i="3"/>
  <c r="S200" i="3" s="1"/>
  <c r="R200" i="3"/>
  <c r="T29" i="3"/>
  <c r="U29" i="3" s="1"/>
  <c r="T28" i="3"/>
  <c r="U28" i="3" s="1"/>
  <c r="T194" i="3"/>
  <c r="U194" i="3" s="1"/>
  <c r="T407" i="3"/>
  <c r="U407" i="3" s="1"/>
  <c r="T22" i="3"/>
  <c r="U22" i="3" s="1"/>
  <c r="T14" i="3"/>
  <c r="U14" i="3" s="1"/>
  <c r="T13" i="3"/>
  <c r="U13" i="3" s="1"/>
  <c r="T77" i="3"/>
  <c r="U77" i="3" s="1"/>
  <c r="T426" i="3"/>
  <c r="U426" i="3" s="1"/>
  <c r="T192" i="3"/>
  <c r="U192" i="3" s="1"/>
  <c r="T227" i="3"/>
  <c r="U227" i="3" s="1"/>
  <c r="T125" i="3"/>
  <c r="U125" i="3" s="1"/>
  <c r="T157" i="3"/>
  <c r="U157" i="3" s="1"/>
  <c r="T149" i="3"/>
  <c r="U149" i="3" s="1"/>
  <c r="T121" i="3"/>
  <c r="U121" i="3" s="1"/>
  <c r="Q129" i="3"/>
  <c r="P163" i="3"/>
  <c r="S92" i="3"/>
  <c r="S107" i="3" s="1"/>
  <c r="R107" i="3"/>
  <c r="T422" i="3"/>
  <c r="U422" i="3" s="1"/>
  <c r="T70" i="3"/>
  <c r="U70" i="3" s="1"/>
  <c r="T415" i="3"/>
  <c r="U415" i="3" s="1"/>
  <c r="T61" i="3"/>
  <c r="U61" i="3" s="1"/>
  <c r="T393" i="3"/>
  <c r="U393" i="3" s="1"/>
  <c r="T48" i="3"/>
  <c r="U48" i="3" s="1"/>
  <c r="T9" i="3"/>
  <c r="U9" i="3" s="1"/>
  <c r="S213" i="3"/>
  <c r="S224" i="3" s="1"/>
  <c r="R224" i="3"/>
  <c r="T234" i="3"/>
  <c r="U234" i="3" s="1"/>
  <c r="T222" i="3"/>
  <c r="U222" i="3" s="1"/>
  <c r="T413" i="3"/>
  <c r="U413" i="3" s="1"/>
  <c r="S412" i="3"/>
  <c r="S434" i="3" s="1"/>
  <c r="R434" i="3"/>
  <c r="T309" i="3"/>
  <c r="U309" i="3" s="1"/>
  <c r="T278" i="3"/>
  <c r="U278" i="3" s="1"/>
  <c r="T311" i="3"/>
  <c r="U311" i="3" s="1"/>
  <c r="T310" i="3"/>
  <c r="U310" i="3" s="1"/>
  <c r="T307" i="3"/>
  <c r="U307" i="3" s="1"/>
  <c r="T350" i="3"/>
  <c r="U350" i="3" s="1"/>
  <c r="T318" i="3"/>
  <c r="U318" i="3" s="1"/>
  <c r="T402" i="3"/>
  <c r="U402" i="3" s="1"/>
  <c r="S389" i="3"/>
  <c r="S410" i="3" s="1"/>
  <c r="R410" i="3"/>
  <c r="T198" i="3"/>
  <c r="U198" i="3" s="1"/>
  <c r="S39" i="3"/>
  <c r="S45" i="3" s="1"/>
  <c r="R45" i="3"/>
  <c r="T7" i="3"/>
  <c r="U7" i="3" s="1"/>
  <c r="T6" i="3"/>
  <c r="U6" i="3" s="1"/>
  <c r="T26" i="3"/>
  <c r="U26" i="3" s="1"/>
  <c r="T33" i="3"/>
  <c r="U33" i="3" s="1"/>
  <c r="T406" i="3"/>
  <c r="U406" i="3" s="1"/>
  <c r="T16" i="3"/>
  <c r="U16" i="3" s="1"/>
  <c r="T36" i="3"/>
  <c r="U36" i="3" s="1"/>
  <c r="T177" i="3"/>
  <c r="U177" i="3" s="1"/>
  <c r="T331" i="3"/>
  <c r="U331" i="3" s="1"/>
  <c r="T262" i="3"/>
  <c r="U262" i="3" s="1"/>
  <c r="T253" i="3"/>
  <c r="U253" i="3" s="1"/>
  <c r="S115" i="3"/>
  <c r="S126" i="3" s="1"/>
  <c r="R126" i="3"/>
  <c r="T429" i="3"/>
  <c r="U429" i="3" s="1"/>
  <c r="T233" i="3"/>
  <c r="U233" i="3" s="1"/>
  <c r="T242" i="3"/>
  <c r="U242" i="3" s="1"/>
  <c r="T146" i="3"/>
  <c r="U146" i="3" s="1"/>
  <c r="T160" i="3"/>
  <c r="U160" i="3" s="1"/>
  <c r="T119" i="3"/>
  <c r="U119" i="3" s="1"/>
  <c r="T118" i="3"/>
  <c r="U118" i="3" s="1"/>
  <c r="T148" i="3"/>
  <c r="U148" i="3" s="1"/>
  <c r="T152" i="3"/>
  <c r="U152" i="3" s="1"/>
  <c r="T150" i="3"/>
  <c r="U150" i="3" s="1"/>
  <c r="T398" i="3"/>
  <c r="U398" i="3" s="1"/>
  <c r="T186" i="3"/>
  <c r="U186" i="3" s="1"/>
  <c r="T68" i="3"/>
  <c r="U68" i="3" s="1"/>
  <c r="T380" i="3"/>
  <c r="U380" i="3" s="1"/>
  <c r="T229" i="3"/>
  <c r="U229" i="3" s="1"/>
  <c r="T52" i="3"/>
  <c r="U52" i="3" s="1"/>
  <c r="T11" i="3"/>
  <c r="U11" i="3" s="1"/>
  <c r="T275" i="3"/>
  <c r="U275" i="3" s="1"/>
  <c r="T294" i="3"/>
  <c r="U294" i="3" s="1"/>
  <c r="T283" i="3"/>
  <c r="U283" i="3" s="1"/>
  <c r="T281" i="3"/>
  <c r="U281" i="3" s="1"/>
  <c r="T306" i="3"/>
  <c r="U306" i="3" s="1"/>
  <c r="T279" i="3"/>
  <c r="U279" i="3" s="1"/>
  <c r="T315" i="3"/>
  <c r="U315" i="3" s="1"/>
  <c r="Q5" i="3"/>
  <c r="P37" i="3"/>
  <c r="Q226" i="3"/>
  <c r="P257" i="3"/>
  <c r="T270" i="3"/>
  <c r="U270" i="3" s="1"/>
  <c r="Q260" i="3"/>
  <c r="P263" i="3"/>
  <c r="Q208" i="3"/>
  <c r="P211" i="3"/>
  <c r="S372" i="3"/>
  <c r="S387" i="3" s="1"/>
  <c r="R387" i="3"/>
  <c r="S47" i="3"/>
  <c r="S84" i="3" s="1"/>
  <c r="R84" i="3"/>
  <c r="S338" i="3"/>
  <c r="S345" i="3" s="1"/>
  <c r="R345" i="3"/>
  <c r="S347" i="3"/>
  <c r="S364" i="3" s="1"/>
  <c r="R364" i="3"/>
  <c r="Q273" i="3"/>
  <c r="P336" i="3"/>
  <c r="Q170" i="3"/>
  <c r="P200" i="3"/>
  <c r="S129" i="3"/>
  <c r="S163" i="3" s="1"/>
  <c r="R163" i="3"/>
  <c r="Q92" i="3"/>
  <c r="P107" i="3"/>
  <c r="Q213" i="3"/>
  <c r="P224" i="3"/>
  <c r="Q412" i="3"/>
  <c r="P434" i="3"/>
  <c r="Q389" i="3"/>
  <c r="P410" i="3"/>
  <c r="Q39" i="3"/>
  <c r="P45" i="3"/>
  <c r="Q115" i="3"/>
  <c r="P126" i="3"/>
  <c r="S5" i="3"/>
  <c r="S37" i="3" s="1"/>
  <c r="R37" i="3"/>
  <c r="S226" i="3"/>
  <c r="S257" i="3" s="1"/>
  <c r="R257" i="3"/>
  <c r="K364" i="3"/>
  <c r="K224" i="3"/>
  <c r="K410" i="3"/>
  <c r="K107" i="3"/>
  <c r="K109" i="3" s="1"/>
  <c r="K434" i="3"/>
  <c r="K257" i="3"/>
  <c r="K387" i="3"/>
  <c r="K345" i="3"/>
  <c r="K200" i="3"/>
  <c r="K202" i="3" s="1"/>
  <c r="K37" i="3"/>
  <c r="K126" i="3"/>
  <c r="K84" i="3"/>
  <c r="H347" i="3"/>
  <c r="I347" i="3" s="1"/>
  <c r="G364" i="3"/>
  <c r="H389" i="3"/>
  <c r="I389" i="3" s="1"/>
  <c r="G410" i="3"/>
  <c r="H226" i="3"/>
  <c r="I226" i="3" s="1"/>
  <c r="G257" i="3"/>
  <c r="H338" i="3"/>
  <c r="I338" i="3" s="1"/>
  <c r="G345" i="3"/>
  <c r="H129" i="3"/>
  <c r="I129" i="3" s="1"/>
  <c r="G163" i="3"/>
  <c r="H273" i="3"/>
  <c r="I273" i="3" s="1"/>
  <c r="G336" i="3"/>
  <c r="I441" i="3"/>
  <c r="G446" i="3"/>
  <c r="H170" i="3"/>
  <c r="I170" i="3" s="1"/>
  <c r="G200" i="3"/>
  <c r="H213" i="3"/>
  <c r="G224" i="3"/>
  <c r="H92" i="3"/>
  <c r="G107" i="3"/>
  <c r="H372" i="3"/>
  <c r="I372" i="3" s="1"/>
  <c r="G387" i="3"/>
  <c r="H115" i="3"/>
  <c r="I115" i="3" s="1"/>
  <c r="G126" i="3"/>
  <c r="H412" i="3"/>
  <c r="I412" i="3" s="1"/>
  <c r="G434" i="3"/>
  <c r="K336" i="3"/>
  <c r="I294" i="3"/>
  <c r="J294" i="3" s="1"/>
  <c r="F92" i="3"/>
  <c r="E107" i="3"/>
  <c r="I322" i="3"/>
  <c r="I71" i="3"/>
  <c r="I57" i="3"/>
  <c r="I240" i="3"/>
  <c r="I234" i="3"/>
  <c r="I120" i="3"/>
  <c r="I147" i="3"/>
  <c r="I217" i="3"/>
  <c r="I355" i="3"/>
  <c r="I94" i="3"/>
  <c r="I401" i="3"/>
  <c r="I328" i="3"/>
  <c r="I237" i="3"/>
  <c r="I299" i="3"/>
  <c r="I316" i="3"/>
  <c r="I312" i="3"/>
  <c r="I359" i="3"/>
  <c r="I377" i="3"/>
  <c r="I298" i="3"/>
  <c r="I48" i="3"/>
  <c r="I306" i="3"/>
  <c r="I96" i="3"/>
  <c r="I177" i="3"/>
  <c r="I256" i="3"/>
  <c r="I193" i="3"/>
  <c r="I133" i="3"/>
  <c r="I221" i="3"/>
  <c r="I405" i="3"/>
  <c r="I100" i="3"/>
  <c r="I332" i="3"/>
  <c r="I141" i="3"/>
  <c r="I407" i="3"/>
  <c r="I157" i="3"/>
  <c r="I398" i="3"/>
  <c r="I376" i="3"/>
  <c r="I400" i="3"/>
  <c r="I105" i="3"/>
  <c r="I381" i="3"/>
  <c r="I333" i="3"/>
  <c r="I62" i="3"/>
  <c r="I70" i="3"/>
  <c r="I160" i="3"/>
  <c r="I444" i="3"/>
  <c r="I253" i="3"/>
  <c r="I152" i="3"/>
  <c r="I382" i="3"/>
  <c r="I415" i="3"/>
  <c r="I191" i="3"/>
  <c r="I42" i="3"/>
  <c r="I176" i="3"/>
  <c r="I300" i="3"/>
  <c r="I142" i="3"/>
  <c r="I262" i="3"/>
  <c r="I208" i="3"/>
  <c r="I223" i="3"/>
  <c r="I60" i="3"/>
  <c r="I41" i="3"/>
  <c r="I198" i="3"/>
  <c r="I220" i="3"/>
  <c r="I279" i="3"/>
  <c r="I361" i="3"/>
  <c r="I329" i="3"/>
  <c r="I373" i="3"/>
  <c r="I403" i="3"/>
  <c r="I395" i="3"/>
  <c r="I194" i="3"/>
  <c r="I246" i="3"/>
  <c r="I341" i="3"/>
  <c r="I134" i="3"/>
  <c r="I80" i="3"/>
  <c r="I418" i="3"/>
  <c r="I103" i="3"/>
  <c r="I77" i="3"/>
  <c r="I162" i="3"/>
  <c r="I315" i="3"/>
  <c r="I374" i="3"/>
  <c r="I187" i="3"/>
  <c r="I179" i="3"/>
  <c r="I303" i="3"/>
  <c r="I406" i="3"/>
  <c r="I282" i="3"/>
  <c r="I402" i="3"/>
  <c r="I239" i="3"/>
  <c r="I342" i="3"/>
  <c r="I310" i="3"/>
  <c r="I278" i="3"/>
  <c r="I68" i="3"/>
  <c r="I101" i="3"/>
  <c r="I181" i="3"/>
  <c r="I321" i="3"/>
  <c r="I39" i="3"/>
  <c r="I229" i="3"/>
  <c r="I320" i="3"/>
  <c r="I235" i="3"/>
  <c r="I79" i="3"/>
  <c r="I243" i="3"/>
  <c r="I182" i="3"/>
  <c r="I125" i="3"/>
  <c r="I276" i="3"/>
  <c r="I78" i="3"/>
  <c r="I423" i="3"/>
  <c r="I73" i="3"/>
  <c r="I150" i="3"/>
  <c r="I275" i="3"/>
  <c r="I154" i="3"/>
  <c r="I155" i="3"/>
  <c r="I209" i="3"/>
  <c r="I138" i="3"/>
  <c r="I222" i="3"/>
  <c r="I159" i="3"/>
  <c r="I301" i="3"/>
  <c r="I118" i="3"/>
  <c r="I343" i="3"/>
  <c r="I98" i="3"/>
  <c r="I408" i="3"/>
  <c r="I385" i="3"/>
  <c r="I158" i="3"/>
  <c r="I81" i="3"/>
  <c r="I360" i="3"/>
  <c r="I47" i="3"/>
  <c r="I313" i="3"/>
  <c r="I185" i="3"/>
  <c r="I302" i="3"/>
  <c r="I192" i="3"/>
  <c r="I97" i="3"/>
  <c r="I59" i="3"/>
  <c r="I104" i="3"/>
  <c r="I121" i="3"/>
  <c r="I393" i="3"/>
  <c r="I174" i="3"/>
  <c r="I131" i="3"/>
  <c r="I277" i="3"/>
  <c r="I119" i="3"/>
  <c r="I95" i="3"/>
  <c r="I236" i="3"/>
  <c r="I297" i="3"/>
  <c r="I44" i="3"/>
  <c r="I61" i="3"/>
  <c r="I210" i="3"/>
  <c r="I384" i="3"/>
  <c r="I348" i="3"/>
  <c r="I117" i="3"/>
  <c r="I431" i="3"/>
  <c r="I357" i="3"/>
  <c r="I430" i="3"/>
  <c r="I397" i="3"/>
  <c r="I422" i="3"/>
  <c r="I350" i="3"/>
  <c r="I308" i="3"/>
  <c r="I238" i="3"/>
  <c r="I274" i="3"/>
  <c r="I143" i="3"/>
  <c r="I190" i="3"/>
  <c r="I156" i="3"/>
  <c r="I171" i="3"/>
  <c r="I219" i="3"/>
  <c r="I130" i="3"/>
  <c r="I50" i="3"/>
  <c r="I233" i="3"/>
  <c r="I227" i="3"/>
  <c r="I429" i="3"/>
  <c r="I394" i="3"/>
  <c r="I146" i="3"/>
  <c r="I284" i="3"/>
  <c r="I199" i="3"/>
  <c r="I93" i="3"/>
  <c r="I58" i="3"/>
  <c r="I295" i="3"/>
  <c r="I344" i="3"/>
  <c r="I149" i="3"/>
  <c r="I318" i="3"/>
  <c r="I280" i="3"/>
  <c r="G37" i="3"/>
  <c r="F213" i="3"/>
  <c r="E224" i="3"/>
  <c r="I172" i="3"/>
  <c r="I427" i="3"/>
  <c r="I124" i="3"/>
  <c r="I216" i="3"/>
  <c r="I317" i="3"/>
  <c r="I102" i="3"/>
  <c r="I334" i="3"/>
  <c r="I305" i="3"/>
  <c r="I331" i="3"/>
  <c r="I132" i="3"/>
  <c r="I186" i="3"/>
  <c r="I249" i="3"/>
  <c r="I122" i="3"/>
  <c r="I215" i="3"/>
  <c r="I151" i="3"/>
  <c r="I123" i="3"/>
  <c r="I72" i="3"/>
  <c r="I281" i="3"/>
  <c r="I83" i="3"/>
  <c r="I242" i="3"/>
  <c r="I425" i="3"/>
  <c r="I231" i="3"/>
  <c r="I135" i="3"/>
  <c r="I414" i="3"/>
  <c r="I136" i="3"/>
  <c r="I148" i="3"/>
  <c r="I40" i="3"/>
  <c r="I260" i="3"/>
  <c r="I51" i="3"/>
  <c r="I52" i="3"/>
  <c r="I380" i="3"/>
  <c r="I413" i="3"/>
  <c r="I116" i="3"/>
  <c r="I307" i="3"/>
  <c r="I161" i="3"/>
  <c r="I247" i="3"/>
  <c r="I173" i="3"/>
  <c r="I175" i="3"/>
  <c r="I153" i="3"/>
  <c r="I309" i="3"/>
  <c r="I283" i="3"/>
  <c r="I304" i="3"/>
  <c r="I311" i="3"/>
  <c r="I137" i="3"/>
  <c r="I296" i="3"/>
  <c r="I426" i="3"/>
  <c r="I228" i="3"/>
  <c r="I428" i="3"/>
  <c r="I145" i="3"/>
  <c r="I53" i="3"/>
  <c r="I349" i="3"/>
  <c r="I82" i="3"/>
  <c r="J448" i="3"/>
  <c r="G366" i="3" l="1"/>
  <c r="K366" i="3"/>
  <c r="I270" i="3"/>
  <c r="J270" i="3" s="1"/>
  <c r="K265" i="3"/>
  <c r="K165" i="3"/>
  <c r="G165" i="3"/>
  <c r="Q257" i="3"/>
  <c r="T226" i="3"/>
  <c r="Q37" i="3"/>
  <c r="T5" i="3"/>
  <c r="Q163" i="3"/>
  <c r="T129" i="3"/>
  <c r="Q345" i="3"/>
  <c r="T338" i="3"/>
  <c r="Q84" i="3"/>
  <c r="T47" i="3"/>
  <c r="Q126" i="3"/>
  <c r="T115" i="3"/>
  <c r="Q45" i="3"/>
  <c r="T39" i="3"/>
  <c r="Q410" i="3"/>
  <c r="T389" i="3"/>
  <c r="Q434" i="3"/>
  <c r="T412" i="3"/>
  <c r="Q224" i="3"/>
  <c r="T213" i="3"/>
  <c r="Q107" i="3"/>
  <c r="T92" i="3"/>
  <c r="Q200" i="3"/>
  <c r="T170" i="3"/>
  <c r="Q336" i="3"/>
  <c r="T273" i="3"/>
  <c r="Q211" i="3"/>
  <c r="T208" i="3"/>
  <c r="Q263" i="3"/>
  <c r="T260" i="3"/>
  <c r="Q364" i="3"/>
  <c r="T347" i="3"/>
  <c r="Q387" i="3"/>
  <c r="T372" i="3"/>
  <c r="K85" i="3"/>
  <c r="K436" i="3"/>
  <c r="I213" i="3"/>
  <c r="I92" i="3"/>
  <c r="L446" i="3"/>
  <c r="L434" i="3"/>
  <c r="M336" i="3"/>
  <c r="L336" i="3"/>
  <c r="M364" i="3"/>
  <c r="L364" i="3"/>
  <c r="M263" i="3"/>
  <c r="L263" i="3"/>
  <c r="K447" i="3" l="1"/>
  <c r="K455" i="3" s="1"/>
  <c r="K464" i="3" s="1"/>
  <c r="K488" i="3" s="1"/>
  <c r="U372" i="3"/>
  <c r="T387" i="3"/>
  <c r="U387" i="3" s="1"/>
  <c r="U347" i="3"/>
  <c r="T364" i="3"/>
  <c r="U364" i="3" s="1"/>
  <c r="U260" i="3"/>
  <c r="T263" i="3"/>
  <c r="U263" i="3" s="1"/>
  <c r="T211" i="3"/>
  <c r="U211" i="3" s="1"/>
  <c r="U208" i="3"/>
  <c r="U273" i="3"/>
  <c r="T336" i="3"/>
  <c r="U336" i="3" s="1"/>
  <c r="T200" i="3"/>
  <c r="U200" i="3" s="1"/>
  <c r="U170" i="3"/>
  <c r="U92" i="3"/>
  <c r="T107" i="3"/>
  <c r="U107" i="3" s="1"/>
  <c r="T224" i="3"/>
  <c r="U224" i="3" s="1"/>
  <c r="U213" i="3"/>
  <c r="T434" i="3"/>
  <c r="U434" i="3" s="1"/>
  <c r="U412" i="3"/>
  <c r="U389" i="3"/>
  <c r="T410" i="3"/>
  <c r="U410" i="3" s="1"/>
  <c r="U39" i="3"/>
  <c r="T45" i="3"/>
  <c r="U45" i="3" s="1"/>
  <c r="T126" i="3"/>
  <c r="U126" i="3" s="1"/>
  <c r="U115" i="3"/>
  <c r="U47" i="3"/>
  <c r="T84" i="3"/>
  <c r="U84" i="3" s="1"/>
  <c r="T345" i="3"/>
  <c r="U345" i="3" s="1"/>
  <c r="U338" i="3"/>
  <c r="T163" i="3"/>
  <c r="U163" i="3" s="1"/>
  <c r="U129" i="3"/>
  <c r="T37" i="3"/>
  <c r="U37" i="3" s="1"/>
  <c r="U5" i="3"/>
  <c r="T257" i="3"/>
  <c r="U257" i="3" s="1"/>
  <c r="U226" i="3"/>
  <c r="J437" i="3"/>
  <c r="J367" i="3"/>
  <c r="M45" i="3"/>
  <c r="M37" i="3"/>
  <c r="M84" i="3"/>
  <c r="M126" i="3"/>
  <c r="M163" i="3"/>
  <c r="M107" i="3"/>
  <c r="M211" i="3"/>
  <c r="M224" i="3"/>
  <c r="M257" i="3"/>
  <c r="L257" i="3"/>
  <c r="M200" i="3"/>
  <c r="M345" i="3"/>
  <c r="M387" i="3"/>
  <c r="M410" i="3"/>
  <c r="M434" i="3"/>
  <c r="M446" i="3"/>
  <c r="L45" i="3"/>
  <c r="L126" i="3"/>
  <c r="O163" i="3"/>
  <c r="L37" i="3"/>
  <c r="L84" i="3"/>
  <c r="L163" i="3"/>
  <c r="L107" i="3"/>
  <c r="L211" i="3"/>
  <c r="L224" i="3"/>
  <c r="L200" i="3"/>
  <c r="L345" i="3"/>
  <c r="L387" i="3"/>
  <c r="L410" i="3"/>
  <c r="L447" i="3" l="1"/>
  <c r="M447" i="3"/>
  <c r="L85" i="3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2" i="10"/>
  <c r="O107" i="3"/>
  <c r="N107" i="3"/>
  <c r="L455" i="3" l="1"/>
  <c r="L464" i="3" s="1"/>
  <c r="K489" i="3" s="1"/>
  <c r="K491" i="3" s="1"/>
  <c r="O211" i="3"/>
  <c r="I489" i="3" l="1"/>
  <c r="F489" i="3"/>
  <c r="A986" i="5"/>
  <c r="M436" i="3" l="1"/>
  <c r="A835" i="5" l="1"/>
  <c r="A935" i="5"/>
  <c r="L436" i="3" l="1"/>
  <c r="A840" i="5"/>
  <c r="A5" i="5"/>
  <c r="M85" i="3" l="1"/>
  <c r="M455" i="3" s="1"/>
  <c r="M464" i="3" s="1"/>
  <c r="H489" i="3" s="1"/>
  <c r="O37" i="3"/>
  <c r="A856" i="5" l="1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6" i="5"/>
  <c r="A837" i="5"/>
  <c r="A838" i="5"/>
  <c r="A839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5" i="5"/>
  <c r="F433" i="3" l="1"/>
  <c r="H433" i="3"/>
  <c r="J386" i="3" l="1"/>
  <c r="J174" i="3"/>
  <c r="I433" i="3"/>
  <c r="J433" i="3" s="1"/>
  <c r="J409" i="3"/>
  <c r="J48" i="3"/>
  <c r="J363" i="3"/>
  <c r="J362" i="3"/>
  <c r="J335" i="3"/>
  <c r="J226" i="3"/>
  <c r="J57" i="3"/>
  <c r="J82" i="3"/>
  <c r="J239" i="3"/>
  <c r="J95" i="3"/>
  <c r="J403" i="3"/>
  <c r="J219" i="3"/>
  <c r="J389" i="3"/>
  <c r="J374" i="3"/>
  <c r="J402" i="3"/>
  <c r="J157" i="3"/>
  <c r="J236" i="3"/>
  <c r="J302" i="3"/>
  <c r="J310" i="3"/>
  <c r="J97" i="3"/>
  <c r="J400" i="3"/>
  <c r="J93" i="3"/>
  <c r="J170" i="3"/>
  <c r="J333" i="3"/>
  <c r="H345" i="3"/>
  <c r="G45" i="3"/>
  <c r="J279" i="3"/>
  <c r="J347" i="3"/>
  <c r="H200" i="3"/>
  <c r="H202" i="3" s="1"/>
  <c r="G202" i="3"/>
  <c r="J96" i="3"/>
  <c r="G109" i="3"/>
  <c r="J47" i="3"/>
  <c r="G84" i="3"/>
  <c r="H434" i="3"/>
  <c r="J231" i="3"/>
  <c r="J221" i="3"/>
  <c r="J235" i="3"/>
  <c r="J51" i="3"/>
  <c r="J313" i="3"/>
  <c r="J179" i="3"/>
  <c r="J209" i="3"/>
  <c r="J401" i="3"/>
  <c r="J185" i="3"/>
  <c r="J208" i="3"/>
  <c r="J256" i="3"/>
  <c r="J198" i="3"/>
  <c r="J233" i="3"/>
  <c r="J398" i="3"/>
  <c r="J334" i="3"/>
  <c r="J50" i="3"/>
  <c r="J418" i="3"/>
  <c r="J338" i="3"/>
  <c r="J349" i="3"/>
  <c r="J311" i="3"/>
  <c r="J348" i="3"/>
  <c r="J355" i="3"/>
  <c r="J357" i="3"/>
  <c r="J52" i="3"/>
  <c r="J42" i="3"/>
  <c r="J276" i="3"/>
  <c r="J72" i="3"/>
  <c r="J238" i="3"/>
  <c r="J275" i="3"/>
  <c r="J306" i="3"/>
  <c r="J59" i="3"/>
  <c r="J373" i="3"/>
  <c r="J350" i="3"/>
  <c r="J307" i="3"/>
  <c r="J242" i="3"/>
  <c r="J359" i="3"/>
  <c r="J83" i="3"/>
  <c r="J186" i="3"/>
  <c r="J125" i="3"/>
  <c r="J312" i="3"/>
  <c r="J273" i="3"/>
  <c r="J62" i="3"/>
  <c r="J81" i="3"/>
  <c r="J303" i="3"/>
  <c r="J274" i="3"/>
  <c r="J316" i="3"/>
  <c r="J193" i="3"/>
  <c r="J60" i="3"/>
  <c r="J277" i="3"/>
  <c r="J408" i="3"/>
  <c r="J53" i="3"/>
  <c r="J117" i="3"/>
  <c r="J118" i="3"/>
  <c r="J262" i="3"/>
  <c r="J79" i="3"/>
  <c r="E163" i="3"/>
  <c r="E336" i="3"/>
  <c r="F434" i="3"/>
  <c r="E434" i="3"/>
  <c r="J131" i="3"/>
  <c r="J430" i="3"/>
  <c r="J393" i="3"/>
  <c r="E410" i="3"/>
  <c r="J309" i="3"/>
  <c r="E200" i="3"/>
  <c r="E202" i="3" s="1"/>
  <c r="E263" i="3"/>
  <c r="E345" i="3"/>
  <c r="E257" i="3"/>
  <c r="J213" i="3"/>
  <c r="E387" i="3"/>
  <c r="E84" i="3"/>
  <c r="J229" i="3"/>
  <c r="E126" i="3"/>
  <c r="E45" i="3"/>
  <c r="H263" i="3"/>
  <c r="G263" i="3"/>
  <c r="J41" i="3"/>
  <c r="E109" i="3"/>
  <c r="J372" i="3"/>
  <c r="J376" i="3"/>
  <c r="J162" i="3"/>
  <c r="F364" i="3"/>
  <c r="E364" i="3"/>
  <c r="J304" i="3"/>
  <c r="J305" i="3"/>
  <c r="F200" i="3"/>
  <c r="J284" i="3"/>
  <c r="J160" i="3"/>
  <c r="J175" i="3"/>
  <c r="J58" i="3"/>
  <c r="J341" i="3"/>
  <c r="J384" i="3"/>
  <c r="J298" i="3"/>
  <c r="J80" i="3"/>
  <c r="J61" i="3"/>
  <c r="J318" i="3"/>
  <c r="J177" i="3"/>
  <c r="J317" i="3"/>
  <c r="J315" i="3"/>
  <c r="J308" i="3"/>
  <c r="J44" i="3"/>
  <c r="J161" i="3"/>
  <c r="J297" i="3"/>
  <c r="J181" i="3"/>
  <c r="J282" i="3"/>
  <c r="J413" i="3"/>
  <c r="J397" i="3"/>
  <c r="J385" i="3"/>
  <c r="J40" i="3"/>
  <c r="J102" i="3"/>
  <c r="J425" i="3"/>
  <c r="J278" i="3"/>
  <c r="J296" i="3"/>
  <c r="J283" i="3"/>
  <c r="J121" i="3"/>
  <c r="J182" i="3"/>
  <c r="J331" i="3"/>
  <c r="J406" i="3"/>
  <c r="J216" i="3"/>
  <c r="J422" i="3"/>
  <c r="J173" i="3"/>
  <c r="J407" i="3"/>
  <c r="J147" i="3"/>
  <c r="J153" i="3"/>
  <c r="J135" i="3"/>
  <c r="J145" i="3"/>
  <c r="J154" i="3"/>
  <c r="J155" i="3"/>
  <c r="J149" i="3"/>
  <c r="J78" i="3"/>
  <c r="J146" i="3"/>
  <c r="J150" i="3"/>
  <c r="J152" i="3"/>
  <c r="J151" i="3"/>
  <c r="J299" i="3"/>
  <c r="J103" i="3"/>
  <c r="J159" i="3"/>
  <c r="J243" i="3"/>
  <c r="J194" i="3"/>
  <c r="J382" i="3"/>
  <c r="J360" i="3"/>
  <c r="J228" i="3"/>
  <c r="J237" i="3"/>
  <c r="J234" i="3"/>
  <c r="J249" i="3"/>
  <c r="J240" i="3"/>
  <c r="J142" i="3"/>
  <c r="J132" i="3"/>
  <c r="J253" i="3"/>
  <c r="J247" i="3"/>
  <c r="J377" i="3"/>
  <c r="J301" i="3"/>
  <c r="J246" i="3"/>
  <c r="J134" i="3"/>
  <c r="J136" i="3"/>
  <c r="J143" i="3"/>
  <c r="J141" i="3"/>
  <c r="J124" i="3"/>
  <c r="J120" i="3"/>
  <c r="J133" i="3"/>
  <c r="J138" i="3"/>
  <c r="J156" i="3"/>
  <c r="J158" i="3"/>
  <c r="G211" i="3"/>
  <c r="J101" i="3"/>
  <c r="J77" i="3"/>
  <c r="E211" i="3"/>
  <c r="J187" i="3"/>
  <c r="J280" i="3"/>
  <c r="J172" i="3"/>
  <c r="J429" i="3"/>
  <c r="J442" i="3"/>
  <c r="J192" i="3"/>
  <c r="J344" i="3"/>
  <c r="J320" i="3"/>
  <c r="J123" i="3"/>
  <c r="J332" i="3"/>
  <c r="J444" i="3"/>
  <c r="J394" i="3"/>
  <c r="J122" i="3"/>
  <c r="J176" i="3"/>
  <c r="J105" i="3"/>
  <c r="J171" i="3"/>
  <c r="J300" i="3"/>
  <c r="J415" i="3"/>
  <c r="J100" i="3"/>
  <c r="J427" i="3"/>
  <c r="J423" i="3"/>
  <c r="J104" i="3"/>
  <c r="J281" i="3"/>
  <c r="J215" i="3"/>
  <c r="J295" i="3"/>
  <c r="J190" i="3"/>
  <c r="J321" i="3"/>
  <c r="J116" i="3"/>
  <c r="J70" i="3"/>
  <c r="J94" i="3"/>
  <c r="J432" i="3"/>
  <c r="J428" i="3"/>
  <c r="J71" i="3"/>
  <c r="J217" i="3"/>
  <c r="J73" i="3"/>
  <c r="H410" i="3"/>
  <c r="J343" i="3"/>
  <c r="J426" i="3"/>
  <c r="J222" i="3"/>
  <c r="J328" i="3"/>
  <c r="J329" i="3"/>
  <c r="J414" i="3"/>
  <c r="J191" i="3"/>
  <c r="J431" i="3"/>
  <c r="J68" i="3"/>
  <c r="J199" i="3"/>
  <c r="J220" i="3"/>
  <c r="F446" i="3"/>
  <c r="E446" i="3"/>
  <c r="H224" i="3"/>
  <c r="J322" i="3"/>
  <c r="J380" i="3"/>
  <c r="H211" i="3"/>
  <c r="F211" i="3"/>
  <c r="F107" i="3"/>
  <c r="J223" i="3"/>
  <c r="I434" i="3" l="1"/>
  <c r="E366" i="3"/>
  <c r="G265" i="3"/>
  <c r="E265" i="3"/>
  <c r="I200" i="3"/>
  <c r="I202" i="3" s="1"/>
  <c r="G85" i="3"/>
  <c r="I211" i="3"/>
  <c r="F109" i="3"/>
  <c r="J98" i="3"/>
  <c r="H107" i="3"/>
  <c r="H109" i="3" s="1"/>
  <c r="H364" i="3"/>
  <c r="I364" i="3" s="1"/>
  <c r="J39" i="3"/>
  <c r="H336" i="3"/>
  <c r="J342" i="3"/>
  <c r="J130" i="3"/>
  <c r="H163" i="3"/>
  <c r="H387" i="3"/>
  <c r="H436" i="3" s="1"/>
  <c r="J115" i="3"/>
  <c r="H126" i="3"/>
  <c r="E165" i="3"/>
  <c r="F204" i="3"/>
  <c r="F202" i="3"/>
  <c r="J148" i="3"/>
  <c r="J227" i="3"/>
  <c r="F257" i="3"/>
  <c r="J412" i="3"/>
  <c r="F126" i="3"/>
  <c r="F345" i="3"/>
  <c r="I345" i="3" s="1"/>
  <c r="F263" i="3"/>
  <c r="I263" i="3" s="1"/>
  <c r="J260" i="3"/>
  <c r="F336" i="3"/>
  <c r="H45" i="3"/>
  <c r="H84" i="3"/>
  <c r="F45" i="3"/>
  <c r="F84" i="3"/>
  <c r="F163" i="3"/>
  <c r="J137" i="3"/>
  <c r="H257" i="3"/>
  <c r="H265" i="3" s="1"/>
  <c r="J129" i="3"/>
  <c r="J405" i="3"/>
  <c r="J445" i="3"/>
  <c r="E436" i="3"/>
  <c r="G436" i="3"/>
  <c r="F410" i="3"/>
  <c r="I410" i="3" s="1"/>
  <c r="F387" i="3"/>
  <c r="I387" i="3" s="1"/>
  <c r="J210" i="3"/>
  <c r="F224" i="3"/>
  <c r="I224" i="3" s="1"/>
  <c r="J92" i="3"/>
  <c r="I436" i="3" l="1"/>
  <c r="I336" i="3"/>
  <c r="H366" i="3"/>
  <c r="F366" i="3"/>
  <c r="G447" i="3"/>
  <c r="G455" i="3" s="1"/>
  <c r="J364" i="3"/>
  <c r="F265" i="3"/>
  <c r="I84" i="3"/>
  <c r="J84" i="3" s="1"/>
  <c r="I45" i="3"/>
  <c r="J45" i="3" s="1"/>
  <c r="I163" i="3"/>
  <c r="I126" i="3"/>
  <c r="J126" i="3" s="1"/>
  <c r="I107" i="3"/>
  <c r="I109" i="3" s="1"/>
  <c r="I257" i="3"/>
  <c r="I265" i="3" s="1"/>
  <c r="E447" i="3"/>
  <c r="J202" i="3"/>
  <c r="J345" i="3"/>
  <c r="H165" i="3"/>
  <c r="F165" i="3"/>
  <c r="F436" i="3"/>
  <c r="J361" i="3"/>
  <c r="J119" i="3"/>
  <c r="J441" i="3"/>
  <c r="H446" i="3"/>
  <c r="I446" i="3" s="1"/>
  <c r="J395" i="3"/>
  <c r="J410" i="3"/>
  <c r="J381" i="3"/>
  <c r="J224" i="3"/>
  <c r="I366" i="3" l="1"/>
  <c r="J366" i="3" s="1"/>
  <c r="I165" i="3"/>
  <c r="J165" i="3" s="1"/>
  <c r="J387" i="3"/>
  <c r="F447" i="3"/>
  <c r="I204" i="3"/>
  <c r="J200" i="3"/>
  <c r="H447" i="3"/>
  <c r="J109" i="3"/>
  <c r="J265" i="3"/>
  <c r="J107" i="3"/>
  <c r="I111" i="3"/>
  <c r="J263" i="3"/>
  <c r="F438" i="3"/>
  <c r="J434" i="3"/>
  <c r="I447" i="3" l="1"/>
  <c r="J436" i="3"/>
  <c r="I438" i="3"/>
  <c r="J211" i="3" l="1"/>
  <c r="J163" i="3" l="1"/>
  <c r="J257" i="3" l="1"/>
  <c r="F368" i="3" l="1"/>
  <c r="I368" i="3"/>
  <c r="J447" i="3" l="1"/>
  <c r="F449" i="3"/>
  <c r="I449" i="3"/>
  <c r="J336" i="3" l="1"/>
  <c r="F5" i="3" l="1"/>
  <c r="F16" i="3"/>
  <c r="F28" i="3"/>
  <c r="F18" i="3"/>
  <c r="F12" i="3"/>
  <c r="F22" i="3"/>
  <c r="F26" i="3"/>
  <c r="F30" i="3"/>
  <c r="F10" i="3"/>
  <c r="F9" i="3"/>
  <c r="F27" i="3"/>
  <c r="F7" i="3"/>
  <c r="F36" i="3"/>
  <c r="F6" i="3"/>
  <c r="F13" i="3"/>
  <c r="F14" i="3"/>
  <c r="F8" i="3"/>
  <c r="F31" i="3"/>
  <c r="F21" i="3"/>
  <c r="F17" i="3"/>
  <c r="F11" i="3"/>
  <c r="F19" i="3"/>
  <c r="F20" i="3"/>
  <c r="F33" i="3"/>
  <c r="F32" i="3"/>
  <c r="F29" i="3"/>
  <c r="H32" i="3"/>
  <c r="H16" i="3"/>
  <c r="H17" i="3"/>
  <c r="H18" i="3"/>
  <c r="H7" i="3"/>
  <c r="H19" i="3"/>
  <c r="H12" i="3"/>
  <c r="H21" i="3"/>
  <c r="H22" i="3"/>
  <c r="H6" i="3"/>
  <c r="H26" i="3"/>
  <c r="H27" i="3"/>
  <c r="H28" i="3"/>
  <c r="H20" i="3"/>
  <c r="H8" i="3"/>
  <c r="H9" i="3"/>
  <c r="H29" i="3"/>
  <c r="H10" i="3"/>
  <c r="H30" i="3"/>
  <c r="H11" i="3"/>
  <c r="H31" i="3"/>
  <c r="H13" i="3"/>
  <c r="H33" i="3"/>
  <c r="H14" i="3"/>
  <c r="H36" i="3"/>
  <c r="I12" i="3" l="1"/>
  <c r="J12" i="3" s="1"/>
  <c r="C101" i="6"/>
  <c r="C189" i="6"/>
  <c r="C105" i="6"/>
  <c r="C29" i="6"/>
  <c r="C57" i="6"/>
  <c r="C42" i="6"/>
  <c r="C58" i="6"/>
  <c r="C51" i="6"/>
  <c r="C174" i="6"/>
  <c r="C188" i="6"/>
  <c r="C117" i="6"/>
  <c r="C195" i="6"/>
  <c r="C47" i="6"/>
  <c r="C75" i="6"/>
  <c r="C92" i="6"/>
  <c r="C193" i="6"/>
  <c r="C170" i="6"/>
  <c r="C125" i="6"/>
  <c r="C165" i="6"/>
  <c r="C24" i="6"/>
  <c r="C141" i="6"/>
  <c r="C69" i="6"/>
  <c r="C163" i="6"/>
  <c r="C136" i="6"/>
  <c r="C123" i="6"/>
  <c r="C79" i="6"/>
  <c r="C64" i="6"/>
  <c r="C137" i="6"/>
  <c r="C15" i="6"/>
  <c r="C32" i="6"/>
  <c r="I18" i="3"/>
  <c r="J18" i="3" s="1"/>
  <c r="C138" i="6"/>
  <c r="C16" i="6"/>
  <c r="C96" i="6"/>
  <c r="C146" i="6"/>
  <c r="C166" i="6"/>
  <c r="C41" i="6"/>
  <c r="C48" i="6"/>
  <c r="C190" i="6"/>
  <c r="C34" i="6"/>
  <c r="C18" i="6"/>
  <c r="C112" i="6"/>
  <c r="C99" i="6"/>
  <c r="C14" i="6"/>
  <c r="C10" i="6"/>
  <c r="C150" i="6"/>
  <c r="C175" i="6"/>
  <c r="C116" i="6"/>
  <c r="C144" i="6"/>
  <c r="C23" i="6"/>
  <c r="C19" i="6"/>
  <c r="C94" i="6"/>
  <c r="C52" i="6"/>
  <c r="C85" i="6"/>
  <c r="C73" i="6"/>
  <c r="C50" i="6"/>
  <c r="C135" i="6"/>
  <c r="C169" i="6"/>
  <c r="C152" i="6"/>
  <c r="C49" i="6"/>
  <c r="C26" i="6"/>
  <c r="C197" i="6"/>
  <c r="C104" i="6"/>
  <c r="C131" i="6"/>
  <c r="C110" i="6"/>
  <c r="C183" i="6"/>
  <c r="C35" i="6"/>
  <c r="C121" i="6"/>
  <c r="C168" i="6"/>
  <c r="C82" i="6"/>
  <c r="C74" i="6"/>
  <c r="C157" i="6"/>
  <c r="C38" i="6"/>
  <c r="C80" i="6"/>
  <c r="C111" i="6"/>
  <c r="C186" i="6"/>
  <c r="C6" i="6"/>
  <c r="C66" i="6"/>
  <c r="C62" i="6"/>
  <c r="C127" i="6"/>
  <c r="C191" i="6"/>
  <c r="C27" i="6"/>
  <c r="C90" i="6"/>
  <c r="C149" i="6"/>
  <c r="C156" i="6"/>
  <c r="C118" i="6"/>
  <c r="C119" i="6"/>
  <c r="C142" i="6"/>
  <c r="C171" i="6"/>
  <c r="C93" i="6"/>
  <c r="C181" i="6"/>
  <c r="C134" i="6"/>
  <c r="C4" i="6"/>
  <c r="C113" i="6"/>
  <c r="C159" i="6"/>
  <c r="C107" i="6"/>
  <c r="C139" i="6"/>
  <c r="C89" i="6"/>
  <c r="C103" i="6"/>
  <c r="C81" i="6"/>
  <c r="C140" i="6"/>
  <c r="C72" i="6"/>
  <c r="C100" i="6"/>
  <c r="C148" i="6"/>
  <c r="C155" i="6"/>
  <c r="C45" i="6"/>
  <c r="C161" i="6"/>
  <c r="C5" i="6"/>
  <c r="C167" i="6"/>
  <c r="C44" i="6"/>
  <c r="C184" i="6"/>
  <c r="C77" i="6"/>
  <c r="C114" i="6"/>
  <c r="C39" i="6"/>
  <c r="C108" i="6"/>
  <c r="C63" i="6"/>
  <c r="C143" i="6"/>
  <c r="C43" i="6"/>
  <c r="C194" i="6"/>
  <c r="C13" i="6"/>
  <c r="C98" i="6"/>
  <c r="C84" i="6"/>
  <c r="C11" i="6"/>
  <c r="C158" i="6"/>
  <c r="C151" i="6"/>
  <c r="C37" i="6"/>
  <c r="C71" i="6"/>
  <c r="C83" i="6"/>
  <c r="C87" i="6"/>
  <c r="C129" i="6"/>
  <c r="C145" i="6"/>
  <c r="C86" i="6"/>
  <c r="C88" i="6"/>
  <c r="C133" i="6"/>
  <c r="C153" i="6"/>
  <c r="C30" i="6"/>
  <c r="C196" i="6"/>
  <c r="C115" i="6"/>
  <c r="C178" i="6"/>
  <c r="C120" i="6"/>
  <c r="C173" i="6"/>
  <c r="C106" i="6"/>
  <c r="C33" i="6"/>
  <c r="C12" i="6"/>
  <c r="C61" i="6"/>
  <c r="C128" i="6"/>
  <c r="C46" i="6"/>
  <c r="C22" i="6"/>
  <c r="C55" i="6"/>
  <c r="C130" i="6"/>
  <c r="C25" i="6"/>
  <c r="C53" i="6"/>
  <c r="C36" i="6"/>
  <c r="C124" i="6"/>
  <c r="C17" i="6"/>
  <c r="C56" i="6"/>
  <c r="C60" i="6"/>
  <c r="C8" i="6"/>
  <c r="C65" i="6"/>
  <c r="C154" i="6"/>
  <c r="C54" i="6"/>
  <c r="C162" i="6"/>
  <c r="C21" i="6"/>
  <c r="C95" i="6"/>
  <c r="C91" i="6"/>
  <c r="C102" i="6"/>
  <c r="C40" i="6"/>
  <c r="C187" i="6"/>
  <c r="C31" i="6"/>
  <c r="C164" i="6"/>
  <c r="C109" i="6"/>
  <c r="C70" i="6"/>
  <c r="C126" i="6"/>
  <c r="C68" i="6"/>
  <c r="C180" i="6"/>
  <c r="C160" i="6"/>
  <c r="C172" i="6"/>
  <c r="C7" i="6"/>
  <c r="C176" i="6"/>
  <c r="C59" i="6"/>
  <c r="C28" i="6"/>
  <c r="C132" i="6"/>
  <c r="C78" i="6"/>
  <c r="C179" i="6"/>
  <c r="C76" i="6"/>
  <c r="C97" i="6"/>
  <c r="C182" i="6"/>
  <c r="C122" i="6"/>
  <c r="C9" i="6"/>
  <c r="C185" i="6"/>
  <c r="C20" i="6"/>
  <c r="C192" i="6"/>
  <c r="C67" i="6"/>
  <c r="C177" i="6"/>
  <c r="C147" i="6"/>
  <c r="I19" i="3"/>
  <c r="J19" i="3" s="1"/>
  <c r="I20" i="3"/>
  <c r="J20" i="3" s="1"/>
  <c r="I6" i="3"/>
  <c r="J6" i="3" s="1"/>
  <c r="I36" i="3"/>
  <c r="J36" i="3" s="1"/>
  <c r="I7" i="3"/>
  <c r="J7" i="3" s="1"/>
  <c r="I28" i="3"/>
  <c r="J28" i="3" s="1"/>
  <c r="I27" i="3"/>
  <c r="J27" i="3" s="1"/>
  <c r="I16" i="3"/>
  <c r="J16" i="3" s="1"/>
  <c r="I10" i="3"/>
  <c r="J10" i="3" s="1"/>
  <c r="I31" i="3"/>
  <c r="J31" i="3" s="1"/>
  <c r="I26" i="3"/>
  <c r="J26" i="3" s="1"/>
  <c r="I8" i="3"/>
  <c r="J8" i="3" s="1"/>
  <c r="I13" i="3"/>
  <c r="J13" i="3" s="1"/>
  <c r="I29" i="3"/>
  <c r="J29" i="3" s="1"/>
  <c r="I17" i="3"/>
  <c r="J17" i="3" s="1"/>
  <c r="I9" i="3"/>
  <c r="J9" i="3" s="1"/>
  <c r="I30" i="3"/>
  <c r="J30" i="3" s="1"/>
  <c r="I11" i="3"/>
  <c r="J11" i="3" s="1"/>
  <c r="F37" i="3"/>
  <c r="I21" i="3"/>
  <c r="J21" i="3" s="1"/>
  <c r="I22" i="3"/>
  <c r="J22" i="3" s="1"/>
  <c r="I32" i="3"/>
  <c r="J32" i="3" s="1"/>
  <c r="I33" i="3"/>
  <c r="J33" i="3" s="1"/>
  <c r="I14" i="3"/>
  <c r="J14" i="3" s="1"/>
  <c r="H5" i="3"/>
  <c r="H37" i="3" s="1"/>
  <c r="E37" i="3"/>
  <c r="I37" i="3" l="1"/>
  <c r="J37" i="3" s="1"/>
  <c r="H85" i="3"/>
  <c r="E85" i="3"/>
  <c r="E455" i="3" s="1"/>
  <c r="I5" i="3"/>
  <c r="J5" i="3" s="1"/>
  <c r="F85" i="3"/>
  <c r="H461" i="3" l="1"/>
  <c r="I85" i="3"/>
  <c r="E464" i="3"/>
  <c r="F455" i="3"/>
  <c r="F464" i="3" s="1"/>
  <c r="F87" i="3"/>
  <c r="H453" i="3" l="1"/>
  <c r="I453" i="3"/>
  <c r="I455" i="3" s="1"/>
  <c r="H455" i="3"/>
  <c r="G462" i="3"/>
  <c r="G464" i="3" s="1"/>
  <c r="I461" i="3"/>
  <c r="I462" i="3" s="1"/>
  <c r="H462" i="3"/>
  <c r="F457" i="3"/>
  <c r="I87" i="3"/>
  <c r="J85" i="3"/>
  <c r="I464" i="3" l="1"/>
  <c r="I488" i="3" s="1"/>
  <c r="H464" i="3"/>
  <c r="H488" i="3" s="1"/>
  <c r="H491" i="3" s="1"/>
  <c r="J462" i="3"/>
  <c r="F466" i="3"/>
  <c r="F488" i="3"/>
  <c r="F491" i="3" s="1"/>
  <c r="J455" i="3"/>
  <c r="I457" i="3"/>
  <c r="I466" i="3" l="1"/>
  <c r="I491" i="3" l="1"/>
  <c r="J46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Ross Guthrie</author>
  </authors>
  <commentList>
    <comment ref="F465" authorId="0" shapeId="0" xr:uid="{3AA74BF7-8824-4DF4-8B68-6DFD2606ADB9}">
      <text>
        <r>
          <rPr>
            <b/>
            <sz val="9"/>
            <color indexed="81"/>
            <rFont val="Tahoma"/>
            <family val="2"/>
          </rPr>
          <t>Ross Guthrie:</t>
        </r>
        <r>
          <rPr>
            <sz val="9"/>
            <color indexed="81"/>
            <rFont val="Tahoma"/>
            <family val="2"/>
          </rPr>
          <t xml:space="preserve">
Includes $900,000 of IC performed revenue on Ziply FTTH MSA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F929A4C8-D92A-4BC6-9196-571BE9BE5912}">
      <text>
        <r>
          <rPr>
            <sz val="11"/>
            <color theme="1"/>
            <rFont val="Calibri"/>
            <family val="2"/>
            <scheme val="minor"/>
          </rPr>
          <t>======
ID#AAAB0elK-sc
Long Nguyen    (2026-02-17 22:58:35)
Microsoft Dynamics SL
Quick Query Viewer (QQ.PAP.RJ)
SQL Command: SELECT TOP 500000 "project", "project description", "project status", "customer name", "purchase order", "PM_ID21", "PM_ID26", "start date", "end date", "contract", "contract type" FROM QQ_pjproj WITH (NOLOCK) WHERE (("project status" LIKE '%a%')) ORDER BY "PM_ID21" ASC
Base View: QQ_pjproj
Filter View: Active Project Information
View created by: SUZANNE MARTIN
5:55 PM
2/17/2026</t>
        </r>
      </text>
    </comment>
  </commentList>
</comments>
</file>

<file path=xl/sharedStrings.xml><?xml version="1.0" encoding="utf-8"?>
<sst xmlns="http://schemas.openxmlformats.org/spreadsheetml/2006/main" count="10255" uniqueCount="4760">
  <si>
    <t>PTD Revenue</t>
  </si>
  <si>
    <t>PTD Adj Revenue</t>
  </si>
  <si>
    <t>PTD Costs</t>
  </si>
  <si>
    <t>PTD Adj Costs</t>
  </si>
  <si>
    <t>PTD
Margin</t>
  </si>
  <si>
    <t>PTD %</t>
  </si>
  <si>
    <t>Billed</t>
  </si>
  <si>
    <t>Description</t>
  </si>
  <si>
    <t>Total Wireless Projects</t>
  </si>
  <si>
    <t>Total Division 2 Projects</t>
  </si>
  <si>
    <t>Total Stayton &amp; Peoples Projects</t>
  </si>
  <si>
    <t>Total Canby &amp; Molalla Projects</t>
  </si>
  <si>
    <t>Job</t>
  </si>
  <si>
    <t>Total Division 1 Projects</t>
  </si>
  <si>
    <t>00EQUIP</t>
  </si>
  <si>
    <t>Gross
Profit</t>
  </si>
  <si>
    <t>GP %</t>
  </si>
  <si>
    <t>WIP</t>
  </si>
  <si>
    <t>Contract
Value</t>
  </si>
  <si>
    <t>Job - To -Date</t>
  </si>
  <si>
    <t>Earned
Revenue</t>
  </si>
  <si>
    <t>Acutal
Cost</t>
  </si>
  <si>
    <t>This Period</t>
  </si>
  <si>
    <t>JTD Gross Profit</t>
  </si>
  <si>
    <t>JTD Earned Rev</t>
  </si>
  <si>
    <t>Job No</t>
  </si>
  <si>
    <t>JTD GP %</t>
  </si>
  <si>
    <t>1480162</t>
  </si>
  <si>
    <t>1480164</t>
  </si>
  <si>
    <t>1481057</t>
  </si>
  <si>
    <t>1482096</t>
  </si>
  <si>
    <t>1482110</t>
  </si>
  <si>
    <t>1483024</t>
  </si>
  <si>
    <t>1483096</t>
  </si>
  <si>
    <t>1483098</t>
  </si>
  <si>
    <t>1483099</t>
  </si>
  <si>
    <t>1134140</t>
  </si>
  <si>
    <t>1483005</t>
  </si>
  <si>
    <t>1483009</t>
  </si>
  <si>
    <t>1483077</t>
  </si>
  <si>
    <t>1483102</t>
  </si>
  <si>
    <t>1383090</t>
  </si>
  <si>
    <t>148704401</t>
  </si>
  <si>
    <t>1380076</t>
  </si>
  <si>
    <t>1387065</t>
  </si>
  <si>
    <t>1380049</t>
  </si>
  <si>
    <t>1380050</t>
  </si>
  <si>
    <t>2383011</t>
  </si>
  <si>
    <t>2441000</t>
  </si>
  <si>
    <t>2442001</t>
  </si>
  <si>
    <t>2442002</t>
  </si>
  <si>
    <t>2443000</t>
  </si>
  <si>
    <t>CV</t>
  </si>
  <si>
    <t>1489168</t>
  </si>
  <si>
    <t>1484142</t>
  </si>
  <si>
    <t>Actual
Cost2</t>
  </si>
  <si>
    <t>MGR Report</t>
  </si>
  <si>
    <t>#VALUE!</t>
  </si>
  <si>
    <t>00INDOH</t>
  </si>
  <si>
    <t>1387009</t>
  </si>
  <si>
    <t>2384111</t>
  </si>
  <si>
    <t>2384101</t>
  </si>
  <si>
    <t>2484117</t>
  </si>
  <si>
    <t>1484169</t>
  </si>
  <si>
    <t>1384180</t>
  </si>
  <si>
    <t>1384188</t>
  </si>
  <si>
    <t xml:space="preserve"> 00-Shop Equipment</t>
  </si>
  <si>
    <t xml:space="preserve"> 00 - Indirect Cost</t>
  </si>
  <si>
    <t>1484193</t>
  </si>
  <si>
    <t>000000</t>
  </si>
  <si>
    <t>Projects, Indirect</t>
  </si>
  <si>
    <t>00INDOH  00 - Indirect Cost</t>
  </si>
  <si>
    <t>070938</t>
  </si>
  <si>
    <t>Bochsler, Dustin</t>
  </si>
  <si>
    <t>070971</t>
  </si>
  <si>
    <t>Doran, Dennis</t>
  </si>
  <si>
    <t>071047</t>
  </si>
  <si>
    <t>Palmer, Alton</t>
  </si>
  <si>
    <t>071071</t>
  </si>
  <si>
    <t>Shaffer, Nathan</t>
  </si>
  <si>
    <t>071075</t>
  </si>
  <si>
    <t>Skellenger, Jason</t>
  </si>
  <si>
    <t>079702</t>
  </si>
  <si>
    <t>Patten, Wayne</t>
  </si>
  <si>
    <t>084941</t>
  </si>
  <si>
    <t>Newkirk, Orin</t>
  </si>
  <si>
    <t>00EQUIP  00-Shop Equipment</t>
  </si>
  <si>
    <t>804890</t>
  </si>
  <si>
    <t>Lyon, Stewart</t>
  </si>
  <si>
    <t>Totals</t>
  </si>
  <si>
    <t>Ross' Comments</t>
  </si>
  <si>
    <t>1487026</t>
  </si>
  <si>
    <t>1484211</t>
  </si>
  <si>
    <t>1485117</t>
  </si>
  <si>
    <t>2484116</t>
  </si>
  <si>
    <t>1485118</t>
  </si>
  <si>
    <t>1055133</t>
  </si>
  <si>
    <t>1055134</t>
  </si>
  <si>
    <t>1484190</t>
  </si>
  <si>
    <t>1385130</t>
  </si>
  <si>
    <t>1485141</t>
  </si>
  <si>
    <t>1385143</t>
  </si>
  <si>
    <t>2434000</t>
  </si>
  <si>
    <t>1385144</t>
  </si>
  <si>
    <t>2385000</t>
  </si>
  <si>
    <t>2104000</t>
  </si>
  <si>
    <t>1055129</t>
  </si>
  <si>
    <t>1385127</t>
  </si>
  <si>
    <t>071048</t>
  </si>
  <si>
    <t>Palmer, Justin</t>
  </si>
  <si>
    <t>1384161</t>
  </si>
  <si>
    <t>1275152</t>
  </si>
  <si>
    <t>Total Oregon - Justin</t>
  </si>
  <si>
    <t>1485153</t>
  </si>
  <si>
    <t>071008</t>
  </si>
  <si>
    <t>Johnson, Bryan</t>
  </si>
  <si>
    <t>1485131</t>
  </si>
  <si>
    <t>1485158</t>
  </si>
  <si>
    <t>1485159</t>
  </si>
  <si>
    <t>Div 2 - Wireless - Nate</t>
  </si>
  <si>
    <t>1385165</t>
  </si>
  <si>
    <t>1385169</t>
  </si>
  <si>
    <t>1385175</t>
  </si>
  <si>
    <t>2445003</t>
  </si>
  <si>
    <t>1385172</t>
  </si>
  <si>
    <t>1485174</t>
  </si>
  <si>
    <t>1485173</t>
  </si>
  <si>
    <t>2014000</t>
  </si>
  <si>
    <t>2484111</t>
  </si>
  <si>
    <t>2485004</t>
  </si>
  <si>
    <t>2413000</t>
  </si>
  <si>
    <t>2135002</t>
  </si>
  <si>
    <t>2445004</t>
  </si>
  <si>
    <t xml:space="preserve"> Ezee Fiber Texas (Willowbend Ph1 &amp; Ph2)</t>
  </si>
  <si>
    <t>1485188</t>
  </si>
  <si>
    <t>1485190</t>
  </si>
  <si>
    <t>1385183</t>
  </si>
  <si>
    <t>1385189</t>
  </si>
  <si>
    <t>1385193</t>
  </si>
  <si>
    <t>2135000</t>
  </si>
  <si>
    <t>2344000</t>
  </si>
  <si>
    <t>2385009</t>
  </si>
  <si>
    <t>1385198</t>
  </si>
  <si>
    <t>1385203</t>
  </si>
  <si>
    <t>1485191</t>
  </si>
  <si>
    <t>1485194</t>
  </si>
  <si>
    <t>2385010</t>
  </si>
  <si>
    <t>2445005</t>
  </si>
  <si>
    <t xml:space="preserve"> Ezee Fiber Texas (Town Creek Village)</t>
  </si>
  <si>
    <t>2485005</t>
  </si>
  <si>
    <t>1055210  CAL-Ore 2024</t>
  </si>
  <si>
    <t>1055196</t>
  </si>
  <si>
    <t>1055210</t>
  </si>
  <si>
    <t xml:space="preserve"> CAL-Ore 2024</t>
  </si>
  <si>
    <t>1135184</t>
  </si>
  <si>
    <t>1135204</t>
  </si>
  <si>
    <t xml:space="preserve"> Avista - Poleline Substation</t>
  </si>
  <si>
    <t>1385167</t>
  </si>
  <si>
    <t>1385218</t>
  </si>
  <si>
    <t>2485006</t>
  </si>
  <si>
    <t>1485212</t>
  </si>
  <si>
    <t>1485200</t>
  </si>
  <si>
    <t>1275216</t>
  </si>
  <si>
    <t>1385220</t>
  </si>
  <si>
    <t>1485119</t>
  </si>
  <si>
    <t>1485219</t>
  </si>
  <si>
    <t>1485230</t>
  </si>
  <si>
    <t>2484112</t>
  </si>
  <si>
    <t>1485229</t>
  </si>
  <si>
    <t>2385012</t>
  </si>
  <si>
    <t>1485224</t>
  </si>
  <si>
    <t>1485225</t>
  </si>
  <si>
    <t>1485214</t>
  </si>
  <si>
    <t>1485227</t>
  </si>
  <si>
    <t>1485245</t>
  </si>
  <si>
    <t>2445099</t>
  </si>
  <si>
    <t>1385249</t>
  </si>
  <si>
    <t>2065000</t>
  </si>
  <si>
    <t>1385251</t>
  </si>
  <si>
    <t>1385240</t>
  </si>
  <si>
    <t>1485205</t>
  </si>
  <si>
    <t>1485250</t>
  </si>
  <si>
    <t>1385252</t>
  </si>
  <si>
    <t>1485257</t>
  </si>
  <si>
    <t>1385258</t>
  </si>
  <si>
    <t>1485254</t>
  </si>
  <si>
    <t>1385127  City of Portland-Splicing Maintenance 31</t>
  </si>
  <si>
    <t>1385130  QLife-2024 Splicing and Aerial Maintenan</t>
  </si>
  <si>
    <t>148704401  Clark PUD-Small Works Project</t>
  </si>
  <si>
    <t>1380076  Molalla-Maintenance Work Orders</t>
  </si>
  <si>
    <t>1384180  Clear Creek-FTTH P1 Project</t>
  </si>
  <si>
    <t>1385258  Clear Creek-2024 OSP Phase III</t>
  </si>
  <si>
    <t>1384188  Scio Tel-Hourly Rate Projects</t>
  </si>
  <si>
    <t>2065000  Google-Fiber FTTH MDU CO</t>
  </si>
  <si>
    <t>2445099  Google-Fiber Greenfield TX</t>
  </si>
  <si>
    <t>1484211  Port of Woodland-2023-12 Ariel to Cougar</t>
  </si>
  <si>
    <t>1387009  Data Vision-Gervais Splicing</t>
  </si>
  <si>
    <t>2384111  VZ-Verizon Or Market (MSA)</t>
  </si>
  <si>
    <t>2484116  VZ-Verizon Sw Wa Market (MSA)</t>
  </si>
  <si>
    <t>2383011  Consol Bus Svs-Canby dba Directlink Resi</t>
  </si>
  <si>
    <t>1487026  VZ-Verizon Business-Seattle Maintenance</t>
  </si>
  <si>
    <t>1485117  Pacific PUD-ITB 2023-2 Fiber</t>
  </si>
  <si>
    <t>1485118  Pacific PUD-ITB 2023-2 Electrical</t>
  </si>
  <si>
    <t>1485119  Pacific PUD-ITB 2023-3 Splicing</t>
  </si>
  <si>
    <t>1485141  Jefferson PUD-Olympic Fiber Build</t>
  </si>
  <si>
    <t xml:space="preserve"> ATT-Douglas City Bridge</t>
  </si>
  <si>
    <t xml:space="preserve"> Siskiyou Tel-Mugginsville</t>
  </si>
  <si>
    <t xml:space="preserve"> Siskiyou Tel-West Horse Creek</t>
  </si>
  <si>
    <t xml:space="preserve"> Siskiyou Tel-Rattlesnake</t>
  </si>
  <si>
    <t xml:space="preserve"> Lumen-2022LE000008 Idaho</t>
  </si>
  <si>
    <t xml:space="preserve"> Molalla-Maintenance Work Orders</t>
  </si>
  <si>
    <t xml:space="preserve"> Wave-Newport FTTH</t>
  </si>
  <si>
    <t xml:space="preserve"> BCT-Hourly Maintenance</t>
  </si>
  <si>
    <t xml:space="preserve"> Clear Creek-FTTH P1 Project</t>
  </si>
  <si>
    <t xml:space="preserve"> Scio Tel-Hourly Rate Projects</t>
  </si>
  <si>
    <t xml:space="preserve"> City of Portland-Splicing Maintenance 31</t>
  </si>
  <si>
    <t xml:space="preserve"> QLife-2024 Splicing and Aerial Maintenan</t>
  </si>
  <si>
    <t xml:space="preserve"> Canby-DirectLink-Haines Rd Hwy 99E Ph II</t>
  </si>
  <si>
    <t xml:space="preserve"> Ziply-Corvallis 5517569-H4027 (FTTH)</t>
  </si>
  <si>
    <t xml:space="preserve"> City of Portland-Aerial Maint &amp; Repair</t>
  </si>
  <si>
    <t xml:space="preserve"> Ziply-Corvallis 5517564-H4022 (FTTH)</t>
  </si>
  <si>
    <t xml:space="preserve"> PGE-Tektronix Fiber Project</t>
  </si>
  <si>
    <t xml:space="preserve"> Ziply-Softscape FTTP Springfield S201</t>
  </si>
  <si>
    <t xml:space="preserve"> Trimet-OMP Fiber Build</t>
  </si>
  <si>
    <t xml:space="preserve"> Ziply-Softscape Keizer FTTP</t>
  </si>
  <si>
    <t xml:space="preserve"> Ziply-Softscape FTTP-Keizer6005282-H4014</t>
  </si>
  <si>
    <t xml:space="preserve"> Clear Creek-2024 OSP Phase III</t>
  </si>
  <si>
    <t xml:space="preserve"> Data Vision-Gervais Splicing</t>
  </si>
  <si>
    <t xml:space="preserve"> Canby-DirectLink-Hourly Work</t>
  </si>
  <si>
    <t xml:space="preserve"> Lumen-LE MSA Extension for Seattle Marke</t>
  </si>
  <si>
    <t xml:space="preserve"> Lumen-Kahna MSA Extension (FTTH)</t>
  </si>
  <si>
    <t xml:space="preserve"> Crown Castle-2020 Fiber Maintenance and</t>
  </si>
  <si>
    <t xml:space="preserve"> Lumen-Enterprise MSA Western WA</t>
  </si>
  <si>
    <t xml:space="preserve"> Lumen-2022 GPON BF OVERBUILD-Seattle (FT</t>
  </si>
  <si>
    <t xml:space="preserve"> Lumen-2022 GPON BF OVERBUILD Spokane (FT</t>
  </si>
  <si>
    <t xml:space="preserve"> Lumen-Enterprise MSA Eastern WA</t>
  </si>
  <si>
    <t xml:space="preserve"> Lumen-2022-2024 GPON OVERBUILD Seattle (</t>
  </si>
  <si>
    <t xml:space="preserve"> Lumen-Consumer NE WA (2022-25)</t>
  </si>
  <si>
    <t xml:space="preserve"> Lumen-2023LE000081 Fiber Overbuild (FTTH</t>
  </si>
  <si>
    <t xml:space="preserve"> Lumen-2023 San Juan Islands Consumer</t>
  </si>
  <si>
    <t xml:space="preserve"> Lumen-2023 WA West Consumer</t>
  </si>
  <si>
    <t xml:space="preserve"> Lumen-2023LE000081 Fiber Overbuild Spoka</t>
  </si>
  <si>
    <t xml:space="preserve"> Hood Canal Tel-Northern Hood Canal Fiber</t>
  </si>
  <si>
    <t xml:space="preserve"> Hood Canal Tel-BSR Design</t>
  </si>
  <si>
    <t xml:space="preserve"> Douglas PUD-FOC and Cable Install</t>
  </si>
  <si>
    <t xml:space="preserve"> Port of Woodland-2023-12 Ariel to Cougar</t>
  </si>
  <si>
    <t xml:space="preserve"> Pacific PUD-ITB 2023-2 Fiber</t>
  </si>
  <si>
    <t xml:space="preserve"> Pacific PUD-ITB 2023-2 Electrical</t>
  </si>
  <si>
    <t xml:space="preserve"> Pacific PUD-ITB 2023-3 Splicing</t>
  </si>
  <si>
    <t xml:space="preserve"> LS Networks-Cran Site 8</t>
  </si>
  <si>
    <t xml:space="preserve"> Jefferson PUD-Olympic Fiber Build</t>
  </si>
  <si>
    <t xml:space="preserve"> Mason County PUD-Seal Rock Joint Bore</t>
  </si>
  <si>
    <t xml:space="preserve"> Ziply-Olympia 5521545-2 (FTTH)</t>
  </si>
  <si>
    <t xml:space="preserve"> Hood Canal Tel-Brinnon OLT</t>
  </si>
  <si>
    <t>1485171</t>
  </si>
  <si>
    <t xml:space="preserve"> IIG-Chelan PUD Pole</t>
  </si>
  <si>
    <t xml:space="preserve"> Ziply-WA FTTP SSP (FTTH)</t>
  </si>
  <si>
    <t xml:space="preserve"> Zayo-Dexter Ave N</t>
  </si>
  <si>
    <t xml:space="preserve"> LS Networks-Cran 002</t>
  </si>
  <si>
    <t xml:space="preserve"> LS Networks-Cran 011</t>
  </si>
  <si>
    <t xml:space="preserve"> Ziply-WA BAU SSP (James)</t>
  </si>
  <si>
    <t xml:space="preserve"> Ziply-Softscape Sammamish FTTP</t>
  </si>
  <si>
    <t xml:space="preserve"> LS Networks-CRAN 004</t>
  </si>
  <si>
    <t xml:space="preserve"> LS Networks-CRAN 12</t>
  </si>
  <si>
    <t xml:space="preserve"> LS Networks-CRAN 037</t>
  </si>
  <si>
    <t xml:space="preserve"> LS Networks-USCC Centralia Alder Street</t>
  </si>
  <si>
    <t xml:space="preserve"> IIG- PO 2464 South River Malaga</t>
  </si>
  <si>
    <t xml:space="preserve"> Lumen-WA Enterprise</t>
  </si>
  <si>
    <t xml:space="preserve"> VZ-Verizon Business-Seattle Maintenance</t>
  </si>
  <si>
    <t xml:space="preserve"> Clark PUD-Small Works Project</t>
  </si>
  <si>
    <t xml:space="preserve"> Grant PUD-Fiber Optic Design &amp; Construct</t>
  </si>
  <si>
    <t xml:space="preserve"> CommPro Services, LLC-AL</t>
  </si>
  <si>
    <t xml:space="preserve"> Google-Fiber FTTH MDU CO</t>
  </si>
  <si>
    <t xml:space="preserve"> T-Mobile-Idaho Market</t>
  </si>
  <si>
    <t xml:space="preserve"> VZ-Verizon Spokane Market (Msa)</t>
  </si>
  <si>
    <t xml:space="preserve"> CommPro Services, LLC -NC</t>
  </si>
  <si>
    <t xml:space="preserve"> Consol Bus Svs-Canby dba Directlink Resi</t>
  </si>
  <si>
    <t xml:space="preserve"> VZ-Verizon Or Mosser</t>
  </si>
  <si>
    <t xml:space="preserve"> VZ-Verizon Or Market (MSA)</t>
  </si>
  <si>
    <t xml:space="preserve"> Wave-Astound OR-Wave Broadband</t>
  </si>
  <si>
    <t xml:space="preserve"> T-Mobile-Portland Market</t>
  </si>
  <si>
    <t xml:space="preserve"> T-Mobile-Eastern OR Market</t>
  </si>
  <si>
    <t xml:space="preserve"> VZ-Verizon Or Sundrop</t>
  </si>
  <si>
    <t xml:space="preserve"> CommPro Services, LLC -SC</t>
  </si>
  <si>
    <t xml:space="preserve"> CommPro Services, LLC-TN</t>
  </si>
  <si>
    <t xml:space="preserve"> Ezee Fiber Texas-Autumnwood Apts</t>
  </si>
  <si>
    <t xml:space="preserve"> Google-Fiber Greenfield TX</t>
  </si>
  <si>
    <t xml:space="preserve"> T-Mobile-Seattle Market</t>
  </si>
  <si>
    <t xml:space="preserve"> VZ-Verizon Seattle Market (Msa)</t>
  </si>
  <si>
    <t xml:space="preserve"> VZ-Verizon Sw Wa Market (MSA)</t>
  </si>
  <si>
    <t xml:space="preserve"> Wave-Astound WA-Wave Broadband</t>
  </si>
  <si>
    <t xml:space="preserve"> T-Mobile-Spokane Market</t>
  </si>
  <si>
    <t xml:space="preserve"> T-Mobile-SW WA Market</t>
  </si>
  <si>
    <t>2485012</t>
  </si>
  <si>
    <t xml:space="preserve"> VZ-Verizon Wa Keene Lake</t>
  </si>
  <si>
    <t>1385256  Clackamas County-Marmot Road</t>
  </si>
  <si>
    <t>1485205  Ziply - WA FTTP MSA (Cody)</t>
  </si>
  <si>
    <t>1385143  Clear Creek-FTTH Phase II</t>
  </si>
  <si>
    <t>1380049  Stayton Telephone - Unit Rates</t>
  </si>
  <si>
    <t>1380050  Peoples Telephone - Unit Rates</t>
  </si>
  <si>
    <t>2443000  Google-Google Fiber MSA (TX)</t>
  </si>
  <si>
    <t>1385189  Ziply - OR FTTP MSA (Alton)</t>
  </si>
  <si>
    <t>1485200  Ziply - WA FTTP MSA (Alton)</t>
  </si>
  <si>
    <t>2135002  VZ-Verizon Idaho Market (Msa)</t>
  </si>
  <si>
    <t>1275152  Ziply - Great Falls Build (FTTH)</t>
  </si>
  <si>
    <t>1485262  Astound - Clallam County WSBO Phase</t>
  </si>
  <si>
    <t>1485188  Ziply - Eastern WA FTTP MSA</t>
  </si>
  <si>
    <t xml:space="preserve"> Ziply - ID FTTP MSA (Rob)</t>
  </si>
  <si>
    <t xml:space="preserve"> Ziply - Great Falls Build (FTTH)</t>
  </si>
  <si>
    <t xml:space="preserve"> Ziply - MT FTTP MSA (Rob)</t>
  </si>
  <si>
    <t xml:space="preserve"> Stayton Telephone - Unit Rates</t>
  </si>
  <si>
    <t xml:space="preserve"> Peoples Telephone - Unit Rates</t>
  </si>
  <si>
    <t xml:space="preserve"> Clear Creek-FTTH Phase II</t>
  </si>
  <si>
    <t xml:space="preserve"> Ziply - OR BAU SSP (2024-27)</t>
  </si>
  <si>
    <t xml:space="preserve"> Ziply - OR FTTP MSA (Cody)</t>
  </si>
  <si>
    <t xml:space="preserve"> Ziply - OR FTTP MSA (Alton)</t>
  </si>
  <si>
    <t xml:space="preserve"> Ziply - OR FTTP MSA (Justin)</t>
  </si>
  <si>
    <t xml:space="preserve"> Pioneer-Reconnect 3 - Phase 1</t>
  </si>
  <si>
    <t xml:space="preserve"> Canby-Directlink-S Pine St</t>
  </si>
  <si>
    <t xml:space="preserve"> Ziply - Softscape FTTP OR MSA</t>
  </si>
  <si>
    <t xml:space="preserve"> Pioneer-Reconnect 3 - Phase 2</t>
  </si>
  <si>
    <t>1385256</t>
  </si>
  <si>
    <t xml:space="preserve"> Clackamas County-Marmot Road</t>
  </si>
  <si>
    <t xml:space="preserve"> Ziply - WA BAU SSP (2024-27)</t>
  </si>
  <si>
    <t xml:space="preserve"> Ziply - Eastern WA FTTP MSA</t>
  </si>
  <si>
    <t xml:space="preserve"> Ziply - WA FTTP MSA (Alton)</t>
  </si>
  <si>
    <t xml:space="preserve"> Ziply - WA FTTP MSA (Cody)</t>
  </si>
  <si>
    <t xml:space="preserve"> Ziply - Eastern WA BAU SSP (Josh)</t>
  </si>
  <si>
    <t xml:space="preserve"> Ziply - Softscape FTTP-West WA MSA</t>
  </si>
  <si>
    <t xml:space="preserve"> Ziply - Cheney FTTP Bid (Rob)</t>
  </si>
  <si>
    <t>1485262</t>
  </si>
  <si>
    <t xml:space="preserve"> Astound - Clallam County WSBO Phase</t>
  </si>
  <si>
    <t xml:space="preserve"> CommPro Services, LLC - FL</t>
  </si>
  <si>
    <t xml:space="preserve"> VZ-Verizon Idaho Market (Msa)</t>
  </si>
  <si>
    <t xml:space="preserve"> NTS Communications-TX MSA</t>
  </si>
  <si>
    <t xml:space="preserve"> NTS Communications-MDU Amarillo Lubbock</t>
  </si>
  <si>
    <t xml:space="preserve"> NTS Communications-MDU Abilene</t>
  </si>
  <si>
    <t xml:space="preserve"> Google-Google Fiber MSA (TX)</t>
  </si>
  <si>
    <t>2065002  Google-Fiber FTTH Greenfields CO</t>
  </si>
  <si>
    <t>1485247  Port of Woodland-Fiber Optic On Call</t>
  </si>
  <si>
    <t>1276101</t>
  </si>
  <si>
    <t xml:space="preserve"> Cogent - BNSF Bridge 0042 MRL Bridge 76</t>
  </si>
  <si>
    <t>1485247</t>
  </si>
  <si>
    <t xml:space="preserve"> Port of Woodland-Fiber Optic On Call</t>
  </si>
  <si>
    <t>2065002</t>
  </si>
  <si>
    <t xml:space="preserve"> Google-Fiber FTTH Greenfields CO</t>
  </si>
  <si>
    <t>2484115</t>
  </si>
  <si>
    <t>2484120</t>
  </si>
  <si>
    <t xml:space="preserve"> Colville Confederated Tribe</t>
  </si>
  <si>
    <t>1485263  Astound - Clallam County PWB Phase</t>
  </si>
  <si>
    <t>1385259</t>
  </si>
  <si>
    <t xml:space="preserve"> PGE-SW Arrow Street</t>
  </si>
  <si>
    <t>1386100</t>
  </si>
  <si>
    <t xml:space="preserve"> Directlink - Mt Angel Town FTTH</t>
  </si>
  <si>
    <t>1386107</t>
  </si>
  <si>
    <t xml:space="preserve"> Trimet - Green Line Splicing</t>
  </si>
  <si>
    <t>1485263</t>
  </si>
  <si>
    <t xml:space="preserve"> Astound - Clallam County PWB Phase</t>
  </si>
  <si>
    <t>1135248</t>
  </si>
  <si>
    <t xml:space="preserve"> Cogent-14428 Meyers Rd</t>
  </si>
  <si>
    <t>1486108</t>
  </si>
  <si>
    <t xml:space="preserve"> Lumen - Eastern WA Enterprise</t>
  </si>
  <si>
    <t>2113000</t>
  </si>
  <si>
    <t xml:space="preserve"> CommPro Services, LLC -GA</t>
  </si>
  <si>
    <t>2445013</t>
  </si>
  <si>
    <t xml:space="preserve"> Ubiquity Services LLC-Lost Spurs Ranch</t>
  </si>
  <si>
    <t>1385261</t>
  </si>
  <si>
    <t xml:space="preserve"> City of Wilsonville -  WES Breakroom</t>
  </si>
  <si>
    <t>1386112</t>
  </si>
  <si>
    <t xml:space="preserve"> Clackamas County - Boeckman Rd Splicing</t>
  </si>
  <si>
    <t>2445016</t>
  </si>
  <si>
    <t xml:space="preserve"> Ubiquity Services LLC-Grand Estates</t>
  </si>
  <si>
    <t xml:space="preserve"> American Tower Corporation-WA</t>
  </si>
  <si>
    <t>1386102</t>
  </si>
  <si>
    <t xml:space="preserve"> PGE - Lents Substation</t>
  </si>
  <si>
    <t>1386105</t>
  </si>
  <si>
    <t xml:space="preserve"> PGE - Glenoveer Substation</t>
  </si>
  <si>
    <t>1386111</t>
  </si>
  <si>
    <t xml:space="preserve"> BCT - 23162 S Bluhm Rd</t>
  </si>
  <si>
    <t>1486113</t>
  </si>
  <si>
    <t xml:space="preserve"> ZAYO - Maintenance</t>
  </si>
  <si>
    <t>1386103</t>
  </si>
  <si>
    <t xml:space="preserve"> PGE - Glencoe Substation</t>
  </si>
  <si>
    <t>2136000</t>
  </si>
  <si>
    <t xml:space="preserve"> Ubiquity Services LLC-Big Sky Patio Apts</t>
  </si>
  <si>
    <t>2136007</t>
  </si>
  <si>
    <t xml:space="preserve"> Ubiquity Services LLC-Centennial Patio</t>
  </si>
  <si>
    <t>2136005</t>
  </si>
  <si>
    <t xml:space="preserve"> Ubiquity Services LLC-Hitt Rd Patio Apts</t>
  </si>
  <si>
    <t>2136006</t>
  </si>
  <si>
    <t xml:space="preserve"> Ubiquity Services LLC-Midwest Patio Apts</t>
  </si>
  <si>
    <t>2136008</t>
  </si>
  <si>
    <t xml:space="preserve"> Ubiquity Services LLC-Valencia Apts</t>
  </si>
  <si>
    <t>2386090</t>
  </si>
  <si>
    <t xml:space="preserve"> Sherwood Broadband-City of Sherwood</t>
  </si>
  <si>
    <t>1386118  Alyrica - Webfoot</t>
  </si>
  <si>
    <t>1056117</t>
  </si>
  <si>
    <t xml:space="preserve"> Siskiyou Tel-  OSP Routine Maintenance 2</t>
  </si>
  <si>
    <t>1386115</t>
  </si>
  <si>
    <t xml:space="preserve"> PGE - Waconda Fiber Materials</t>
  </si>
  <si>
    <t>1386118</t>
  </si>
  <si>
    <t xml:space="preserve"> Alyrica - Webfoot</t>
  </si>
  <si>
    <t>1485160</t>
  </si>
  <si>
    <t xml:space="preserve"> LS Networks-Cran Site 10</t>
  </si>
  <si>
    <t>1485180</t>
  </si>
  <si>
    <t xml:space="preserve"> LS Networks-Cran 006</t>
  </si>
  <si>
    <t xml:space="preserve"> Ziply-Hwy 530 WO 5513143 (FTTP PW)</t>
  </si>
  <si>
    <t>1485253</t>
  </si>
  <si>
    <t xml:space="preserve"> Astound-Furnish and Install 6 inch class</t>
  </si>
  <si>
    <t>1486116</t>
  </si>
  <si>
    <t xml:space="preserve"> IIG - PO 2665, Stark to Industrial build</t>
  </si>
  <si>
    <t>2485013  VZ-Verizon Wa North Colfax</t>
  </si>
  <si>
    <t>1386122</t>
  </si>
  <si>
    <t>2485013</t>
  </si>
  <si>
    <t>1485233</t>
  </si>
  <si>
    <t>1485236</t>
  </si>
  <si>
    <t>2445006</t>
  </si>
  <si>
    <t>1056119  SierraTel - Coarsegold Yosemite - Ph 4A</t>
  </si>
  <si>
    <t>1056119</t>
  </si>
  <si>
    <t>1386126</t>
  </si>
  <si>
    <t>2136011</t>
  </si>
  <si>
    <t>2484111  VZ-Verizon Spokane Market (MSA)</t>
  </si>
  <si>
    <t>826277</t>
  </si>
  <si>
    <t>03-5092  IC-CCI - Close-Out for 1F LA South</t>
  </si>
  <si>
    <t>35005  IC-VCI-VZ-Close-Out for 1F LA North</t>
  </si>
  <si>
    <t>ONEPAUPHX  IC-PAU-VZ-Close-Out for 1F Phoenix</t>
  </si>
  <si>
    <t>1485215</t>
  </si>
  <si>
    <t>1485238</t>
  </si>
  <si>
    <t>Division 2 - Wireless &amp; Installation</t>
  </si>
  <si>
    <t>Profit Center 14 - Valley North - Dwayne Haskins</t>
  </si>
  <si>
    <t>Total - Valley Central - Robert</t>
  </si>
  <si>
    <t>Total - Valley North - Dwayne</t>
  </si>
  <si>
    <t xml:space="preserve">Total - Bay Area - Jon </t>
  </si>
  <si>
    <t>Profit Center 15 - Valley Central - Robert Weston</t>
  </si>
  <si>
    <t>Profit Center 16 - Valley South - Randy</t>
  </si>
  <si>
    <t>Total - Valley South - Randy</t>
  </si>
  <si>
    <t>070771</t>
  </si>
  <si>
    <t>Cox, Randy</t>
  </si>
  <si>
    <t>2052148  Ponderosa-Meadow Ranch SLC</t>
  </si>
  <si>
    <t>2052149  Ponderosa-Timberview SLC</t>
  </si>
  <si>
    <t>070878</t>
  </si>
  <si>
    <t>Weston, Robert</t>
  </si>
  <si>
    <t>820453</t>
  </si>
  <si>
    <t>Haskins, Dwayne</t>
  </si>
  <si>
    <t>Baldwin, Darin</t>
  </si>
  <si>
    <t>830072</t>
  </si>
  <si>
    <t>Mullins, Jonathan</t>
  </si>
  <si>
    <t>4052162  Sprint - Livermore protect in place</t>
  </si>
  <si>
    <t>4052175  ATT - Saratoga conduit placement</t>
  </si>
  <si>
    <t>4052177  ATT - A02WAXR - Castro Valley</t>
  </si>
  <si>
    <t>854151</t>
  </si>
  <si>
    <t>Birdsall, Ron</t>
  </si>
  <si>
    <t>1252080</t>
  </si>
  <si>
    <t>1252046</t>
  </si>
  <si>
    <t>4052147</t>
  </si>
  <si>
    <t>4052152</t>
  </si>
  <si>
    <t>4052154</t>
  </si>
  <si>
    <t>4052162</t>
  </si>
  <si>
    <t>4052167</t>
  </si>
  <si>
    <t>4052168</t>
  </si>
  <si>
    <t>4052175</t>
  </si>
  <si>
    <t>4052176</t>
  </si>
  <si>
    <t>4052177</t>
  </si>
  <si>
    <t>4052179</t>
  </si>
  <si>
    <t>1252077</t>
  </si>
  <si>
    <t>2052070</t>
  </si>
  <si>
    <t>1252128</t>
  </si>
  <si>
    <t>1252081</t>
  </si>
  <si>
    <t>2052154</t>
  </si>
  <si>
    <t>2052056</t>
  </si>
  <si>
    <t>2052069</t>
  </si>
  <si>
    <t>2052148</t>
  </si>
  <si>
    <t>2052149</t>
  </si>
  <si>
    <t>2052151</t>
  </si>
  <si>
    <t>2136010</t>
  </si>
  <si>
    <t>03-5092</t>
  </si>
  <si>
    <t>ONEPAUPHX</t>
  </si>
  <si>
    <t>35005</t>
  </si>
  <si>
    <t>1056130  ATT - A055ZJ0 - 24239 Hesperian Blvd Hay</t>
  </si>
  <si>
    <t>4052155</t>
  </si>
  <si>
    <t>2486012</t>
  </si>
  <si>
    <t>2481005</t>
  </si>
  <si>
    <t>1386128</t>
  </si>
  <si>
    <t>1386109</t>
  </si>
  <si>
    <t>1056131</t>
  </si>
  <si>
    <t>1056130</t>
  </si>
  <si>
    <t>1056129</t>
  </si>
  <si>
    <t>4052136</t>
  </si>
  <si>
    <t>Project Manager: Birdsall, Ron</t>
  </si>
  <si>
    <t>011101</t>
  </si>
  <si>
    <t>Project Manager: Bochsler, Dustin</t>
  </si>
  <si>
    <t>Project Manager: Cox, Randy</t>
  </si>
  <si>
    <t>2051013</t>
  </si>
  <si>
    <t>2052144</t>
  </si>
  <si>
    <t>2052150</t>
  </si>
  <si>
    <t>2052156</t>
  </si>
  <si>
    <t>Project Manager: Doran, Dennis</t>
  </si>
  <si>
    <t>Project Manager: Haskins, Dwayne</t>
  </si>
  <si>
    <t>Project Manager: Johnson, Bryan</t>
  </si>
  <si>
    <t>Project Manager: Lyon, Stewart</t>
  </si>
  <si>
    <t>Project Manager: Mullins, Jonathan</t>
  </si>
  <si>
    <t>1056133</t>
  </si>
  <si>
    <t>1056134</t>
  </si>
  <si>
    <t>1056141</t>
  </si>
  <si>
    <t>4052137</t>
  </si>
  <si>
    <t>4052156</t>
  </si>
  <si>
    <t>4052158</t>
  </si>
  <si>
    <t>4052161</t>
  </si>
  <si>
    <t>4052165</t>
  </si>
  <si>
    <t>4052170</t>
  </si>
  <si>
    <t>4052172</t>
  </si>
  <si>
    <t>4052173</t>
  </si>
  <si>
    <t>4052174</t>
  </si>
  <si>
    <t>4052178</t>
  </si>
  <si>
    <t>Project Manager: Palmer, Alton</t>
  </si>
  <si>
    <t>Project Manager: Palmer, Justin</t>
  </si>
  <si>
    <t>1386124</t>
  </si>
  <si>
    <t>Project Manager: Shaffer, Nathan</t>
  </si>
  <si>
    <t>Project Manager: Weston, Robert</t>
  </si>
  <si>
    <t>Unbilled Aging</t>
  </si>
  <si>
    <t xml:space="preserve"> Customer Code: ALL</t>
  </si>
  <si>
    <t>Job Number: All</t>
  </si>
  <si>
    <t>Contract Code: All</t>
  </si>
  <si>
    <t>Exclude Drafts: No</t>
  </si>
  <si>
    <t>Cut Off Date:</t>
  </si>
  <si>
    <t>Total</t>
  </si>
  <si>
    <t>0-30 Days</t>
  </si>
  <si>
    <t>31-60 Days</t>
  </si>
  <si>
    <t>61-90 Days</t>
  </si>
  <si>
    <t>91-120 Days</t>
  </si>
  <si>
    <t>121-180 Days</t>
  </si>
  <si>
    <t>181-360 Days</t>
  </si>
  <si>
    <t>361-1080 Days</t>
  </si>
  <si>
    <t>1081+ Days</t>
  </si>
  <si>
    <t>Clear Creek-2024 OSP Phase III</t>
  </si>
  <si>
    <t>Stayton Telephone - Unit Rates</t>
  </si>
  <si>
    <t>Peoples Telephone - Unit Rates</t>
  </si>
  <si>
    <t>Google-Fiber FTTH MDU CO</t>
  </si>
  <si>
    <t>Google-Google Fiber MSA (TX)</t>
  </si>
  <si>
    <t>Google-Fiber Greenfield TX</t>
  </si>
  <si>
    <t>Ziply - Great Falls Build (FTTH)</t>
  </si>
  <si>
    <t>Alyrica - Webfoot</t>
  </si>
  <si>
    <t>Jefferson PUD-Olympic Fiber Build</t>
  </si>
  <si>
    <t>Astound - Clallam County WSBO Phase</t>
  </si>
  <si>
    <t>Ziply - OR FTTP MSA (Alton)</t>
  </si>
  <si>
    <t>Ziply - WA BAU SSP (2024-27)</t>
  </si>
  <si>
    <t>Ziply - WA FTTP MSA (Alton)</t>
  </si>
  <si>
    <t>VZ-Verizon Idaho Market (Msa)</t>
  </si>
  <si>
    <t>VZ-Verizon Or Market (MSA)</t>
  </si>
  <si>
    <t>VZ-Verizon Wa North Colfax</t>
  </si>
  <si>
    <t>Page -1 of 1</t>
  </si>
  <si>
    <t>2052108  Ponderosa-Wishon Phase 2</t>
  </si>
  <si>
    <t>1056133  ATT - A050HNP - Crestfield Dr Castro Val</t>
  </si>
  <si>
    <t>2052107</t>
  </si>
  <si>
    <t>2052108</t>
  </si>
  <si>
    <t>2486011</t>
  </si>
  <si>
    <t>2445007</t>
  </si>
  <si>
    <t>1056145</t>
  </si>
  <si>
    <t>1386139</t>
  </si>
  <si>
    <t>VZ-Verizon Spokane Market (MSA)</t>
  </si>
  <si>
    <t>2445007  Ezee Fiber Texas - Mallard Creek Apts</t>
  </si>
  <si>
    <t>Profit Center Management Comments</t>
  </si>
  <si>
    <t>(1F)</t>
  </si>
  <si>
    <t>Total One Fiber</t>
  </si>
  <si>
    <t>1486125</t>
  </si>
  <si>
    <t>2445008</t>
  </si>
  <si>
    <t>1056147</t>
  </si>
  <si>
    <t>Pioneer - Reconnect 3 - Phase 1</t>
  </si>
  <si>
    <t>Pioneer - Reconnect 3 - Phase 2</t>
  </si>
  <si>
    <t>1386148</t>
  </si>
  <si>
    <t>Siskiyou Tel - OSP Routine Maint (25-26)</t>
  </si>
  <si>
    <t>2485014</t>
  </si>
  <si>
    <t>1056150</t>
  </si>
  <si>
    <t>1056136</t>
  </si>
  <si>
    <t>1056140</t>
  </si>
  <si>
    <t>1056143</t>
  </si>
  <si>
    <t>1056146</t>
  </si>
  <si>
    <t>1056151</t>
  </si>
  <si>
    <t>1056152</t>
  </si>
  <si>
    <t>1386138</t>
  </si>
  <si>
    <t>1386149</t>
  </si>
  <si>
    <t>1485235</t>
  </si>
  <si>
    <t>1507352</t>
  </si>
  <si>
    <t>2486010</t>
  </si>
  <si>
    <t>2486013</t>
  </si>
  <si>
    <t>4052171</t>
  </si>
  <si>
    <t>NEDGSUFRS  VZ-Verizon-NED-Fresno</t>
  </si>
  <si>
    <t>1385203  Pioneer - Reconnect 3 - Phase 1</t>
  </si>
  <si>
    <t>1385252  Pioneer - Reconnect 3 - Phase 2</t>
  </si>
  <si>
    <t>1056117  Siskiyou Tel - OSP Routine Maint (25-26)</t>
  </si>
  <si>
    <t>1486113  Zayo - Maintenance</t>
  </si>
  <si>
    <t>NEDGSUFRS</t>
  </si>
  <si>
    <t>VZ-Verizon-NED-Fresno</t>
  </si>
  <si>
    <t>Siskiyou Tel - MMBI OSP</t>
  </si>
  <si>
    <t>1056140  Siskiyou Tel - MMBI OSP</t>
  </si>
  <si>
    <t>1056146  ATT - A05246A - Various - El Cerrito</t>
  </si>
  <si>
    <t>1276157</t>
  </si>
  <si>
    <t>1056153</t>
  </si>
  <si>
    <t>1386155</t>
  </si>
  <si>
    <t>1386156</t>
  </si>
  <si>
    <t>2180000</t>
  </si>
  <si>
    <t>1386155  Oregon Tel - Mega Loads</t>
  </si>
  <si>
    <t>1485235  Ziply - Hwy 530 WO 5513608</t>
  </si>
  <si>
    <t>1056152  ATT - A02WQZT - Newark</t>
  </si>
  <si>
    <t>1056153  ATT - A050Z6H - Foster City</t>
  </si>
  <si>
    <t>1485186</t>
  </si>
  <si>
    <t>ATT - WE12 CSVA 3 (2024-26)</t>
  </si>
  <si>
    <t>2486018</t>
  </si>
  <si>
    <t>4052152  ATT - WE12 CSVA 3 (2024-26)</t>
  </si>
  <si>
    <t>2156000</t>
  </si>
  <si>
    <t>2660000</t>
  </si>
  <si>
    <t>Total Ziply FTTP</t>
  </si>
  <si>
    <t>FTTP MSAs</t>
  </si>
  <si>
    <t>FTTP Bid Projects</t>
  </si>
  <si>
    <t>Div 1 - Ziply BAU - Alton</t>
  </si>
  <si>
    <t>Div 1 - Ziply FTTP - Ryan</t>
  </si>
  <si>
    <t>1056144</t>
  </si>
  <si>
    <t>2445019</t>
  </si>
  <si>
    <t>1056156</t>
  </si>
  <si>
    <t>2486016</t>
  </si>
  <si>
    <t>Project Manager: Skellenger, Jason</t>
  </si>
  <si>
    <t>Project Manager: Wheeler, Ryan</t>
  </si>
  <si>
    <t>Projects in Unbilled Aging</t>
  </si>
  <si>
    <t>Projects in MR</t>
  </si>
  <si>
    <t>Status</t>
  </si>
  <si>
    <t>In MR</t>
  </si>
  <si>
    <t>Vlookup</t>
  </si>
  <si>
    <t>Div 2 - Structured Wiring - Bryan</t>
  </si>
  <si>
    <t>Total Structured Wiring - Bryan</t>
  </si>
  <si>
    <t>Total Structured Wiring - Jason</t>
  </si>
  <si>
    <t>1056144  Consolidated Communications MSA</t>
  </si>
  <si>
    <t>823564</t>
  </si>
  <si>
    <t>Kotulan, Eric</t>
  </si>
  <si>
    <t>1056156  ATT - A057N0N - Broadway St Oakland</t>
  </si>
  <si>
    <t>875043</t>
  </si>
  <si>
    <t>Wheeler, Ryan</t>
  </si>
  <si>
    <t>4052163</t>
  </si>
  <si>
    <t>Project Manager: Kotulan, Eric</t>
  </si>
  <si>
    <t>Earned Revenue</t>
  </si>
  <si>
    <t>Actual Cost</t>
  </si>
  <si>
    <t>Gross Profit</t>
  </si>
  <si>
    <t>1252078</t>
  </si>
  <si>
    <t>1296171</t>
  </si>
  <si>
    <t>VZ-Verizon Business - 98743F - Mill St</t>
  </si>
  <si>
    <t>1056162</t>
  </si>
  <si>
    <t>ATT - A055YA7 - Williams St San Leandro</t>
  </si>
  <si>
    <t>1296172</t>
  </si>
  <si>
    <t>VZ-Verizon Business - MARC - Reno</t>
  </si>
  <si>
    <t>Ziply - OR BAU SSP (2024-27)</t>
  </si>
  <si>
    <t>1386152</t>
  </si>
  <si>
    <t>City of Sherwood - Broadband Expansion</t>
  </si>
  <si>
    <t>Ziply - WA FTTP MSA (2024-27)</t>
  </si>
  <si>
    <t>1385172  Ziply - OR BAU SSP (2024-27)</t>
  </si>
  <si>
    <t>1485173  Ziply - WA BAU SSP (legacy)</t>
  </si>
  <si>
    <t>1485214  Ziply - WA BAU SSP (2024-27)</t>
  </si>
  <si>
    <t>1384161  BCT - Hourly Maintenance</t>
  </si>
  <si>
    <t>1386152  City of Sherwood - Broadband Expansion</t>
  </si>
  <si>
    <t>2385000  Astound - OR Wave Broadband</t>
  </si>
  <si>
    <t>2484117  Astound - WA Wave Broadband</t>
  </si>
  <si>
    <t>1296171  VZ-Verizon Business - 98743F - Mill St</t>
  </si>
  <si>
    <t>1056162  ATT - A055YA7 - Williams St San Leandro</t>
  </si>
  <si>
    <t>1296172  VZ-Verizon Business - MARC - Reno</t>
  </si>
  <si>
    <t>1135184  Ziply - ID FTTH (2024-27)</t>
  </si>
  <si>
    <t>1485174  Ziply - WA FTTP MSA (2024-27)</t>
  </si>
  <si>
    <t>Clackamas County-Marmot Road</t>
  </si>
  <si>
    <t>Astound - WA Wave Broadband</t>
  </si>
  <si>
    <t>2052144  Ponderosa-Windwood &amp; Silver Pine FTTH</t>
  </si>
  <si>
    <t>2660000  Socket Telecom, LLC - MO (Installs)</t>
  </si>
  <si>
    <t>1135158</t>
  </si>
  <si>
    <t>Frontier - Maint SSP South Bay (2025-27)</t>
  </si>
  <si>
    <t>Frontier - FTTH Morgan Hill</t>
  </si>
  <si>
    <t>Frontier - Maint SSP Valley (2025-27)</t>
  </si>
  <si>
    <t>Frontier - FTTH Elk Grove</t>
  </si>
  <si>
    <t>Frontier - FTTH Redding</t>
  </si>
  <si>
    <t>Frontier - FTTH Northern CA Communities</t>
  </si>
  <si>
    <t>Lumen - WA Enterprise MSA (2025-27)</t>
  </si>
  <si>
    <t>Lumen - 2025LE000148 Fiber Overbuild</t>
  </si>
  <si>
    <t>2486050</t>
  </si>
  <si>
    <t>Mereo 89, LLC</t>
  </si>
  <si>
    <t>Frontier - FTTH Susanville</t>
  </si>
  <si>
    <t>Ziply - MT FTTH MSA (2024-27)</t>
  </si>
  <si>
    <t>Ziply - OR FTTP MSA (2024-27)</t>
  </si>
  <si>
    <t>Ziply - Softscape Keizer FTTP</t>
  </si>
  <si>
    <t>Ziply - Softscape Sammamish FTTP</t>
  </si>
  <si>
    <t>1485239</t>
  </si>
  <si>
    <t>1056136  Frontier - Maint SSP Valley (2025-27)</t>
  </si>
  <si>
    <t>2052069  Frontier - Maint SSP Selma (2022-25)</t>
  </si>
  <si>
    <t>1252081  Frontier - FTTH Susanville</t>
  </si>
  <si>
    <t>2660001  Socket Telecom, LLC - MO (MDU)</t>
  </si>
  <si>
    <t>1386187  Ziply - OR NESC Program</t>
  </si>
  <si>
    <t>2486050  Mereo 89, LLC</t>
  </si>
  <si>
    <t>1485253  Astound - Furnish and Install 6in class</t>
  </si>
  <si>
    <t>1252046  Frontier - FTTH Elk Grove</t>
  </si>
  <si>
    <t>1252078  Frontier - FTTH Redding</t>
  </si>
  <si>
    <t>1252080  Frontier - FTTH Northern CA Communities</t>
  </si>
  <si>
    <t>1135158  Lumen - ID Enterprise MSA</t>
  </si>
  <si>
    <t>1485254  Lumen - WA Enterprise MSA (2025-27)</t>
  </si>
  <si>
    <t>1486125  Lumen - 2025LE000148 Fiber Overbuild</t>
  </si>
  <si>
    <t>4052136  Lumen - 2590 Walsh Ave</t>
  </si>
  <si>
    <t>1056143  Frontier - Maint SSP South Bay (2025-27)</t>
  </si>
  <si>
    <t>1252077  Frontier - FTTH Morgan Hill</t>
  </si>
  <si>
    <t>2052070  Frontier - Maint SSP South Bay (2022-25)</t>
  </si>
  <si>
    <t>1275216  Ziply - MT FTTH MSA (2024-27)</t>
  </si>
  <si>
    <t>1385175  Ziply - OR FTTP MSA (2024-27)</t>
  </si>
  <si>
    <t>1385220  Ziply - Softscape Keizer FTTP</t>
  </si>
  <si>
    <t>1385249  Ziply - Softscape FTTP-Keizer 6005282</t>
  </si>
  <si>
    <t>1485219  Ziply - Softscape Sammamish FTTP</t>
  </si>
  <si>
    <t>1485239  Ziply - Hwy 530 WO 5519650</t>
  </si>
  <si>
    <t>1486174  Ziply - Granite Falls - 6011884</t>
  </si>
  <si>
    <t>1486175  Ziply - Granite Falls - 6012772</t>
  </si>
  <si>
    <t>1486176  Ziply - Granite Falls - 6012690</t>
  </si>
  <si>
    <t>1486177  Ziply - Granite Falls - 6012767</t>
  </si>
  <si>
    <t>1486178  Ziply - Granite Falls - 6012771</t>
  </si>
  <si>
    <t>1486179  Ziply - Goldbar - 6012764</t>
  </si>
  <si>
    <t>1486180  Ziply - Goldbar - 6012765</t>
  </si>
  <si>
    <t>1486181  Ziply - Goldbar - 6012766</t>
  </si>
  <si>
    <t>1486182  Ziply - Goldbar - 6012769</t>
  </si>
  <si>
    <t>1486183  Ziply - Goldbar - 6012770</t>
  </si>
  <si>
    <t>1486184  Ziply - Goldbar - 6012883</t>
  </si>
  <si>
    <t>1486185  Ziply - Goldbar - 6011891</t>
  </si>
  <si>
    <t>2660001</t>
  </si>
  <si>
    <t>1386187</t>
  </si>
  <si>
    <t>1056135</t>
  </si>
  <si>
    <t>1486174</t>
  </si>
  <si>
    <t>1486175</t>
  </si>
  <si>
    <t>1486176</t>
  </si>
  <si>
    <t>1486177</t>
  </si>
  <si>
    <t>1486178</t>
  </si>
  <si>
    <t>1486179</t>
  </si>
  <si>
    <t>1486180</t>
  </si>
  <si>
    <t>1486181</t>
  </si>
  <si>
    <t>1486182</t>
  </si>
  <si>
    <t>1486183</t>
  </si>
  <si>
    <t>1486185</t>
  </si>
  <si>
    <t>2486025</t>
  </si>
  <si>
    <t>Colville Tribes - Wireless Sites</t>
  </si>
  <si>
    <t>1056150  Volcano - West Ferndale FTTH-Pioneer</t>
  </si>
  <si>
    <t>1386198  City of Hillsboro - HiLight Network MSA</t>
  </si>
  <si>
    <t>2486025  Colville Tribes - Wireless Sites</t>
  </si>
  <si>
    <t>1056195  Frontier - End of MM at Hwy 36 (Fire)</t>
  </si>
  <si>
    <t>1056168</t>
  </si>
  <si>
    <t>2052135</t>
  </si>
  <si>
    <t>Ziply - OR NESC Program</t>
  </si>
  <si>
    <t>1056190</t>
  </si>
  <si>
    <t>Volcano Telephone - OXBO 2 - Splicing</t>
  </si>
  <si>
    <t>1056168  Lumen - Bakersfield to Delano II - Splic</t>
  </si>
  <si>
    <t>1056189  Volcano Telephone - OXBO 1 - Splicing</t>
  </si>
  <si>
    <t>1056190  Volcano Telephone - OXBO 2 - Splicing</t>
  </si>
  <si>
    <t>1387065  DirectLink - Hourly Work</t>
  </si>
  <si>
    <t>1056196  Frontier - Middle Mile Segment (Fire)</t>
  </si>
  <si>
    <t>1056189</t>
  </si>
  <si>
    <t>1056196</t>
  </si>
  <si>
    <t>2136050</t>
  </si>
  <si>
    <t>T-Mobile-Idaho Market 2025-2026</t>
  </si>
  <si>
    <t>2386050</t>
  </si>
  <si>
    <t>T-Mobile-Portland Market 2025-2026</t>
  </si>
  <si>
    <t>Volcano Telephone - OXBO 1 - Splicing</t>
  </si>
  <si>
    <t>1056208</t>
  </si>
  <si>
    <t>1136194</t>
  </si>
  <si>
    <t>Ziply - Softscape FTTP-Keizer 6005282</t>
  </si>
  <si>
    <t>1056208  Crown Castle - Network West Area Pricing</t>
  </si>
  <si>
    <t>2136050  T-Mobile-Idaho Market 2025-2026</t>
  </si>
  <si>
    <t>2385009  T-Mobile-Portland Market  2024-2025</t>
  </si>
  <si>
    <t>2386050  T-Mobile-Portland Market 2025-2026</t>
  </si>
  <si>
    <t>Socket Telecom, LLC - MO (MDU)</t>
  </si>
  <si>
    <t>1056204</t>
  </si>
  <si>
    <t>1056209</t>
  </si>
  <si>
    <t>1056214</t>
  </si>
  <si>
    <t>1056204  ATT - A053D20 - St Helena</t>
  </si>
  <si>
    <t>1056209  ATT - A050R4B - 1936 East Ave Hayward</t>
  </si>
  <si>
    <t>1056214  Sprint - 2024 Bay Area T&amp;E Rates</t>
  </si>
  <si>
    <t>Div 2 - Structured Wiring PNW - Jason</t>
  </si>
  <si>
    <t>GPON &amp; Enterprise</t>
  </si>
  <si>
    <t>LE/Consumer</t>
  </si>
  <si>
    <t>1056155</t>
  </si>
  <si>
    <t>ATT - 2024 T&amp;M Rates-Valley</t>
  </si>
  <si>
    <t>Astound - Clallam County PWB Phase</t>
  </si>
  <si>
    <t>1056205</t>
  </si>
  <si>
    <t>ATT - A02TN2E - B St Hayward</t>
  </si>
  <si>
    <t>1136201</t>
  </si>
  <si>
    <t>Ziply - ID NESC Program</t>
  </si>
  <si>
    <t>1056155  Ponderosa - Reconnect 3 - Build 1</t>
  </si>
  <si>
    <t>2052135  ATT - 2024 T&amp;M Rates-Valley</t>
  </si>
  <si>
    <t>1136201  Ziply - ID NESC Program</t>
  </si>
  <si>
    <t>1276153  Ziply - MT BAU SSP (2024-27)</t>
  </si>
  <si>
    <t>1056203  Zayo - ILA Build - Truckee</t>
  </si>
  <si>
    <t>1056205  ATT - A02TN2E - B St Hayward</t>
  </si>
  <si>
    <t>1276153</t>
  </si>
  <si>
    <t>1056203</t>
  </si>
  <si>
    <t>VZ-Verizon Sw Wa Market (MSA)</t>
  </si>
  <si>
    <t>2486051</t>
  </si>
  <si>
    <t>T-Mobile-Spokane Market 2025-2026</t>
  </si>
  <si>
    <t>1486192</t>
  </si>
  <si>
    <t>2486051  T-Mobile-Spokane Market 2025-2026</t>
  </si>
  <si>
    <t>1056154  ATT - A050NAK - Splicing</t>
  </si>
  <si>
    <t>1056154</t>
  </si>
  <si>
    <t>1056218</t>
  </si>
  <si>
    <t>Ziply - MT BAU SSP (2024-27)</t>
  </si>
  <si>
    <t>1056219</t>
  </si>
  <si>
    <t>Ziply - OR Softscape FTTP (1450)</t>
  </si>
  <si>
    <t>Ziply - WA Softscape FTTP (1450)</t>
  </si>
  <si>
    <t>1056218  BNCSI - Pine Flat to Dam Aerial Feed</t>
  </si>
  <si>
    <t>1056219  Lumen - Road 66 - Splicing</t>
  </si>
  <si>
    <t>1486221  Declaration - Deep Lake, Seg 6 and 7</t>
  </si>
  <si>
    <t>1385251  Ziply - OR Softscape FTTP (1450)</t>
  </si>
  <si>
    <t>1485232  Ziply - Hwy 530 WO 5520320</t>
  </si>
  <si>
    <t>1485250  Ziply - WA Softscape FTTP (1450)</t>
  </si>
  <si>
    <t>1486221</t>
  </si>
  <si>
    <t>1485232</t>
  </si>
  <si>
    <t>1056212</t>
  </si>
  <si>
    <t>ATT - A058VW3 - 1075 40th St Emeryville</t>
  </si>
  <si>
    <t>1056215</t>
  </si>
  <si>
    <t>ATT - A054P5Z - 493 Walsh Rd Atherton</t>
  </si>
  <si>
    <t>2486021</t>
  </si>
  <si>
    <t>Astound - WA- Oak Harbor</t>
  </si>
  <si>
    <t>2486022</t>
  </si>
  <si>
    <t>2486021  Astound - WA- Oak Harbor</t>
  </si>
  <si>
    <t>2486022  Astound - WA - Lewis River</t>
  </si>
  <si>
    <t>1056212  ATT - A058VW3 - 1075 40th St Emeryville</t>
  </si>
  <si>
    <t>1056215  ATT - A054P5Z - 493 Walsh Rd Atherton</t>
  </si>
  <si>
    <t>VZ-Verizon-One Fiber Build-Sacramento</t>
  </si>
  <si>
    <t>1056220</t>
  </si>
  <si>
    <t>ATT - A051MPE - 1518 Rishell Dr Concord</t>
  </si>
  <si>
    <t>1056227</t>
  </si>
  <si>
    <t>ATT - Dig MSA - Bay Area</t>
  </si>
  <si>
    <t>1056230</t>
  </si>
  <si>
    <t>ATT - BSW - Bay Area</t>
  </si>
  <si>
    <t>Frontier- FTTH Valley</t>
  </si>
  <si>
    <t>2051013  Sprint-Maintenance-Selma</t>
  </si>
  <si>
    <t>1252128  Frontier- FTTH Valley</t>
  </si>
  <si>
    <t>1136235  Idaho County - DIGB2 Phase II - Np - Grv</t>
  </si>
  <si>
    <t>1276223  Cogent Bridge 76 Final Reattach</t>
  </si>
  <si>
    <t>1056220  ATT - A051MPE - 1518 Rishell Dr Concord</t>
  </si>
  <si>
    <t>1056227  ATT - Dig MSA - Bay Area</t>
  </si>
  <si>
    <t>1056230  ATT - BSW - Bay Area</t>
  </si>
  <si>
    <t>1276223</t>
  </si>
  <si>
    <t>Sprint-Maintenance-Selma</t>
  </si>
  <si>
    <t>2445022</t>
  </si>
  <si>
    <t>Ezee Fiber-717 Lehman</t>
  </si>
  <si>
    <t>2446103</t>
  </si>
  <si>
    <t>1056228</t>
  </si>
  <si>
    <t>ATT - Dig MSA - Northern Areas</t>
  </si>
  <si>
    <t>Ziply - Hwy 530 WO 5520320</t>
  </si>
  <si>
    <t>2445022  Ezee Fiber-717 Lehman</t>
  </si>
  <si>
    <t>2446103  Ubiquity Services - Bluffs at Brookside</t>
  </si>
  <si>
    <t>1056217  Sprint - Baseline Costco Relocation</t>
  </si>
  <si>
    <t>1056228  ATT - Dig MSA - Northern Areas</t>
  </si>
  <si>
    <t>1056217</t>
  </si>
  <si>
    <t>1056232</t>
  </si>
  <si>
    <t>ATT - A055QP3 - Various</t>
  </si>
  <si>
    <t>2136012</t>
  </si>
  <si>
    <t>VZ-Verizon ID Careywood</t>
  </si>
  <si>
    <t>2136012  VZ-Verizon ID Careywood</t>
  </si>
  <si>
    <t>1136238  Avista - Dalton sub to CDA Call Center</t>
  </si>
  <si>
    <t>1386239  Warm Springs - Drops only</t>
  </si>
  <si>
    <t>1056232  ATT - A055QP3 - Various</t>
  </si>
  <si>
    <t>1136238</t>
  </si>
  <si>
    <t>1386239</t>
  </si>
  <si>
    <t>1252082</t>
  </si>
  <si>
    <t>Frontier - FTTH - Kenwood</t>
  </si>
  <si>
    <t>2445023</t>
  </si>
  <si>
    <t>2445023  Ezee Fiber - Azulejo Apartments</t>
  </si>
  <si>
    <t>1252082  Frontier - FTTH - Kenwood</t>
  </si>
  <si>
    <t>1485231  Ziply - Hwy 530 WO 5520317 (FTTP PW)</t>
  </si>
  <si>
    <t>1485231</t>
  </si>
  <si>
    <t>1056236</t>
  </si>
  <si>
    <t>ATT - A058FR3 - Moraga</t>
  </si>
  <si>
    <t>1056240</t>
  </si>
  <si>
    <t>2486026  Colville Tribes - MAT Solar</t>
  </si>
  <si>
    <t>1056216  Consolidated Communications - Natomas to</t>
  </si>
  <si>
    <t>1056236  ATT - A058FR3 - Moraga</t>
  </si>
  <si>
    <t>1056240  ATT - A058HE0 - Oakland</t>
  </si>
  <si>
    <t>1056216</t>
  </si>
  <si>
    <t>2486026</t>
  </si>
  <si>
    <t>Total - Siskiyou</t>
  </si>
  <si>
    <t>Profit Center 12 - Jon Mullins (Bay Area)</t>
  </si>
  <si>
    <t>Profit Center 17 - Nevada - James Higgins</t>
  </si>
  <si>
    <t>Total - Nevada - James Higgins</t>
  </si>
  <si>
    <t>1056245</t>
  </si>
  <si>
    <t>Project Manager: Higgins, James</t>
  </si>
  <si>
    <t>Google-Fiber FTTH Greenfields CO</t>
  </si>
  <si>
    <t>2446104</t>
  </si>
  <si>
    <t>Avista - Dalton sub to CDA Call Center</t>
  </si>
  <si>
    <t>1056244</t>
  </si>
  <si>
    <t>2446104  Ubiquity Serivces-Renaissance at Stoney</t>
  </si>
  <si>
    <t>2434000  CommPro Services, LLC - TN</t>
  </si>
  <si>
    <t>1486224  Redline - Hwy 112 West Cabinet</t>
  </si>
  <si>
    <t>1056245  Consolidated - Florin Rd - Sacramento</t>
  </si>
  <si>
    <t>1056244  ATT - A059283 - Oakland</t>
  </si>
  <si>
    <t>877413</t>
  </si>
  <si>
    <t>Higgins, James</t>
  </si>
  <si>
    <t>1486224</t>
  </si>
  <si>
    <t>1056237</t>
  </si>
  <si>
    <t>ATT - A02G3JG - San Mateo</t>
  </si>
  <si>
    <t>1056255</t>
  </si>
  <si>
    <t>VOLCANO-West Ferndale Phase 2 FTTH-Pione</t>
  </si>
  <si>
    <t>Ziply - Hwy 530 WO 5520317 (FTTP PW)</t>
  </si>
  <si>
    <t>1056255  VOLCANO-West Ferndale Phase 2 FTTH-Pione</t>
  </si>
  <si>
    <t>2156000  CommPro Services, LLC - IN</t>
  </si>
  <si>
    <t>1386253  Consumer Power - Marval Rd Joint Trench</t>
  </si>
  <si>
    <t>1056135  Arcadian - Redwood Segment 5-1</t>
  </si>
  <si>
    <t>1056237  ATT - A02G3JG - San Mateo</t>
  </si>
  <si>
    <t>1386253</t>
  </si>
  <si>
    <t>1136235</t>
  </si>
  <si>
    <t>Profit Center 10 - Siskiyou</t>
  </si>
  <si>
    <t>2445021</t>
  </si>
  <si>
    <t>Ezee Fiber-Franklin Apts</t>
  </si>
  <si>
    <t>2446101</t>
  </si>
  <si>
    <t>1056231</t>
  </si>
  <si>
    <t>1056251</t>
  </si>
  <si>
    <t>ATT - A058FR3 - 2 Paseo Linares</t>
  </si>
  <si>
    <t>1056257</t>
  </si>
  <si>
    <t>1056259</t>
  </si>
  <si>
    <t>1486200</t>
  </si>
  <si>
    <t>Ziply - WA NESC Program</t>
  </si>
  <si>
    <t>2180000  CommPro Services, LLC - KY</t>
  </si>
  <si>
    <t>2445021  Ezee Fiber-Franklin Apts</t>
  </si>
  <si>
    <t>2446101  Ubiquity Services-Bay Colony Apt Homes</t>
  </si>
  <si>
    <t>1486200  Ziply - WA NESC Program</t>
  </si>
  <si>
    <t>1056231  ATT - BSW - Northern</t>
  </si>
  <si>
    <t>1056251  ATT - A058FR3 - 2 Paseo Linares</t>
  </si>
  <si>
    <t>1056257  ATT - A01V1LZ - Palo Alto Pole Transfers</t>
  </si>
  <si>
    <t>1056259  ATT - A01VMCS - Redwood City Pole Transf</t>
  </si>
  <si>
    <t>1056256</t>
  </si>
  <si>
    <t>Astound - OR Wave Broadband</t>
  </si>
  <si>
    <t>1386233  Oregon Tel - Long Creek to Monument</t>
  </si>
  <si>
    <t>2386011  Hunter Communications &amp; Technologies, LL</t>
  </si>
  <si>
    <t>1056256  ATT - A059FZM - Hayward</t>
  </si>
  <si>
    <t>1386233</t>
  </si>
  <si>
    <t>2386011</t>
  </si>
  <si>
    <t>1056268</t>
  </si>
  <si>
    <t>Consolidated Communications - 8320 Belve</t>
  </si>
  <si>
    <t>2066100</t>
  </si>
  <si>
    <t>Ubiquity Services-Retreat at City Center</t>
  </si>
  <si>
    <t>2445024</t>
  </si>
  <si>
    <t>Ezee Fiber - Janicsh Apartments</t>
  </si>
  <si>
    <t>Project Manager: McElyea, Grant</t>
  </si>
  <si>
    <t>1056263</t>
  </si>
  <si>
    <t>ATT - A058N3W - Harvard Circle</t>
  </si>
  <si>
    <t>1296248</t>
  </si>
  <si>
    <t>ATT - A0558LC - Sparks NV</t>
  </si>
  <si>
    <t>18131</t>
  </si>
  <si>
    <t>NFS - Wasatch Electric - Moana Ln - Reno</t>
  </si>
  <si>
    <t>Ziply - Eastern WA BAU SSP (legacy)</t>
  </si>
  <si>
    <t>Oregon Tel - Long Creek to Monument</t>
  </si>
  <si>
    <t>Ziply - WA FTTH Soft Scape Bid WOs (354)</t>
  </si>
  <si>
    <t>2066100  Ubiquity Services-Retreat at City Center</t>
  </si>
  <si>
    <t>2445024  Ezee Fiber - Janicsh Apartments</t>
  </si>
  <si>
    <t>1485212  Ziply - Eastern WA BAU SSP (legacy)</t>
  </si>
  <si>
    <t>1486266  Colville Tribes - Twin Lakes FTTH</t>
  </si>
  <si>
    <t>1056268  Consolidated Communications - 8320 Belve</t>
  </si>
  <si>
    <t>1056263  ATT - A058N3W - Harvard Circle</t>
  </si>
  <si>
    <t>1296248  ATT - A0558LC - Sparks NV</t>
  </si>
  <si>
    <t>18131  NFS - Wasatch Electric - Moana Ln - Reno</t>
  </si>
  <si>
    <t>866207</t>
  </si>
  <si>
    <t>McElyea, Grant</t>
  </si>
  <si>
    <t>1136194  Ziply - ID FTTH Soft Scape Bid WOs (354)</t>
  </si>
  <si>
    <t>1485215  Ziply - WA FTTP MSA legacy)</t>
  </si>
  <si>
    <t>1486192  Ziply - WA FTTH Soft Scape Bid WOs (354)</t>
  </si>
  <si>
    <t>2036000</t>
  </si>
  <si>
    <t>Google-Google Fiber MSA (AZ)</t>
  </si>
  <si>
    <t>1056270</t>
  </si>
  <si>
    <t>ATT - A058N3T - Moraga Dig Ups</t>
  </si>
  <si>
    <t>2036000  Google-Google Fiber MSA (AZ)</t>
  </si>
  <si>
    <t>1056270  ATT - A058N3T - Moraga Dig Ups</t>
  </si>
  <si>
    <t>1296002</t>
  </si>
  <si>
    <t>AWS - Reno Data Center - OSP</t>
  </si>
  <si>
    <t>1056252</t>
  </si>
  <si>
    <t>1056258</t>
  </si>
  <si>
    <t>VZ-Verizon Or Mosser</t>
  </si>
  <si>
    <t>Ziply - WA FTTP MSA (Cody)</t>
  </si>
  <si>
    <t>2014000  CommPro Services, LLC - AL</t>
  </si>
  <si>
    <t>2413000  CommPro Services, LLC - SC</t>
  </si>
  <si>
    <t>2384101  VZ-Verizon Or Mosser</t>
  </si>
  <si>
    <t>1056252  ATT - A020BN7 - Redwood City</t>
  </si>
  <si>
    <t>1056258  ATT - A02463N - Redwood City Pole Transf</t>
  </si>
  <si>
    <t>1296249  ATT - A051KQ2 - Carson City NV</t>
  </si>
  <si>
    <t>1296002  AWS - Reno Data Center - OSP</t>
  </si>
  <si>
    <t>1296243  AWS - Reno Data Center - Campus</t>
  </si>
  <si>
    <t>1296267  ATT -  A02QY7S - Reno NV</t>
  </si>
  <si>
    <t>1296243</t>
  </si>
  <si>
    <t>1296267</t>
  </si>
  <si>
    <t>1296249</t>
  </si>
  <si>
    <t>1386274</t>
  </si>
  <si>
    <t>2484115  American Tower Corporation-WA</t>
  </si>
  <si>
    <t>2484120  Colville Tribes - Wireless Maintenance</t>
  </si>
  <si>
    <t>1486285  Adams County - Othello FTTH</t>
  </si>
  <si>
    <t>1486278  Lumen - Northeast WA Consumer (2026-28)</t>
  </si>
  <si>
    <t>1296277  ATT - A02PJDR - Kings Row</t>
  </si>
  <si>
    <t>1486278</t>
  </si>
  <si>
    <t>1486280</t>
  </si>
  <si>
    <t>1296277</t>
  </si>
  <si>
    <t>1056275</t>
  </si>
  <si>
    <t>ATT - A058K7T - Salinas</t>
  </si>
  <si>
    <t>ATT -  A02QY7S - Reno NV</t>
  </si>
  <si>
    <t>Lumen - Northeast WA Consumer (2026-28)</t>
  </si>
  <si>
    <t>Idaho County - DIGB2 Phase II - Np - Grv</t>
  </si>
  <si>
    <t>1056283</t>
  </si>
  <si>
    <t>ATT - A059FVL - Alameda Rod and Rope</t>
  </si>
  <si>
    <t>Consumer Power - Marval Rd Joint Trench</t>
  </si>
  <si>
    <t>2386051  T-Mobile- Eastern OR Market 2025-2026</t>
  </si>
  <si>
    <t>2485014  VZ-Verizon Wa Booker Rd</t>
  </si>
  <si>
    <t>1486271  Grant County PUD (2026-27)</t>
  </si>
  <si>
    <t>1056271  VERIZON-CONCORD-NED AMEND-CW2406653</t>
  </si>
  <si>
    <t>1056283  ATT - A059FVL - Alameda Rod and Rope</t>
  </si>
  <si>
    <t>1056275  ATT - A058K7T - Salinas</t>
  </si>
  <si>
    <t>2386051</t>
  </si>
  <si>
    <t>1486271</t>
  </si>
  <si>
    <t>1056271</t>
  </si>
  <si>
    <t>1386290</t>
  </si>
  <si>
    <t>1056282</t>
  </si>
  <si>
    <t>ATT - A05AJGW - Coulterville</t>
  </si>
  <si>
    <t>Consolidated Communications MSA</t>
  </si>
  <si>
    <t>T-Mobile- Eastern OR Market 2025-2026</t>
  </si>
  <si>
    <t>Colville Tribes - MAT Solar</t>
  </si>
  <si>
    <t>1056289</t>
  </si>
  <si>
    <t>Lumen - Valley CoCal (2025-26)</t>
  </si>
  <si>
    <t>1056282  ATT - A05AJGW - Coulterville</t>
  </si>
  <si>
    <t>1056289  Lumen - Valley CoCal (2025-26)</t>
  </si>
  <si>
    <t>1386290  Clackamas County - Hwy 213 and Carus</t>
  </si>
  <si>
    <t>1386288  City of Wilsonville - GSK TOD Building F</t>
  </si>
  <si>
    <t>2486024  Astound - WA - Drone Work</t>
  </si>
  <si>
    <t>2486030  Spokane Tribe - WA</t>
  </si>
  <si>
    <t>1486246  Zayo - First Tech Credit Union ECO</t>
  </si>
  <si>
    <t>1486281  Lumen - West WA Drops (2026-28)</t>
  </si>
  <si>
    <t>2486024</t>
  </si>
  <si>
    <t>1486246</t>
  </si>
  <si>
    <t>1386288</t>
  </si>
  <si>
    <t>1486281</t>
  </si>
  <si>
    <t>ATT - A051KQ2 - Carson City NV</t>
  </si>
  <si>
    <t>2254000</t>
  </si>
  <si>
    <t>2136060</t>
  </si>
  <si>
    <t>T-Mobile Idaho Market 2026-2027</t>
  </si>
  <si>
    <t>2386060</t>
  </si>
  <si>
    <t>T-Mobile-Portland Market 2026-2027</t>
  </si>
  <si>
    <t>1056286</t>
  </si>
  <si>
    <t>Succeed Inc - Splicing - Lincoln Crossin</t>
  </si>
  <si>
    <t>Ziply - Granite Falls - 6012690</t>
  </si>
  <si>
    <t>1056286  Succeed Inc - Splicing - Lincoln Crossin</t>
  </si>
  <si>
    <t>2136014  Crown Castle - ID</t>
  </si>
  <si>
    <t>2136060  T-Mobile Idaho Market 2026-2027</t>
  </si>
  <si>
    <t>2386060  T-Mobile-Portland Market 2026-2027</t>
  </si>
  <si>
    <t>2486030</t>
  </si>
  <si>
    <t>1486266</t>
  </si>
  <si>
    <t>1056291</t>
  </si>
  <si>
    <t>1486293</t>
  </si>
  <si>
    <t>Ziply - Goldbar - 6011891</t>
  </si>
  <si>
    <t>1056250  Sprint - Alpine Rd Cable Damage</t>
  </si>
  <si>
    <t>1486293  Clark PUD - Jones Substation</t>
  </si>
  <si>
    <t>1056284  Sprint - OKLD Zero MH Repair</t>
  </si>
  <si>
    <t>1056291  ATT - Blossom Hill Rd - PO 06572536</t>
  </si>
  <si>
    <t>1056294  ATT - A058EV8 - Martinez</t>
  </si>
  <si>
    <t>1056250</t>
  </si>
  <si>
    <t>1486285</t>
  </si>
  <si>
    <t>1056284</t>
  </si>
  <si>
    <t>1056294</t>
  </si>
  <si>
    <t>Division 1 - Construction</t>
  </si>
  <si>
    <t>Region 2 - James</t>
  </si>
  <si>
    <t>Region 3 - Stewart</t>
  </si>
  <si>
    <t>Total Lumen</t>
  </si>
  <si>
    <t>Total Region 5 - Jojoe</t>
  </si>
  <si>
    <t>Region 5 - Jojoe</t>
  </si>
  <si>
    <t>Region 6 -  Marc</t>
  </si>
  <si>
    <t>Total Region 6 - Marc</t>
  </si>
  <si>
    <t>Total Region 4 - Chris</t>
  </si>
  <si>
    <t>Total Region 2 - James</t>
  </si>
  <si>
    <t>Record Type: R</t>
  </si>
  <si>
    <t>Lumen - NAT OSP CENCAL MSA 2022-Selma</t>
  </si>
  <si>
    <t>ATT - A02PJDR - Kings Row</t>
  </si>
  <si>
    <t>Lumen - West WA Enterprise MSA (2022-24)</t>
  </si>
  <si>
    <t>Lumen - Northeast WA Consumer (2022-25)</t>
  </si>
  <si>
    <t>Lumen - San Juans Consumer (2023-25)</t>
  </si>
  <si>
    <t>Lumen - West WA Consumer (2023-25)</t>
  </si>
  <si>
    <t>Lumen - West WA Consumer (2026-28)</t>
  </si>
  <si>
    <t>Lumen - West WA Drops (2026-28)</t>
  </si>
  <si>
    <t>Adams County - Othello FTTH</t>
  </si>
  <si>
    <t>1056276</t>
  </si>
  <si>
    <t>ATT - A05966Q - Danville Flexnap</t>
  </si>
  <si>
    <t>2052056  Lumen - NAT OSP CENCAL MSA 2022-Selma</t>
  </si>
  <si>
    <t>1482096  Lumen - West WA Enterprise MSA (2022-24)</t>
  </si>
  <si>
    <t>1483077  Lumen - Northeast WA Consumer (2022-25)</t>
  </si>
  <si>
    <t>1483096  Lumen - 2023LE000081 Fiber Overbuild</t>
  </si>
  <si>
    <t>1483098  Lumen - San Juans Consumer (2023-25)</t>
  </si>
  <si>
    <t>1483099  Lumen - West WA Consumer (2023-25)</t>
  </si>
  <si>
    <t>1483102  Lumen - 2023LE000081 Ovrbld East WA FTTH</t>
  </si>
  <si>
    <t>1486280  Lumen - West WA Consumer (2026-28)</t>
  </si>
  <si>
    <t>1056276  ATT - A05966Q - Danville Flexnap</t>
  </si>
  <si>
    <t>4052154  Lumen - COCAL Bay Area MSA (2025-26)</t>
  </si>
  <si>
    <t>2136014</t>
  </si>
  <si>
    <t>UserID:  4395</t>
  </si>
  <si>
    <t>ATT - BSW - Northern</t>
  </si>
  <si>
    <t>ATT - A058EV8 - Martinez</t>
  </si>
  <si>
    <t>Lumen - COCAL Bay Area MSA (2025-26)</t>
  </si>
  <si>
    <t>City of Wilsonville - GSK TOD Building F</t>
  </si>
  <si>
    <t>1486295</t>
  </si>
  <si>
    <t>1056299</t>
  </si>
  <si>
    <t>ATT - A0578EH - Tulare MH T331 Cable Dam</t>
  </si>
  <si>
    <t>1485234</t>
  </si>
  <si>
    <t>Ziply - Hwy 530 WO 5513480</t>
  </si>
  <si>
    <t>1056299  ATT - A0578EH - Tulare MH T331 Cable Dam</t>
  </si>
  <si>
    <t>1386287  CPI - 17340 Little Lobster Valley Rd</t>
  </si>
  <si>
    <t>1486295  Clark PUD - NE 179th St Fiber Relocation</t>
  </si>
  <si>
    <t>1485234  Ziply - Hwy 530 WO 5513480</t>
  </si>
  <si>
    <t>1386287</t>
  </si>
  <si>
    <t>Total Region 3 - Stewart</t>
  </si>
  <si>
    <t>1386204</t>
  </si>
  <si>
    <t>1056272</t>
  </si>
  <si>
    <t>Sprint - Rancho Cordova Sunrise Blvd</t>
  </si>
  <si>
    <t>1486279</t>
  </si>
  <si>
    <t>Lumen - San Juans WA Consumer (2026-28)</t>
  </si>
  <si>
    <t>1056297</t>
  </si>
  <si>
    <t>Unwired Broadband - Coalinga</t>
  </si>
  <si>
    <t>1056298</t>
  </si>
  <si>
    <t>Unwired Broadband - Gustine</t>
  </si>
  <si>
    <t xml:space="preserve"> </t>
  </si>
  <si>
    <t>1056297  Unwired Broadband - Coalinga</t>
  </si>
  <si>
    <t>1056298  Unwired Broadband - Gustine</t>
  </si>
  <si>
    <t>1386204  Directlink - Blount Rd Ped Removals</t>
  </si>
  <si>
    <t>2486061  T-Mobile-Spokane Market 2026-2027</t>
  </si>
  <si>
    <t>1056272  Sprint - Rancho Cordova Sunrise Blvd</t>
  </si>
  <si>
    <t>1486279  Lumen - San Juans WA Consumer (2026-28)</t>
  </si>
  <si>
    <t>2486061</t>
  </si>
  <si>
    <t>Printed: 2/28/2026  2:52:30PM</t>
  </si>
  <si>
    <t>Cut Off Date: 02/28/2026</t>
  </si>
  <si>
    <t>02/28/2026</t>
  </si>
  <si>
    <t>Clear Creek - OSP Phase 3-1</t>
  </si>
  <si>
    <t>2445025</t>
  </si>
  <si>
    <t>Ezee - San Antigua</t>
  </si>
  <si>
    <t>2446105</t>
  </si>
  <si>
    <t>Ubiquity Services-Heatherwilde Park</t>
  </si>
  <si>
    <t>Socket Telecom, LLC - MO (Installs)</t>
  </si>
  <si>
    <t>Grant County PUD (2026-27)</t>
  </si>
  <si>
    <t>CPI - 17340 Little Lobster Valley Rd</t>
  </si>
  <si>
    <t>2387000</t>
  </si>
  <si>
    <t>VZ-Verizon OR Ruch</t>
  </si>
  <si>
    <t>Spokane Tribe - WA</t>
  </si>
  <si>
    <t>T-Mobile-Spokane Market 2026-2027</t>
  </si>
  <si>
    <t>1386100  DirectLink - Mt Angel Town FTTH</t>
  </si>
  <si>
    <t>1386138  Clear Creek - OSP Phase 3-1</t>
  </si>
  <si>
    <t>2113000  CommPro Services, LLC - GA</t>
  </si>
  <si>
    <t>2254000  CommPro Services, LLC - MS</t>
  </si>
  <si>
    <t>2445025  Ezee - San Antigua</t>
  </si>
  <si>
    <t>2446105  Ubiquity Services-Heatherwilde Park</t>
  </si>
  <si>
    <t>1386274  DirectLink - Molalla Forest Ped Removals</t>
  </si>
  <si>
    <t>2387000  VZ-Verizon OR Ruch</t>
  </si>
  <si>
    <t>1136264  ATT - CDA Bridge Cable Pulling</t>
  </si>
  <si>
    <t>1136264</t>
  </si>
  <si>
    <t>Former #</t>
  </si>
  <si>
    <t>Accrued Revenue
|$4000+|</t>
  </si>
  <si>
    <t>Accrued Costs
|$4000+|</t>
  </si>
  <si>
    <t>Contract #</t>
  </si>
  <si>
    <t>PC9</t>
  </si>
  <si>
    <t>Total Ziply BAU Alton</t>
  </si>
  <si>
    <t>PC1</t>
  </si>
  <si>
    <t>PC2</t>
  </si>
  <si>
    <t>Total Washington/Idaho Bid - Stewart</t>
  </si>
  <si>
    <t>PC8</t>
  </si>
  <si>
    <t>Region 4 - Oregon Bid Chris</t>
  </si>
  <si>
    <t>Stayton &amp; Peoples - Dennis</t>
  </si>
  <si>
    <t>PC3</t>
  </si>
  <si>
    <t>Canby &amp; Molalla - Dustin</t>
  </si>
  <si>
    <t>PC4</t>
  </si>
  <si>
    <t>PC5</t>
  </si>
  <si>
    <t>Oregon Bid Projects - Justin</t>
  </si>
  <si>
    <t>PC10</t>
  </si>
  <si>
    <t>PC12</t>
  </si>
  <si>
    <t>PC13</t>
  </si>
  <si>
    <t>PC17</t>
  </si>
  <si>
    <t>PC14</t>
  </si>
  <si>
    <t>PC15</t>
  </si>
  <si>
    <t>Profit Center 1F</t>
  </si>
  <si>
    <t>Total Revenue &amp; Operating Income</t>
  </si>
  <si>
    <t>General &amp; Administrative Expense</t>
  </si>
  <si>
    <t>Management Fee</t>
  </si>
  <si>
    <t>Total Revenue &amp; Pre-Tax Income</t>
  </si>
  <si>
    <t>Contract Name</t>
  </si>
  <si>
    <t>contract</t>
  </si>
  <si>
    <t>Contract Description</t>
  </si>
  <si>
    <t>Legacy Project #</t>
  </si>
  <si>
    <t>SAP Contract #</t>
  </si>
  <si>
    <t>project description</t>
  </si>
  <si>
    <t>project status</t>
  </si>
  <si>
    <t>customer name</t>
  </si>
  <si>
    <t>start date</t>
  </si>
  <si>
    <t>end date</t>
  </si>
  <si>
    <t>contract type</t>
  </si>
  <si>
    <t>SAP Project #</t>
  </si>
  <si>
    <t>ADAMSNSC2026O190</t>
  </si>
  <si>
    <t xml:space="preserve">NSC--Othello FTTH                                           </t>
  </si>
  <si>
    <t xml:space="preserve">Adams County - Othello FTTH                                 </t>
  </si>
  <si>
    <t>A</t>
  </si>
  <si>
    <t xml:space="preserve">Adams County, Washington                                    </t>
  </si>
  <si>
    <t>BIDC</t>
  </si>
  <si>
    <t>ALYRINSC2025O147</t>
  </si>
  <si>
    <t xml:space="preserve">NSC--Alyrica Webfoot FTTH CSA                               </t>
  </si>
  <si>
    <t xml:space="preserve">Alyrica - Webfoot                                           </t>
  </si>
  <si>
    <t xml:space="preserve">Alyrica Networks                                            </t>
  </si>
  <si>
    <t>AMAZONSC2025O180</t>
  </si>
  <si>
    <t xml:space="preserve">NSC--Amazon PO US59072694                                   </t>
  </si>
  <si>
    <t>1296001</t>
  </si>
  <si>
    <t xml:space="preserve">AWS - Reno Data Center - OSP ENG                            </t>
  </si>
  <si>
    <t xml:space="preserve">Point to Point Communications, Inc.                         </t>
  </si>
  <si>
    <t>INCO</t>
  </si>
  <si>
    <t xml:space="preserve">AWS - Reno Data Center - OSP                                </t>
  </si>
  <si>
    <t xml:space="preserve">AWS - Reno Data Center - Campus                             </t>
  </si>
  <si>
    <t xml:space="preserve">Amazon Data Services, Inc.                                  </t>
  </si>
  <si>
    <t>AMERINSC2018O021</t>
  </si>
  <si>
    <t xml:space="preserve">MCS 06.06.18 Division 2                                     </t>
  </si>
  <si>
    <t xml:space="preserve">American Tower Corporation-WA                               </t>
  </si>
  <si>
    <t xml:space="preserve">American Tower Corporation                                  </t>
  </si>
  <si>
    <t>WIOT</t>
  </si>
  <si>
    <t>ARCADNSC2025O158</t>
  </si>
  <si>
    <t xml:space="preserve">NSC--Arcadian Master Construction Contract/ MSA             </t>
  </si>
  <si>
    <t xml:space="preserve">Arcadian - Redwood Segment 5-1                              </t>
  </si>
  <si>
    <t xml:space="preserve">Arcadian Infracom, Inc.                                     </t>
  </si>
  <si>
    <t xml:space="preserve">AT&amp;TSGSU2022095 </t>
  </si>
  <si>
    <t xml:space="preserve">GSU--AT&amp;T CMSA # CGA2022.1077                               </t>
  </si>
  <si>
    <t xml:space="preserve">ATT - WE12 CSVA 3 (2024-26)                                 </t>
  </si>
  <si>
    <t xml:space="preserve">AT&amp;T Services, Inc                                          </t>
  </si>
  <si>
    <t>TCMS</t>
  </si>
  <si>
    <t>AT&amp;TSNSC2025O173</t>
  </si>
  <si>
    <t xml:space="preserve">NSC--AT&amp;T ABWS Agmt. # 30100884                             </t>
  </si>
  <si>
    <t xml:space="preserve">ATT - Dig MSA - Bay Area                                    </t>
  </si>
  <si>
    <t xml:space="preserve">ATT - Dig MSA - Northern Areas                              </t>
  </si>
  <si>
    <t>AT&amp;TSNSC2025O177</t>
  </si>
  <si>
    <t xml:space="preserve">NSC--AT&amp;T BSW Cont. # 30100905                              </t>
  </si>
  <si>
    <t xml:space="preserve">ATT - BSW - Northern                                        </t>
  </si>
  <si>
    <t xml:space="preserve">ATT - BSW - Bay Area                                        </t>
  </si>
  <si>
    <t>ATT00GSU2015O009</t>
  </si>
  <si>
    <t xml:space="preserve">AT&amp;T ACAS Agreement                                         </t>
  </si>
  <si>
    <t xml:space="preserve">ATT - A058FR3 - 2 Paseo Linares                             </t>
  </si>
  <si>
    <t xml:space="preserve">ATT - A02WAXR - Castro Valley                               </t>
  </si>
  <si>
    <t xml:space="preserve">ATT - A01V1LZ - Palo Alto Pole Transfers                    </t>
  </si>
  <si>
    <t xml:space="preserve">ATT - A0558LC - Sparks NV                                   </t>
  </si>
  <si>
    <t xml:space="preserve">ATT -  A02QY7S - Reno NV                                    </t>
  </si>
  <si>
    <t xml:space="preserve">ATT - A058N3W - Harvard Circle                              </t>
  </si>
  <si>
    <t xml:space="preserve">ATT - A02PJDR - Kings Row                                   </t>
  </si>
  <si>
    <t xml:space="preserve">ATT - A058N3T - Moraga Dig Ups                              </t>
  </si>
  <si>
    <t xml:space="preserve">ATT - A058K7T - Salinas                                     </t>
  </si>
  <si>
    <t xml:space="preserve">ATT - A05966Q - Danville Flexnap                            </t>
  </si>
  <si>
    <t xml:space="preserve">ATT - A055ZJ0 - 24239 Hesperian Blvd Hay                    </t>
  </si>
  <si>
    <t xml:space="preserve">ATT - A050HNP - Crestfield Dr Castro Val                    </t>
  </si>
  <si>
    <t xml:space="preserve">ATT - A05246A - Various - El Cerrito                        </t>
  </si>
  <si>
    <t xml:space="preserve">ATT - A050Z6H - Foster City                                 </t>
  </si>
  <si>
    <t xml:space="preserve">ATT - A058VW3 - 1075 40th St Emeryville                     </t>
  </si>
  <si>
    <t xml:space="preserve">ATT - A055QP3 - Various                                     </t>
  </si>
  <si>
    <t xml:space="preserve">ATT - A02G3JG - San Mateo                                   </t>
  </si>
  <si>
    <t xml:space="preserve">ATT - Blossom Hill Rd - PO 06572536                         </t>
  </si>
  <si>
    <t>1056292</t>
  </si>
  <si>
    <t xml:space="preserve">ATT - A051W9F - 2101 Kala Bagai Way                         </t>
  </si>
  <si>
    <t xml:space="preserve">ATT - San Leandro Dig                                       </t>
  </si>
  <si>
    <t xml:space="preserve">ATT - Saratoga conduit placement                            </t>
  </si>
  <si>
    <t xml:space="preserve">ATT - A050R4B - 1936 East Ave Hayward                       </t>
  </si>
  <si>
    <t xml:space="preserve">ATT - A02463N - Redwood City Pole Transf                    </t>
  </si>
  <si>
    <t xml:space="preserve">ATT - A02WQZT - Newark                                      </t>
  </si>
  <si>
    <t xml:space="preserve">ATT - A01VMCS - Redwood City Pole Transf                    </t>
  </si>
  <si>
    <t xml:space="preserve">ATT - A054P5Z - 493 Walsh Rd Atherton                       </t>
  </si>
  <si>
    <t xml:space="preserve">ATT - A057N0N - Broadway St Oakland                         </t>
  </si>
  <si>
    <t>1056157</t>
  </si>
  <si>
    <t xml:space="preserve">ATT - A058H0A - Peralta St Oakland                          </t>
  </si>
  <si>
    <t xml:space="preserve">ATT - A051MPE - 1518 Rishell Dr Concord                     </t>
  </si>
  <si>
    <t xml:space="preserve">ATT - A055YA7 - Williams St San Leandro                     </t>
  </si>
  <si>
    <t>1056171</t>
  </si>
  <si>
    <t xml:space="preserve">ATT - A02QKNQ - 971 B Street Hayward                        </t>
  </si>
  <si>
    <t xml:space="preserve">ATT - A05AJGW - Coulterville                                </t>
  </si>
  <si>
    <t xml:space="preserve">ATT - A059FVL - Alameda Rod and Rope                        </t>
  </si>
  <si>
    <t xml:space="preserve">ATT - A053D20 - St Helena                                   </t>
  </si>
  <si>
    <t xml:space="preserve">ATT - A02TN2E - B St Hayward                                </t>
  </si>
  <si>
    <t xml:space="preserve">ATT - A058EV8 - Martinez                                    </t>
  </si>
  <si>
    <t xml:space="preserve">ATT - A058FR3 - Moraga                                      </t>
  </si>
  <si>
    <t xml:space="preserve">ATT - A058HE0 - Oakland                                     </t>
  </si>
  <si>
    <t xml:space="preserve">ATT - A059283 - Oakland                                     </t>
  </si>
  <si>
    <t xml:space="preserve">ATT - A051KQ2 - Carson City NV                              </t>
  </si>
  <si>
    <t xml:space="preserve">ATT - A020BN7 - Redwood City                                </t>
  </si>
  <si>
    <t xml:space="preserve">ATT - A059FZM - Hayward                                     </t>
  </si>
  <si>
    <t xml:space="preserve">ATT - 2024 T&amp;M Rates-Valley                                 </t>
  </si>
  <si>
    <t>1056296</t>
  </si>
  <si>
    <t xml:space="preserve">ATT -  A057WYA - San Rafael                                 </t>
  </si>
  <si>
    <t xml:space="preserve">ATT - A0578EH - Tulare MH T331 Cable Dam                    </t>
  </si>
  <si>
    <t>1056301</t>
  </si>
  <si>
    <t>ATT - A058D26 - Greeley Hill</t>
  </si>
  <si>
    <t>AT&amp;T Services, Inc</t>
  </si>
  <si>
    <t>1056307</t>
  </si>
  <si>
    <t>ATT - 525 Market St - PO 06600653</t>
  </si>
  <si>
    <t>1056311</t>
  </si>
  <si>
    <t>ATT - A058YLP FTTH - Ceres</t>
  </si>
  <si>
    <t>1056312</t>
  </si>
  <si>
    <t>ATT - A056VEP - Franklin Bridge Splicing</t>
  </si>
  <si>
    <t>1056313</t>
  </si>
  <si>
    <t>ATT - NB01 - San Francisco Downtown</t>
  </si>
  <si>
    <t>1056314</t>
  </si>
  <si>
    <t>ATT - NB02 - San Francisco Outside</t>
  </si>
  <si>
    <t>1056315</t>
  </si>
  <si>
    <t>ATT - NB03 - Oakland-Franklin</t>
  </si>
  <si>
    <t>1056316</t>
  </si>
  <si>
    <t>ATT - NB04 - Hayward-Oakland</t>
  </si>
  <si>
    <t>1056317</t>
  </si>
  <si>
    <t>ATT - NB05 - Richmond-Berkeley</t>
  </si>
  <si>
    <t>1056318</t>
  </si>
  <si>
    <t>ATT - NB06 - Antioch-Martinez</t>
  </si>
  <si>
    <t>1056319</t>
  </si>
  <si>
    <t>ATT - NB07 - Oakley-Brentwood</t>
  </si>
  <si>
    <t>1056320</t>
  </si>
  <si>
    <t>ATT - NB08 - Livermore-San Ramon</t>
  </si>
  <si>
    <t>1056321</t>
  </si>
  <si>
    <t>ATT - A058B0Z FTTH- La Grange</t>
  </si>
  <si>
    <t>1296303</t>
  </si>
  <si>
    <t>ATT - A058NZT - Reno NV</t>
  </si>
  <si>
    <t>1296306</t>
  </si>
  <si>
    <t>ATT - A0510AX - Carson City</t>
  </si>
  <si>
    <t>ATT00NSC2015O010</t>
  </si>
  <si>
    <t>1486265</t>
  </si>
  <si>
    <t xml:space="preserve">AT&amp;T - Foster Rd                                            </t>
  </si>
  <si>
    <t xml:space="preserve">AT&amp;T - CDA Bridge Cable Pulling                             </t>
  </si>
  <si>
    <t>AVISTNSC2024O128</t>
  </si>
  <si>
    <t xml:space="preserve">NSC--Avista Cont. # R-42077                                 </t>
  </si>
  <si>
    <t xml:space="preserve">Avista - Dalton sub to CDA Call Center                      </t>
  </si>
  <si>
    <t xml:space="preserve">Avista Corporation                                          </t>
  </si>
  <si>
    <t>BOOTHGSU2023O087</t>
  </si>
  <si>
    <t xml:space="preserve">GSU--Booth Short Form Agmt                                  </t>
  </si>
  <si>
    <t xml:space="preserve">BNCSI - Pine Flat to Dam Aerial Feed                        </t>
  </si>
  <si>
    <t xml:space="preserve">Booth Network Consulting Services, Inc.                     </t>
  </si>
  <si>
    <t>CALORNSC2024O129</t>
  </si>
  <si>
    <t xml:space="preserve">NSC--Cal-Ore J.O.#IDR2402 OSP                               </t>
  </si>
  <si>
    <t xml:space="preserve">CAL-Ore 2024                                                </t>
  </si>
  <si>
    <t xml:space="preserve">Cal-Ore Telephone Company                                   </t>
  </si>
  <si>
    <t>CANBYNSC2017O018</t>
  </si>
  <si>
    <t xml:space="preserve">Canby Telephone dba DirectLink                              </t>
  </si>
  <si>
    <t xml:space="preserve">DirectLink - Hourly Work                                    </t>
  </si>
  <si>
    <t xml:space="preserve">Canby Telephone Association                                 </t>
  </si>
  <si>
    <t>TEOT</t>
  </si>
  <si>
    <t xml:space="preserve">Directlink - Molalla Forest Ped Removals                    </t>
  </si>
  <si>
    <t>CANBYNSC2025O138</t>
  </si>
  <si>
    <t xml:space="preserve">NSC--Directlink - WO#845-2024-0001                          </t>
  </si>
  <si>
    <t xml:space="preserve">Directlink - Mt Angel Town FTTH                             </t>
  </si>
  <si>
    <t>CCPUDNSC2019O032</t>
  </si>
  <si>
    <t xml:space="preserve">Clark PUD Cont Q2367                                        </t>
  </si>
  <si>
    <t xml:space="preserve">Clark PUD - Jones Substation                                </t>
  </si>
  <si>
    <t xml:space="preserve">Clark Public Utilities                                      </t>
  </si>
  <si>
    <t xml:space="preserve">Clark PUD-Small Works Project                               </t>
  </si>
  <si>
    <t xml:space="preserve">Clark PUD - NE 179th St Fiber Relocation                    </t>
  </si>
  <si>
    <t>CHILLNSC2025O167</t>
  </si>
  <si>
    <t xml:space="preserve">NSC--Hillsboro Cont. #6596                                  </t>
  </si>
  <si>
    <t>1386198</t>
  </si>
  <si>
    <t xml:space="preserve">City of Hillsboro - HiLight Network MSA                     </t>
  </si>
  <si>
    <t xml:space="preserve">City of Hillsboro                                           </t>
  </si>
  <si>
    <t>CLACKNSC2024O132</t>
  </si>
  <si>
    <t xml:space="preserve">NSC--Clackamas Cty Cont #1049 CBX Marmot                    </t>
  </si>
  <si>
    <t xml:space="preserve">Clackamas County-Marmot Road                                </t>
  </si>
  <si>
    <t xml:space="preserve">Clackamas County                                            </t>
  </si>
  <si>
    <t>CLEARNSC2023O087</t>
  </si>
  <si>
    <t xml:space="preserve">NSC--Clear Creek JO #623-2023-0005                          </t>
  </si>
  <si>
    <t xml:space="preserve">Clear Creek-FTTH P1 Project                                 </t>
  </si>
  <si>
    <t xml:space="preserve">Clear Creek Mutual Telephone Company                        </t>
  </si>
  <si>
    <t>CLEARNSC2024O110</t>
  </si>
  <si>
    <t xml:space="preserve">NSC-- Clear Creek PH II                                     </t>
  </si>
  <si>
    <t xml:space="preserve">Clear Creek-FTTH Phase II                                   </t>
  </si>
  <si>
    <t>CLEARNSC2024O137</t>
  </si>
  <si>
    <t xml:space="preserve">NSC--Clear Creek 2024 OSP - Phase III                       </t>
  </si>
  <si>
    <t xml:space="preserve">Clear Creek-2024 OSP Phase III                              </t>
  </si>
  <si>
    <t>CLEARNSC2025O153</t>
  </si>
  <si>
    <t xml:space="preserve">NSC--Clear Creek OSP Phase 3.1                              </t>
  </si>
  <si>
    <t xml:space="preserve">Clear Creek OSP Phase 3-1                                   </t>
  </si>
  <si>
    <t>CLEARNSC2026O192</t>
  </si>
  <si>
    <t xml:space="preserve">NSC--Clear Creek OSP Phase 4                              </t>
  </si>
  <si>
    <t>1386302</t>
  </si>
  <si>
    <t>Clear Creek - OSP Phase 4</t>
  </si>
  <si>
    <t>Clear Creek Mutual Telephone Company</t>
  </si>
  <si>
    <t>COLVINSC2023O091</t>
  </si>
  <si>
    <t xml:space="preserve">NSC--Colville Reservation Maint. Cont.                      </t>
  </si>
  <si>
    <t xml:space="preserve">Colville Tribes - Wireless Maintenance                      </t>
  </si>
  <si>
    <t xml:space="preserve">Confederated Tribes of the Colville Reservation             </t>
  </si>
  <si>
    <t>WIMS</t>
  </si>
  <si>
    <t>COLVINSC2025O166</t>
  </si>
  <si>
    <t xml:space="preserve">NSC--Colville Tribes Wireless Site Proj.                    </t>
  </si>
  <si>
    <t xml:space="preserve">Colville Tribes - Wireless Sites                            </t>
  </si>
  <si>
    <t>COLVINSC2025O183</t>
  </si>
  <si>
    <t xml:space="preserve">NSC--CTCR Twin Lakes FTTH                                   </t>
  </si>
  <si>
    <t xml:space="preserve">Colville Tribes - Twin Lakes FTTH                           </t>
  </si>
  <si>
    <t>COLVINSC2026O191</t>
  </si>
  <si>
    <t xml:space="preserve">NSC--Colville PO 187656                                     </t>
  </si>
  <si>
    <t xml:space="preserve">Colville Tribes - MAT Solar                                 </t>
  </si>
  <si>
    <t>COMMPNSC2022O055</t>
  </si>
  <si>
    <t xml:space="preserve">NSC--MCA 308515.C-CommPro                                   </t>
  </si>
  <si>
    <t xml:space="preserve">CommPro Services, LLC (MS)                                  </t>
  </si>
  <si>
    <t xml:space="preserve">CommPro Services, LLC                                       </t>
  </si>
  <si>
    <t xml:space="preserve">CommPro Services, LLC - TN                                  </t>
  </si>
  <si>
    <t xml:space="preserve">CommPro Services, LLC - AL                                  </t>
  </si>
  <si>
    <t xml:space="preserve">CommPro Services, LLC - IN                                  </t>
  </si>
  <si>
    <t xml:space="preserve">CommPro Services, LLC - KY                                  </t>
  </si>
  <si>
    <t xml:space="preserve">CommPro Services, LLC - SC                                  </t>
  </si>
  <si>
    <t>CONSONSC2022O066</t>
  </si>
  <si>
    <t xml:space="preserve">NSC--CBS SFA Residential Install                            </t>
  </si>
  <si>
    <t xml:space="preserve">Consol Bus Svs-Canby dba Directlink Resi                    </t>
  </si>
  <si>
    <t xml:space="preserve">Consolidated Business Services LLC                          </t>
  </si>
  <si>
    <t>CONSONSC2025O154</t>
  </si>
  <si>
    <t xml:space="preserve">NSC--Consolidated CSA 04.18.25                              </t>
  </si>
  <si>
    <t xml:space="preserve">Consolidated Communications - Natomas to                    </t>
  </si>
  <si>
    <t xml:space="preserve">Fidium Enterprise Services LLC                              </t>
  </si>
  <si>
    <t xml:space="preserve">Consolidated Communications - 8320 Belve                    </t>
  </si>
  <si>
    <t>1056269</t>
  </si>
  <si>
    <t xml:space="preserve">Consolidated Communications - 11407 Elks                    </t>
  </si>
  <si>
    <t xml:space="preserve">Consolidated - Florin Rd - Sacramento                       </t>
  </si>
  <si>
    <t xml:space="preserve">Consolidated Communications MSA                             </t>
  </si>
  <si>
    <t>1056305</t>
  </si>
  <si>
    <t>Consolidated Communications - Zinfandel</t>
  </si>
  <si>
    <t>Fidium Enterprise Services LLC</t>
  </si>
  <si>
    <t>CPORTNSC2024O104</t>
  </si>
  <si>
    <t xml:space="preserve">NSC--COP Maint. Cont. # 31002600                            </t>
  </si>
  <si>
    <t xml:space="preserve">City of Portland-Splicing Maintenance 31                    </t>
  </si>
  <si>
    <t xml:space="preserve">City of Portland                                            </t>
  </si>
  <si>
    <t>CROWNGSU2024O094</t>
  </si>
  <si>
    <t xml:space="preserve">GSU--Crown Rapid Connect Maint. Appendix                    </t>
  </si>
  <si>
    <t>2052147</t>
  </si>
  <si>
    <t xml:space="preserve">Crown Castle-Rapid Connect GC Maintenanc                    </t>
  </si>
  <si>
    <t xml:space="preserve">Crown Castle USA Inc                                        </t>
  </si>
  <si>
    <t>CROWNNSC2016O013</t>
  </si>
  <si>
    <t xml:space="preserve">CSMA (4.1.2016)                                             </t>
  </si>
  <si>
    <t xml:space="preserve">Crown Castle - Network West Area Pricing                    </t>
  </si>
  <si>
    <t>CROWNNSC2024O131</t>
  </si>
  <si>
    <t xml:space="preserve">NSC--Crown Rapid Connect Maint. Appendix                    </t>
  </si>
  <si>
    <t xml:space="preserve">Crown Castle - ID                                           </t>
  </si>
  <si>
    <t>CSHWDNSC2025O160</t>
  </si>
  <si>
    <t xml:space="preserve">NSC--BPD Broadband Expansion                                </t>
  </si>
  <si>
    <t xml:space="preserve">City of Sherwood - Broadband Expansion                      </t>
  </si>
  <si>
    <t xml:space="preserve">City of Sherwood                                            </t>
  </si>
  <si>
    <t>DECLANSC2025O175</t>
  </si>
  <si>
    <t xml:space="preserve">NSC--Declaration Networks MCSA                              </t>
  </si>
  <si>
    <t xml:space="preserve">Declaration - Deep Lake, Seg 6 and 7                        </t>
  </si>
  <si>
    <t xml:space="preserve">Declaration Networks Group, Inc.                            </t>
  </si>
  <si>
    <t>EZEEFNSC2024O116</t>
  </si>
  <si>
    <t xml:space="preserve">NSC--Ezee Fiber Proposal Work                               </t>
  </si>
  <si>
    <t>2445009</t>
  </si>
  <si>
    <t xml:space="preserve">Ezee Fiber Texas-Venetian Apts                              </t>
  </si>
  <si>
    <t xml:space="preserve">Ezee Fiber Texas, LLC                                       </t>
  </si>
  <si>
    <t xml:space="preserve">Ezee Fiber-Franklin Apts                                    </t>
  </si>
  <si>
    <t xml:space="preserve">Ezee Fiber-717 Lehman                                       </t>
  </si>
  <si>
    <t xml:space="preserve">Ezee Fiber - Azulejo Apartments                             </t>
  </si>
  <si>
    <t xml:space="preserve">Ezee Fiber - Janicsh Apartments                             </t>
  </si>
  <si>
    <t xml:space="preserve">Ezee Fiber Texas - Mallard Creek Apts                       </t>
  </si>
  <si>
    <t>2445020</t>
  </si>
  <si>
    <t xml:space="preserve">Ezee Fiber Texas-Arbors on Westheimer                       </t>
  </si>
  <si>
    <t>Ezee Fiber Texas, LLC</t>
  </si>
  <si>
    <t>FRONTNSC2015O172</t>
  </si>
  <si>
    <t xml:space="preserve">NSC--Frontier CSA 12-30-15                                  </t>
  </si>
  <si>
    <t xml:space="preserve">Frontier - Middle Mile Segment (Fire)                       </t>
  </si>
  <si>
    <t xml:space="preserve">Citizens Telecom Services Company LLC                       </t>
  </si>
  <si>
    <t>1056197</t>
  </si>
  <si>
    <t xml:space="preserve">Frontier - Hwy 172 to Mill Crk Re (Fire)                    </t>
  </si>
  <si>
    <t>1056195</t>
  </si>
  <si>
    <t xml:space="preserve">Frontier - End of MM at Hwy 36 (Fire)                       </t>
  </si>
  <si>
    <t>FTRCQGSU2015O010</t>
  </si>
  <si>
    <t xml:space="preserve">Frontier CSA 12-31-15                                       </t>
  </si>
  <si>
    <t xml:space="preserve">Frontier - Maint SSP Valley (2025-27)                       </t>
  </si>
  <si>
    <t xml:space="preserve">Frontier - Maint SSP Selma (2022-25)                        </t>
  </si>
  <si>
    <t xml:space="preserve">Frontier - FTTH Northern CA Communities                     </t>
  </si>
  <si>
    <t xml:space="preserve">Frontier - Maint SSP South Bay (2025-27)                    </t>
  </si>
  <si>
    <t xml:space="preserve">Frontier - FTTH Elk Grove                                   </t>
  </si>
  <si>
    <t xml:space="preserve">Frontier - FTTH Morgan Hill                                 </t>
  </si>
  <si>
    <t xml:space="preserve">Frontier - FTTH Redding                                     </t>
  </si>
  <si>
    <t xml:space="preserve">Frontier - FTTH Susanville                                  </t>
  </si>
  <si>
    <t xml:space="preserve">Frontier - FTTH - Kenwood                                   </t>
  </si>
  <si>
    <t xml:space="preserve">Frontier- FTTH Valley                                       </t>
  </si>
  <si>
    <t xml:space="preserve">Frontier - Maint SSP South Bay (2022-25)                    </t>
  </si>
  <si>
    <t>1252079</t>
  </si>
  <si>
    <t xml:space="preserve">Frontier - FTTH - Bishop, Mammoth, June                     </t>
  </si>
  <si>
    <t>GOOGLNSC2022O061</t>
  </si>
  <si>
    <t xml:space="preserve">MDU Installation                                            </t>
  </si>
  <si>
    <t xml:space="preserve">Google-Fiber Greenfield TX                                  </t>
  </si>
  <si>
    <t xml:space="preserve">Google Fiber Inc                                            </t>
  </si>
  <si>
    <t xml:space="preserve">Google-Fiber FTTH MDU CO                                    </t>
  </si>
  <si>
    <t xml:space="preserve">Google-Google Fiber MSA (TX)                                </t>
  </si>
  <si>
    <t xml:space="preserve">Google-Fiber FTTH Greenfields CO                            </t>
  </si>
  <si>
    <t>2065003</t>
  </si>
  <si>
    <t xml:space="preserve">Google Fiber FTTH Installations                             </t>
  </si>
  <si>
    <t xml:space="preserve">Google-Google Fiber MSA (AZ)                                </t>
  </si>
  <si>
    <t>HUNTENSC2025O178</t>
  </si>
  <si>
    <t xml:space="preserve">NSC--Hunter Contract Agmt 09.23.25                          </t>
  </si>
  <si>
    <t xml:space="preserve">Hunter Communications &amp; Technologies, LL                    </t>
  </si>
  <si>
    <t xml:space="preserve">Hunter Communications &amp; Technologies                        </t>
  </si>
  <si>
    <t>IDAHONSC2025O179</t>
  </si>
  <si>
    <t xml:space="preserve">NSC--Idaho County DIGB 2 Fiber                              </t>
  </si>
  <si>
    <t xml:space="preserve">Idaho County - DIGB2 Phase II - Np - Grv                    </t>
  </si>
  <si>
    <t xml:space="preserve">Idaho County                                                </t>
  </si>
  <si>
    <t>JEPUDNSC2024O109</t>
  </si>
  <si>
    <t xml:space="preserve">NSC--Jefferson PUD Olympic Fiber Build                      </t>
  </si>
  <si>
    <t xml:space="preserve">Jefferson PUD-Olympic Fiber Build                           </t>
  </si>
  <si>
    <t xml:space="preserve">Public Utility District No. 1 of Jefferson County           </t>
  </si>
  <si>
    <t xml:space="preserve">LUMENGSU2022026 </t>
  </si>
  <si>
    <t xml:space="preserve">Lumen CENCAL Enterprise                                     </t>
  </si>
  <si>
    <t xml:space="preserve">Lumen - Bakersfield to Delano II - Splic                    </t>
  </si>
  <si>
    <t xml:space="preserve">Lumen Technologies Service Group, LLC                       </t>
  </si>
  <si>
    <t xml:space="preserve">Lumen - Road 66 - Splicing                                  </t>
  </si>
  <si>
    <t>1056142</t>
  </si>
  <si>
    <t xml:space="preserve">Lumen - Hanford Walmart                                     </t>
  </si>
  <si>
    <t xml:space="preserve">Lumen - 2590 Walsh Ave                                      </t>
  </si>
  <si>
    <t>2052125</t>
  </si>
  <si>
    <t xml:space="preserve">Lumen - HSR CP1 G St&amp;Nielson St -Fresno                     </t>
  </si>
  <si>
    <t xml:space="preserve">Lumen - NAT OSP CENCAL MSA 2022-Selma                       </t>
  </si>
  <si>
    <t>LUMENGSU2024O099</t>
  </si>
  <si>
    <t xml:space="preserve">GSU--COCAL (2025-26)                                        </t>
  </si>
  <si>
    <t>1056262</t>
  </si>
  <si>
    <t xml:space="preserve">Lumen - Park Ave CDT-0667                                   </t>
  </si>
  <si>
    <t>1056242</t>
  </si>
  <si>
    <t xml:space="preserve">Lumen - 7th and Townsend - San Francisco                    </t>
  </si>
  <si>
    <t xml:space="preserve">Lumen - Valley CoCal (2025-26)                              </t>
  </si>
  <si>
    <t xml:space="preserve">Lumen - COCAL Bay Area MSA (2025-26)                        </t>
  </si>
  <si>
    <t>1056260</t>
  </si>
  <si>
    <t xml:space="preserve">Lumen - El Camino Real CDT-0319                             </t>
  </si>
  <si>
    <t>1056261</t>
  </si>
  <si>
    <t xml:space="preserve">Lumen - El Camino Real CDT-0318                             </t>
  </si>
  <si>
    <t>1056241</t>
  </si>
  <si>
    <t xml:space="preserve">Lumen - Main &amp; Harrison - San Francisco                     </t>
  </si>
  <si>
    <t>1056300</t>
  </si>
  <si>
    <t>Lumen - P143688 - CDT-0458 - Emeryville</t>
  </si>
  <si>
    <t>Lumen Technologies Service Group, LLC</t>
  </si>
  <si>
    <t>LUMENNSC2022O044</t>
  </si>
  <si>
    <t xml:space="preserve">Lumen Wash. Long Haul Enterprise                            </t>
  </si>
  <si>
    <t xml:space="preserve">Lumen - West WA Enterprise MSA (2022-24)                    </t>
  </si>
  <si>
    <t>LUMENNSC2022O063</t>
  </si>
  <si>
    <t xml:space="preserve">NSC--2022LE000195 NE WA                                     </t>
  </si>
  <si>
    <t xml:space="preserve">Lumen - Northeast WA Consumer (2022-25)                     </t>
  </si>
  <si>
    <t>LUMENNSC2022O064</t>
  </si>
  <si>
    <t xml:space="preserve">NSC--2023LE000008 San Juan Islands                          </t>
  </si>
  <si>
    <t xml:space="preserve">Lumen - San Juans Consumer (2023-25)                        </t>
  </si>
  <si>
    <t>LUMENNSC2022O065</t>
  </si>
  <si>
    <t xml:space="preserve">NSC--2023LE000009 WA West                                   </t>
  </si>
  <si>
    <t xml:space="preserve">Lumen - West WA Consumer (2023-25)                          </t>
  </si>
  <si>
    <t>LUMENNSC2022O069</t>
  </si>
  <si>
    <t xml:space="preserve">NSC--2023LE000081 FTTH Seattle Update                       </t>
  </si>
  <si>
    <t xml:space="preserve">Lumen - 2023LE000081 Fiber Overbuild                        </t>
  </si>
  <si>
    <t xml:space="preserve">Lumen - 2023LE000081 Ovrbld East WA FTTH                    </t>
  </si>
  <si>
    <t>LUMENNSC2024O136</t>
  </si>
  <si>
    <t xml:space="preserve">NSC--2025LE000014                                           </t>
  </si>
  <si>
    <t xml:space="preserve">Lumen - ID Enterprise MSA                                   </t>
  </si>
  <si>
    <t xml:space="preserve">Lumen - WA Enterprise MSA (2025-27)                         </t>
  </si>
  <si>
    <t>LUMENNSC20250184</t>
  </si>
  <si>
    <t xml:space="preserve">NSC--2026LE000035 NE WA - Lumen                             </t>
  </si>
  <si>
    <t xml:space="preserve">Lumen - Northeast WA Consumer (2026-28)                     </t>
  </si>
  <si>
    <t>LUMENNSC2025O151</t>
  </si>
  <si>
    <t xml:space="preserve">NSC--2025LE000148 WA Fiber Overbuild                        </t>
  </si>
  <si>
    <t xml:space="preserve">Lumen - 2025LE000148 Fiber Overbuild                        </t>
  </si>
  <si>
    <t>LUMENNSC2025O185</t>
  </si>
  <si>
    <t xml:space="preserve">NSC--2026LE000039 WA West - Lumen                           </t>
  </si>
  <si>
    <t xml:space="preserve">Lumen - West WA Consumer (2026-28)                          </t>
  </si>
  <si>
    <t>LUMENNSC2025O186</t>
  </si>
  <si>
    <t xml:space="preserve">NSC--2026LE000036 San Juan Islands - Lumen                  </t>
  </si>
  <si>
    <t xml:space="preserve">Lumen - San Juans WA Consumer (2026-28)                     </t>
  </si>
  <si>
    <t>LUMENNSC2025O187</t>
  </si>
  <si>
    <t xml:space="preserve">NSC--2026LE000040 WA West Drop                              </t>
  </si>
  <si>
    <t xml:space="preserve">Lumen - West WA Drops (2026-28)                             </t>
  </si>
  <si>
    <t xml:space="preserve">MA-005138-2014  </t>
  </si>
  <si>
    <t xml:space="preserve">Verizon Fiber One Project                                   </t>
  </si>
  <si>
    <t>1296213</t>
  </si>
  <si>
    <t xml:space="preserve">Verizon Business - 90153R - 1980 Kleppe                     </t>
  </si>
  <si>
    <t xml:space="preserve">Verizon Sourcing LLC                                        </t>
  </si>
  <si>
    <t xml:space="preserve">VZ-Verizon Business - 98743F - Mill St                      </t>
  </si>
  <si>
    <t>MEREONSC2025O159</t>
  </si>
  <si>
    <t xml:space="preserve">NSC--Mereo MSA                                              </t>
  </si>
  <si>
    <t>2036022</t>
  </si>
  <si>
    <t xml:space="preserve">Mereo 89, LLC Visconti Apts AZ                              </t>
  </si>
  <si>
    <t xml:space="preserve">Mereo 89, LLC                                               </t>
  </si>
  <si>
    <t>2036020</t>
  </si>
  <si>
    <t xml:space="preserve">Mereo 89, LLC Cortesian Apts AZ                             </t>
  </si>
  <si>
    <t>2036019</t>
  </si>
  <si>
    <t xml:space="preserve">Mereo 89, LLC AZ                                            </t>
  </si>
  <si>
    <t>2036021</t>
  </si>
  <si>
    <t xml:space="preserve">Mereo 89, LLC Glenn Apts AZ                                 </t>
  </si>
  <si>
    <t xml:space="preserve">MISCBIDS        </t>
  </si>
  <si>
    <t xml:space="preserve">Miscellaneous Bids/Short Form Contracts                     </t>
  </si>
  <si>
    <t xml:space="preserve">CPI - 17340 Little Lobster Valley Rd                        </t>
  </si>
  <si>
    <t xml:space="preserve">Consumers Power Inc                                         </t>
  </si>
  <si>
    <t xml:space="preserve">Consumer Power - Marval Rd Joint Trench                     </t>
  </si>
  <si>
    <t xml:space="preserve">Unwired Broadband - Coalinga                                </t>
  </si>
  <si>
    <t xml:space="preserve">Unwired Broadband, LLC                                      </t>
  </si>
  <si>
    <t xml:space="preserve">Unwired Broadband - Gustine                                 </t>
  </si>
  <si>
    <t>MOLALNSC2017O015</t>
  </si>
  <si>
    <t xml:space="preserve">MCC Work Orders Projects                                    </t>
  </si>
  <si>
    <t xml:space="preserve">Molalla-Maintenance Work Orders                             </t>
  </si>
  <si>
    <t xml:space="preserve">Molalla Communications Company                              </t>
  </si>
  <si>
    <t>NOCUSNFS2025O002</t>
  </si>
  <si>
    <t xml:space="preserve">S&amp;S Electric-Conduit Install-Idaho                          </t>
  </si>
  <si>
    <t xml:space="preserve">NFS - Wasatch Electric - Moana Ln - Reno                    </t>
  </si>
  <si>
    <t xml:space="preserve">Niels Fugal Sons Company                                    </t>
  </si>
  <si>
    <t>NSC-WAVE-MSA 001</t>
  </si>
  <si>
    <t xml:space="preserve">NSC -- Wave MSA 001                                         </t>
  </si>
  <si>
    <t xml:space="preserve">Astound - Furnish and Install 6in class                     </t>
  </si>
  <si>
    <t xml:space="preserve">Wave Broadband                                              </t>
  </si>
  <si>
    <t>NWFIBNSC2020O036</t>
  </si>
  <si>
    <t xml:space="preserve">Ziply-NW Fiber MSA - Multiple Jobs                          </t>
  </si>
  <si>
    <t xml:space="preserve">Ziply - Goldbar - 6012770                                   </t>
  </si>
  <si>
    <t xml:space="preserve">Northwest Fiber, LLC                                        </t>
  </si>
  <si>
    <t xml:space="preserve">Ziply - Goldbar - 6011891                                   </t>
  </si>
  <si>
    <t xml:space="preserve">Ziply - Eastern WA FTTP MSA                                 </t>
  </si>
  <si>
    <t xml:space="preserve">Ziply - Softscape FTTP-Keizer 6005282                       </t>
  </si>
  <si>
    <t xml:space="preserve">Ziply - Granite Falls - 6011884                             </t>
  </si>
  <si>
    <t xml:space="preserve">Ziply - Granite Falls - 6012772                             </t>
  </si>
  <si>
    <t xml:space="preserve">Ziply - WA FTTH Soft Scape Bid WOs (354)                    </t>
  </si>
  <si>
    <t xml:space="preserve">Ziply - ID NESC Program                                     </t>
  </si>
  <si>
    <t xml:space="preserve">Ziply - Granite Falls - 6012690                             </t>
  </si>
  <si>
    <t xml:space="preserve">Ziply - OR FTTP MSA (2024-27)                               </t>
  </si>
  <si>
    <t xml:space="preserve">Ziply - Granite Falls - 6012767                             </t>
  </si>
  <si>
    <t xml:space="preserve">Ziply - Granite Falls - 6012771                             </t>
  </si>
  <si>
    <t xml:space="preserve">Ziply - OR NESC Program                                     </t>
  </si>
  <si>
    <t xml:space="preserve">Ziply - Goldbar - 6012765                                   </t>
  </si>
  <si>
    <t xml:space="preserve">Ziply - Goldbar - 6012766                                   </t>
  </si>
  <si>
    <t xml:space="preserve">Ziply - WA FTTP MSA (Alton)                                 </t>
  </si>
  <si>
    <t xml:space="preserve">Ziply - Goldbar - 6012769                                   </t>
  </si>
  <si>
    <t xml:space="preserve">Ziply - OR Softscape FTTP (1450)                            </t>
  </si>
  <si>
    <t xml:space="preserve">Ziply - WA BAU SSP (legacy)                                 </t>
  </si>
  <si>
    <t xml:space="preserve">Ziply - WA BAU SSP (2024-27)                                </t>
  </si>
  <si>
    <t xml:space="preserve">Ziply - MT FTTH MSA (2024-27)                               </t>
  </si>
  <si>
    <t xml:space="preserve">Ziply - Hwy 530 WO 5513608                                  </t>
  </si>
  <si>
    <t xml:space="preserve">Ziply - WA FTTP MSA (2024-27)                               </t>
  </si>
  <si>
    <t>1485237</t>
  </si>
  <si>
    <t xml:space="preserve">Ziply - Hwy 530 WO 5513611                                  </t>
  </si>
  <si>
    <t xml:space="preserve">Ziply - MT BAU SSP (2024-27)                                </t>
  </si>
  <si>
    <t>2386010</t>
  </si>
  <si>
    <t xml:space="preserve">Ziply - OR - MDU                                            </t>
  </si>
  <si>
    <t>1276199</t>
  </si>
  <si>
    <t xml:space="preserve">Ziply - MT NESC Program                                     </t>
  </si>
  <si>
    <t xml:space="preserve">Ziply - ID FTTH (2024-27)                                   </t>
  </si>
  <si>
    <t xml:space="preserve">Ziply - Hwy 530 WO 5519650                                  </t>
  </si>
  <si>
    <t xml:space="preserve">Ziply - Softscape Keizer FTTP                               </t>
  </si>
  <si>
    <t>1386193</t>
  </si>
  <si>
    <t xml:space="preserve">Ziply - OR FTTH Soft Scape Bid WOs                          </t>
  </si>
  <si>
    <t xml:space="preserve">Ziply - WA FTTP MSA (Cody)                                  </t>
  </si>
  <si>
    <t>1136151</t>
  </si>
  <si>
    <t xml:space="preserve">Ziply - ID BAU SSP (2024-27)                                </t>
  </si>
  <si>
    <t xml:space="preserve">Ziply - WA Softscape FTTP (1450)                            </t>
  </si>
  <si>
    <t xml:space="preserve">Ziply - OR BAU SSP (2024-27)                                </t>
  </si>
  <si>
    <t xml:space="preserve">Ziply - ID FTTH Soft Scape Bid WOs (354)                    </t>
  </si>
  <si>
    <t xml:space="preserve">Ziply - Eastern WA BAU SSP (legacy)                         </t>
  </si>
  <si>
    <t xml:space="preserve">Ziply - OR FTTP MSA (Alton)                                 </t>
  </si>
  <si>
    <t xml:space="preserve">Ziply - WA FTTP MSA legacy)                                 </t>
  </si>
  <si>
    <t xml:space="preserve">Ziply - Softscape Sammamish FTTP                            </t>
  </si>
  <si>
    <t xml:space="preserve">Ziply - Hwy 530 WO 5520317 (FTTP PW)                        </t>
  </si>
  <si>
    <t xml:space="preserve">Ziply - Hwy 530 WO 5520320                                  </t>
  </si>
  <si>
    <t xml:space="preserve">Ziply - Hwy 530 WO 5513480                                  </t>
  </si>
  <si>
    <t xml:space="preserve">Ziply - Great Falls Build (FTTH)                            </t>
  </si>
  <si>
    <t xml:space="preserve">Ziply - Goldbar - 6012764                                   </t>
  </si>
  <si>
    <t>1486184</t>
  </si>
  <si>
    <t xml:space="preserve">Ziply - Goldbar - 6012883                                   </t>
  </si>
  <si>
    <t xml:space="preserve">Ziply - WA NESC Program                                     </t>
  </si>
  <si>
    <t>OREGONSC2025O162</t>
  </si>
  <si>
    <t xml:space="preserve">NSC--Oregon Tel/ Rally PO-1216                              </t>
  </si>
  <si>
    <t xml:space="preserve">Oregon Tel - Mega Loads                                     </t>
  </si>
  <si>
    <t xml:space="preserve">Oregon Telephone Corporation, Inc.                          </t>
  </si>
  <si>
    <t>OREGONSC2025O176</t>
  </si>
  <si>
    <t xml:space="preserve">NSC--Oregon Tel JO#2003.22.015 &amp; 2003.23.05                 </t>
  </si>
  <si>
    <t xml:space="preserve">Oregon Tel - Long Creek to Monument                         </t>
  </si>
  <si>
    <t>OTHERNSC2020O039</t>
  </si>
  <si>
    <t xml:space="preserve">Other Customers - Short Form                                </t>
  </si>
  <si>
    <t xml:space="preserve">Succeed Inc - Splicing - Lincoln Crossin                    </t>
  </si>
  <si>
    <t xml:space="preserve">Succeed, Inc.                                               </t>
  </si>
  <si>
    <t xml:space="preserve">BCT - Hourly Maintenance                                    </t>
  </si>
  <si>
    <t xml:space="preserve">Beaver Creek Cooperative Telephone Company                  </t>
  </si>
  <si>
    <t xml:space="preserve">City of Wilsonville - GSK TOD Building F                    </t>
  </si>
  <si>
    <t xml:space="preserve">City of Wilsonville                                         </t>
  </si>
  <si>
    <t xml:space="preserve">Clackamas County - Hwy 213 and Carus                        </t>
  </si>
  <si>
    <t xml:space="preserve">Data Vision-Gervais Splicing                                </t>
  </si>
  <si>
    <t xml:space="preserve">DataVision Communications                                   </t>
  </si>
  <si>
    <t>Directlink - Blount Rd Ped Removals</t>
  </si>
  <si>
    <t>Canby Telephone Association</t>
  </si>
  <si>
    <t>PAPUDNSC2024O098</t>
  </si>
  <si>
    <t xml:space="preserve">NSC--ITB 2023-3 Pacific Cty PUD                             </t>
  </si>
  <si>
    <t xml:space="preserve">Pacific PUD-ITB 2023-3 Splicing                             </t>
  </si>
  <si>
    <t xml:space="preserve">Public Utility District No 2 of Pacific County, WA          </t>
  </si>
  <si>
    <t>PAPUDNSC2024O099</t>
  </si>
  <si>
    <t xml:space="preserve">NSC--ITB 2023-2 FIBER Pacific Cty PUD                       </t>
  </si>
  <si>
    <t>21531</t>
  </si>
  <si>
    <t>PAPUDNSC2024O100</t>
  </si>
  <si>
    <t xml:space="preserve">NSC--ITB 2023-2 ELECTRIC Pacific Cty PUD                    </t>
  </si>
  <si>
    <t xml:space="preserve">Pacific PUD-ITB 2023-2 Electrical                           </t>
  </si>
  <si>
    <t>PEOPLNSC2019O024</t>
  </si>
  <si>
    <t xml:space="preserve">Peoples Unit Rate Projects                                  </t>
  </si>
  <si>
    <t xml:space="preserve">Peoples Telephone - Unit Rates                              </t>
  </si>
  <si>
    <t xml:space="preserve">People's Telephone Company                                  </t>
  </si>
  <si>
    <t>PIONENSC2024O127</t>
  </si>
  <si>
    <t xml:space="preserve">NSC--Pioneer Connect 1706-A73 (Ph I)                        </t>
  </si>
  <si>
    <t xml:space="preserve">Pioneer - Reconnect 3 - Phase 1                             </t>
  </si>
  <si>
    <t xml:space="preserve">Pioneer Connect                                             </t>
  </si>
  <si>
    <t>PIONENSC2024O135</t>
  </si>
  <si>
    <t xml:space="preserve">NSC--Pioneer Connect #A-3X (Ph II)                          </t>
  </si>
  <si>
    <t xml:space="preserve">Pioneer - Reconnect 3 - Phase 2                             </t>
  </si>
  <si>
    <t>PONDEGSU2023O084</t>
  </si>
  <si>
    <t xml:space="preserve">GSU--CA526-W21111-01A Wishon Ph. 2                          </t>
  </si>
  <si>
    <t xml:space="preserve">Ponderosa-Wishon Phase 2                                    </t>
  </si>
  <si>
    <t xml:space="preserve">The Ponderosa Telephone Company                             </t>
  </si>
  <si>
    <t xml:space="preserve">PONDEGSU2024    </t>
  </si>
  <si>
    <t xml:space="preserve">GSU--Ponderosa WO# S22115-01 &amp; S22116-01                    </t>
  </si>
  <si>
    <t xml:space="preserve">Ponderosa-Windwood &amp; Silver Pine FTTH                       </t>
  </si>
  <si>
    <t>PONDEGSU2024O096</t>
  </si>
  <si>
    <t xml:space="preserve">GSU--Ponderosa WO#N24111-01                                 </t>
  </si>
  <si>
    <t xml:space="preserve">Ponderosa-Meadow Ranch SLC                                  </t>
  </si>
  <si>
    <t>PONDEGSU2024O097</t>
  </si>
  <si>
    <t xml:space="preserve">GSU--Ponderosa WO#N24112-01                                 </t>
  </si>
  <si>
    <t xml:space="preserve">Ponderosa-Timberview SLC                                    </t>
  </si>
  <si>
    <t>PONDENSC2025O164</t>
  </si>
  <si>
    <t xml:space="preserve">NSC--Ponderosa Reconnect 3 - Build 1                        </t>
  </si>
  <si>
    <t xml:space="preserve">Ponderosa - Reconnect 3 - Build 1                           </t>
  </si>
  <si>
    <t>PORTLNSC2016O014</t>
  </si>
  <si>
    <t>PGE--MSA 10-25-16</t>
  </si>
  <si>
    <t>1386309</t>
  </si>
  <si>
    <t>PGE - Rhododendron Sub</t>
  </si>
  <si>
    <t>Portland General Electric Company</t>
  </si>
  <si>
    <t>1386310</t>
  </si>
  <si>
    <t>PGE - Salem Fiber Reclosure</t>
  </si>
  <si>
    <t>PUDN2NSC2019O023</t>
  </si>
  <si>
    <t xml:space="preserve">Grant PUD Cont #130-08756                                   </t>
  </si>
  <si>
    <t xml:space="preserve">Grant County PUD (2026-27)                                  </t>
  </si>
  <si>
    <t xml:space="preserve">Public Utility District No. 2 of Grant County, WA           </t>
  </si>
  <si>
    <t>PWOODNSC2023O096</t>
  </si>
  <si>
    <t xml:space="preserve">NSC--2023-12 FTTH - Port of Woodland                        </t>
  </si>
  <si>
    <t xml:space="preserve">Port of Woodland-2023-12 Ariel to Cougar                    </t>
  </si>
  <si>
    <t xml:space="preserve">Port of Woodland                                            </t>
  </si>
  <si>
    <t>PWOODNSC2024O134</t>
  </si>
  <si>
    <t xml:space="preserve">NSC--Port of Woodland On Call                               </t>
  </si>
  <si>
    <t xml:space="preserve">Port of Woodland-Fiber Optic On Call                        </t>
  </si>
  <si>
    <t>QUALINSC2004O001</t>
  </si>
  <si>
    <t xml:space="preserve">Qlife 001                                                   </t>
  </si>
  <si>
    <t xml:space="preserve">QLife-2024 Splicing and Aerial Maintenan                    </t>
  </si>
  <si>
    <t xml:space="preserve">Q-Life Network                                              </t>
  </si>
  <si>
    <t>REDLINSC2025O171</t>
  </si>
  <si>
    <t xml:space="preserve">NSC--Redline - 813 Power Plant Road                         </t>
  </si>
  <si>
    <t xml:space="preserve">Redline - Hwy 112 West Cabinet                              </t>
  </si>
  <si>
    <t xml:space="preserve">Redline Design, Inc.                                        </t>
  </si>
  <si>
    <t>SCIOMNSC2023O089</t>
  </si>
  <si>
    <t xml:space="preserve">NSC--SMTA Unit Rate Projects                                </t>
  </si>
  <si>
    <t xml:space="preserve">Scio Tel-Hourly Rate Projects                               </t>
  </si>
  <si>
    <t xml:space="preserve">Scio Mutual Telephone Association                           </t>
  </si>
  <si>
    <t>SIERRNSC2025O148</t>
  </si>
  <si>
    <t xml:space="preserve">NSC--Sierra Tel - Coarsegold FTTH - Ph 4A                   </t>
  </si>
  <si>
    <t xml:space="preserve">SierraTel - Coarsegold Yosemite - Ph 4A                     </t>
  </si>
  <si>
    <t xml:space="preserve">Sierra Telephone Company, Inc.                              </t>
  </si>
  <si>
    <t>SISKINSC2025O146</t>
  </si>
  <si>
    <t xml:space="preserve">NSC--Siskiyou OSP Maint. Contract                           </t>
  </si>
  <si>
    <t xml:space="preserve">Siskiyou Tel - OSP Routine Maint (25-26)                    </t>
  </si>
  <si>
    <t xml:space="preserve">Siskiyou Telephone Company                                  </t>
  </si>
  <si>
    <t>SISKINSC2025O155</t>
  </si>
  <si>
    <t xml:space="preserve">NSC--Siskiyou Tel JO#2023MMPROJECT                          </t>
  </si>
  <si>
    <t xml:space="preserve">Siskiyou Tel - MMBI OSP                                     </t>
  </si>
  <si>
    <t>SOCKENSC2025O163</t>
  </si>
  <si>
    <t xml:space="preserve">NSC--Socket MCA 06.17.25                                    </t>
  </si>
  <si>
    <t xml:space="preserve">Socket Telecom, LLC - MO (Installs)                         </t>
  </si>
  <si>
    <t xml:space="preserve">Socket Telecom, LLC                                         </t>
  </si>
  <si>
    <t xml:space="preserve">Socket Telecom, LLC - MO (MDU)                              </t>
  </si>
  <si>
    <t>SPOKANSC2023O103</t>
  </si>
  <si>
    <t xml:space="preserve">NSC--Spokane Tribe                                          </t>
  </si>
  <si>
    <t xml:space="preserve">Spokane Tribe - WA                                          </t>
  </si>
  <si>
    <t xml:space="preserve">Spokane Tribe of Indians                                    </t>
  </si>
  <si>
    <t>SPRINGSU2011O001</t>
  </si>
  <si>
    <t xml:space="preserve">MCSA 2011NOV09G                                             </t>
  </si>
  <si>
    <t xml:space="preserve">Sprint-Maintenance-Selma                                    </t>
  </si>
  <si>
    <t xml:space="preserve">Sprint/United Management Company                            </t>
  </si>
  <si>
    <t>1056229</t>
  </si>
  <si>
    <t xml:space="preserve">Sprint - South San Francisco Cable Cut                      </t>
  </si>
  <si>
    <t xml:space="preserve">Sprint - Livermore protect in place                         </t>
  </si>
  <si>
    <t xml:space="preserve">Sprint - 2024 Bay Area T&amp;E Rates                            </t>
  </si>
  <si>
    <t xml:space="preserve">Sprint - Rancho Cordova Sunrise Blvd                        </t>
  </si>
  <si>
    <t xml:space="preserve">Sprint - OKLD Zero MH Repair                                </t>
  </si>
  <si>
    <t xml:space="preserve">Sprint - Alpine Rd Cable Damage                             </t>
  </si>
  <si>
    <t>1056308</t>
  </si>
  <si>
    <t>Sprint - Manning and Carneal Rd</t>
  </si>
  <si>
    <t>Sprint/United Management Company</t>
  </si>
  <si>
    <t>SPRINTNSC2015009</t>
  </si>
  <si>
    <t xml:space="preserve">NSC--Sprint 2015OCT25NORT_MCSA                              </t>
  </si>
  <si>
    <t xml:space="preserve">Cogent Bridge 76 Final Reattach                             </t>
  </si>
  <si>
    <t xml:space="preserve">Sprint - Baseline Costco Relocation                         </t>
  </si>
  <si>
    <t>STAYTNSC2016O011</t>
  </si>
  <si>
    <t xml:space="preserve">Stayton Unit Rate Projects                                  </t>
  </si>
  <si>
    <t xml:space="preserve">Stayton Telephone - Unit Rates                              </t>
  </si>
  <si>
    <t xml:space="preserve">Stayton Cooperative Telephone Co.                           </t>
  </si>
  <si>
    <t>TMOBINSC2020O034</t>
  </si>
  <si>
    <t xml:space="preserve">Tmobile MA CW2409999                                        </t>
  </si>
  <si>
    <t xml:space="preserve">T-Mobile-Spokane Market 2025-2026                           </t>
  </si>
  <si>
    <t xml:space="preserve">T-Mobile USA, Inc                                           </t>
  </si>
  <si>
    <t xml:space="preserve">T-Mobile-Idaho Market 2024-2025                             </t>
  </si>
  <si>
    <t xml:space="preserve">T-Mobile-Portland Market  2024-2025                         </t>
  </si>
  <si>
    <t xml:space="preserve">T-Mobile Idaho Market 2026-2027                             </t>
  </si>
  <si>
    <t xml:space="preserve">T-Mobile-Portland Market 2025-2026                          </t>
  </si>
  <si>
    <t xml:space="preserve">T-Mobile- Eastern OR Market 2025-2026                       </t>
  </si>
  <si>
    <t xml:space="preserve">T-Mobile-Idaho Market 2025-2026                             </t>
  </si>
  <si>
    <t xml:space="preserve">T-Mobile-Spokane Market 2026-2027                           </t>
  </si>
  <si>
    <t xml:space="preserve">T-Mobile-Portland Market 2026-2027                          </t>
  </si>
  <si>
    <t>UBIQUNSC2023O102</t>
  </si>
  <si>
    <t xml:space="preserve">NSC--Ubiquity MSA                                           </t>
  </si>
  <si>
    <t xml:space="preserve">Ubiquity Services-Retreat at City Center                    </t>
  </si>
  <si>
    <t xml:space="preserve">Ubiquity Services, LLC                                      </t>
  </si>
  <si>
    <t xml:space="preserve">Ubiquity Services-Bay Colony Apt Homes                      </t>
  </si>
  <si>
    <t>2446102</t>
  </si>
  <si>
    <t xml:space="preserve">Ubiquity Services-The Bungalows                             </t>
  </si>
  <si>
    <t xml:space="preserve">Ubiquity Services - Bluffs at Brookside                     </t>
  </si>
  <si>
    <t xml:space="preserve">Ubiquity Serivces-Renaissance at Stoney                     </t>
  </si>
  <si>
    <t>Ubiquity Services, LLC</t>
  </si>
  <si>
    <t>VOLCANSC2025O161</t>
  </si>
  <si>
    <t xml:space="preserve">NSC--Volcano WO#V01-24-00297                                </t>
  </si>
  <si>
    <t xml:space="preserve">Volcano - West Ferndale FTTH-Pioneer                        </t>
  </si>
  <si>
    <t xml:space="preserve">Volcano Telephone Company                                   </t>
  </si>
  <si>
    <t>VOLCANSC2025O168</t>
  </si>
  <si>
    <t xml:space="preserve">NSC--Volcano OXBO#2 WO#V01-22-00354                         </t>
  </si>
  <si>
    <t xml:space="preserve">Volcano Telephone - OXBO 2 - Splicing                       </t>
  </si>
  <si>
    <t xml:space="preserve">VOLCANO-West Ferndale Phase 2 FTTH-Pione                    </t>
  </si>
  <si>
    <t>VOLCANSC2025O169</t>
  </si>
  <si>
    <t xml:space="preserve">NSC--Volcano OXBO#1 WO#V01-22-00324                         </t>
  </si>
  <si>
    <t xml:space="preserve">Volcano Telephone - OXBO 1 - Splicing                       </t>
  </si>
  <si>
    <t>VZ000DII2017A009</t>
  </si>
  <si>
    <t xml:space="preserve">Vz One Fiber - Los Angeles South                            </t>
  </si>
  <si>
    <t xml:space="preserve">IC-CCI - Close-Out for 1F LA South                          </t>
  </si>
  <si>
    <t xml:space="preserve">CableCom, LLC                                               </t>
  </si>
  <si>
    <t>VZ000DII2017O015</t>
  </si>
  <si>
    <t xml:space="preserve">Verizon One Fiber Phoenix (PAU Project)                     </t>
  </si>
  <si>
    <t xml:space="preserve">ONEPAUPHX       </t>
  </si>
  <si>
    <t xml:space="preserve">IC-PAU-VZ-Close-Out for 1F Phoenix                          </t>
  </si>
  <si>
    <t xml:space="preserve">Pauley Construction, LLC                                    </t>
  </si>
  <si>
    <t>VZ000DII2020O022</t>
  </si>
  <si>
    <t xml:space="preserve">NED Mkt Add #59 MA-005138-2014                              </t>
  </si>
  <si>
    <t xml:space="preserve">NEDGSUFRS       </t>
  </si>
  <si>
    <t xml:space="preserve">VZ-Verizon-NED-Fresno                                       </t>
  </si>
  <si>
    <t>TCLT</t>
  </si>
  <si>
    <t xml:space="preserve">VERIZON-CONCORD-NED AMEND-CW2406653                         </t>
  </si>
  <si>
    <t>VZ000NSC2014O005</t>
  </si>
  <si>
    <t xml:space="preserve">MA-002983-2014                                              </t>
  </si>
  <si>
    <t xml:space="preserve">VZ-Verizon Business-Seattle Maintenance                     </t>
  </si>
  <si>
    <t>VZ000NSC2023O073</t>
  </si>
  <si>
    <t xml:space="preserve">NSC-CSCA # CW2461449                                        </t>
  </si>
  <si>
    <t xml:space="preserve">VZ-Verizon Spokane Market (MSA)                             </t>
  </si>
  <si>
    <t xml:space="preserve">VZ-Verizon Or Market (MSA)                                  </t>
  </si>
  <si>
    <t xml:space="preserve">VZ-Verizon Sw Wa Market (MSA)                               </t>
  </si>
  <si>
    <t xml:space="preserve">VZ-Verizon Wa North Colfax                                  </t>
  </si>
  <si>
    <t xml:space="preserve">VZ-Verizon Wa Booker Rd                                     </t>
  </si>
  <si>
    <t xml:space="preserve">VZ-Verizon Or Mosser                                        </t>
  </si>
  <si>
    <t xml:space="preserve">VZ-Verizon Idaho Market (Msa)                               </t>
  </si>
  <si>
    <t xml:space="preserve">VZ-Verizon ID Careywood                                     </t>
  </si>
  <si>
    <t xml:space="preserve">VZ-Verizon OR Ruch                                          </t>
  </si>
  <si>
    <t>VZ000NSC2025O165</t>
  </si>
  <si>
    <t xml:space="preserve">NSC--Verizon SOW CW2562189                                  </t>
  </si>
  <si>
    <t xml:space="preserve">VZ-Verizon Business - MARC - Reno                           </t>
  </si>
  <si>
    <t>VZ000VCI2017A071</t>
  </si>
  <si>
    <t xml:space="preserve">Vz One Fiber - Los Angeles North                            </t>
  </si>
  <si>
    <t xml:space="preserve">IC-VCI-VZ-Close-Out for 1F LA North                         </t>
  </si>
  <si>
    <t xml:space="preserve">VCI Construction Inc                                        </t>
  </si>
  <si>
    <t>WARMSNSC2025O174</t>
  </si>
  <si>
    <t xml:space="preserve">NSC--Warm Springs FTTH                                      </t>
  </si>
  <si>
    <t xml:space="preserve">Warm Springs - Drops only                                   </t>
  </si>
  <si>
    <t xml:space="preserve">Confed Tribes of the Warm Springs Res of Oregon             </t>
  </si>
  <si>
    <t>WAVEBNSC2014O053</t>
  </si>
  <si>
    <t xml:space="preserve">Wave Broadband MSA &amp; Bid Projects                           </t>
  </si>
  <si>
    <t xml:space="preserve">Astound - WA - Drone Work                                   </t>
  </si>
  <si>
    <t xml:space="preserve">Astound - WA- Oak Harbor                                    </t>
  </si>
  <si>
    <t xml:space="preserve">Astound - WA - Lewis River                                  </t>
  </si>
  <si>
    <t xml:space="preserve">Astound - WA Wave Broadband                                 </t>
  </si>
  <si>
    <t xml:space="preserve">Astound - OR Wave Broadband                                 </t>
  </si>
  <si>
    <t>WAVEDNSC2025O139</t>
  </si>
  <si>
    <t xml:space="preserve">NSC--Wave/Astound - Clallam County WSBO Phase               </t>
  </si>
  <si>
    <t xml:space="preserve">Astound - Clallam County WSBO Phase                         </t>
  </si>
  <si>
    <t xml:space="preserve">WaveDivision Holdings, LLC                                  </t>
  </si>
  <si>
    <t>WAVEDNSC2025O140</t>
  </si>
  <si>
    <t xml:space="preserve">NSC--Wave/Astound - Clallam County PWB Phase                </t>
  </si>
  <si>
    <t xml:space="preserve">Astound - Clallam County PWB Phase                          </t>
  </si>
  <si>
    <t xml:space="preserve">ZAYO 061317     </t>
  </si>
  <si>
    <t xml:space="preserve">MCSA                                                        </t>
  </si>
  <si>
    <t>1056202</t>
  </si>
  <si>
    <t xml:space="preserve">Zayo - ILA Build - Colfax                                   </t>
  </si>
  <si>
    <t xml:space="preserve">Zayo Group, LLC                                             </t>
  </si>
  <si>
    <t xml:space="preserve">Zayo - ILA Build - Truckee                                  </t>
  </si>
  <si>
    <t>ZAYO0NSC2011O002</t>
  </si>
  <si>
    <t xml:space="preserve">Master Construction Services Agreement                      </t>
  </si>
  <si>
    <t xml:space="preserve">Zayo - Maintenance                                          </t>
  </si>
  <si>
    <t xml:space="preserve">Zayo - First Tech Credit Union ECO                          </t>
  </si>
  <si>
    <t>Sales Contract</t>
  </si>
  <si>
    <t>Sold-to Party</t>
  </si>
  <si>
    <t>Customer Reference</t>
  </si>
  <si>
    <t>Valid-From Date</t>
  </si>
  <si>
    <t>Valid-To Date</t>
  </si>
  <si>
    <t>Overall Status</t>
  </si>
  <si>
    <t>Approval Status</t>
  </si>
  <si>
    <t>Net Value</t>
  </si>
  <si>
    <t>Document Date</t>
  </si>
  <si>
    <t>T-Mobile USA, Inc (C000756)</t>
  </si>
  <si>
    <t>2386061</t>
  </si>
  <si>
    <t>Open</t>
  </si>
  <si>
    <t>Not Relevant</t>
  </si>
  <si>
    <t>T-Mobile-Eastern OR Market 2026-2027</t>
  </si>
  <si>
    <t>Unwired Broadband, LLC (C001939)</t>
  </si>
  <si>
    <t>Ezee Fiber Texas, LLC (C001484)</t>
  </si>
  <si>
    <t>Ubiquity Services, LLC (C001047)</t>
  </si>
  <si>
    <t>Verizon Sourcing LLC (C000810)</t>
  </si>
  <si>
    <t>Portland General Electric Company (C000906)</t>
  </si>
  <si>
    <t>Sprint/United Management Company (C000696)</t>
  </si>
  <si>
    <t>Fidium Enterprise Services LLC (C000224)</t>
  </si>
  <si>
    <t>Canby Telephone Association (C000919)</t>
  </si>
  <si>
    <t>Clear Creek Mutual Telephone Company (C001455)</t>
  </si>
  <si>
    <t>Citizens Telecom Services Company LLC (C000970)</t>
  </si>
  <si>
    <t>Frontier-FTTH-Bishop, Mammoth, June Lake</t>
  </si>
  <si>
    <t>AT&amp;T Services, Inc (C000050)</t>
  </si>
  <si>
    <t>ATT -  A057WYA - San Rafael</t>
  </si>
  <si>
    <t>Clark Public Utilities (C000896)</t>
  </si>
  <si>
    <t>Clark PUD - NE 179th St Fiber Reloc</t>
  </si>
  <si>
    <t>Clark PUD - NE 179th St Fiber Relocation</t>
  </si>
  <si>
    <t>ATT - A058D26 - Coulterville</t>
  </si>
  <si>
    <t>Lumen Technologies Service Group, LLC (C000968)</t>
  </si>
  <si>
    <t>Lumen - P 143688 - CDT-0458 - Emeryville</t>
  </si>
  <si>
    <t>Declaration Networks Group, Inc. (C001837)</t>
  </si>
  <si>
    <t>Declaration - Deep Lake, Seg 6 and 7</t>
  </si>
  <si>
    <t>Ziply Fiber (C000893)</t>
  </si>
  <si>
    <t>NSC--NW Fiber MSA -</t>
  </si>
  <si>
    <t>Golden State Utility Co (IC4500)</t>
  </si>
  <si>
    <t>Short Form</t>
  </si>
  <si>
    <t>GSU - Ponderosa Support</t>
  </si>
  <si>
    <t>The Ponderosa Telephone Company (C001086)</t>
  </si>
  <si>
    <t>Ponderosa-Wishon Phase 2</t>
  </si>
  <si>
    <t>Ziply - Goldbar - 6012883</t>
  </si>
  <si>
    <t>Ziply - Goldbar - 6012764</t>
  </si>
  <si>
    <t>Frontier - Maint SSP South Bay (2022-25)</t>
  </si>
  <si>
    <t>Lightspeed Networks, Inc (C000472)</t>
  </si>
  <si>
    <t>1486173</t>
  </si>
  <si>
    <t>LS Networks - Castle Rock West Side Hwy</t>
  </si>
  <si>
    <t>Zayo Group, LLC (C000889)</t>
  </si>
  <si>
    <t>1486159</t>
  </si>
  <si>
    <t>Zayo- ECO 2151 S 200th St</t>
  </si>
  <si>
    <t>1486158</t>
  </si>
  <si>
    <t>Zayo - 10606 58th Ave Ct SW Lakewood, WA</t>
  </si>
  <si>
    <t>Lumen-NAT OSP CENCAL MSA 2022-Selma</t>
  </si>
  <si>
    <t>Platinum Development, LLC (C001734)</t>
  </si>
  <si>
    <t>NSC--Platinum CSA -</t>
  </si>
  <si>
    <t>Platinum Development - High Desert</t>
  </si>
  <si>
    <t>Mereo 89, LLC (C001671)</t>
  </si>
  <si>
    <t>Mereo 89, LLC Glenn Apts AZ</t>
  </si>
  <si>
    <t>Mereo 89, LLC AZ</t>
  </si>
  <si>
    <t>Google Fiber Inc (C000369)</t>
  </si>
  <si>
    <t>NSC--Cont. # 901731</t>
  </si>
  <si>
    <t>NSC--Clark PUD Cont.</t>
  </si>
  <si>
    <t>Clark PUD-Small Works Project</t>
  </si>
  <si>
    <t>VZ-Verizon Business-Seattle Maintenance</t>
  </si>
  <si>
    <t>Adams County, Washington (C001890)</t>
  </si>
  <si>
    <t>NSC--Othello FTTH</t>
  </si>
  <si>
    <t>NSC--2025LE000014</t>
  </si>
  <si>
    <t>Lumen - Eastern WA Enterprise</t>
  </si>
  <si>
    <t>NSC--2026LE000039 WA</t>
  </si>
  <si>
    <t>Lumen -  West WA Consumer (2026-28)</t>
  </si>
  <si>
    <t>Washington State Department of Corrections (C001534)</t>
  </si>
  <si>
    <t>5092025402</t>
  </si>
  <si>
    <t>Wash DOC-Telephone Conduit Move &amp;Replace</t>
  </si>
  <si>
    <t>1485132</t>
  </si>
  <si>
    <t>LS Networks-Cran Site 7</t>
  </si>
  <si>
    <t>LS Networks-Cran Site 8</t>
  </si>
  <si>
    <t>Public Utility District No 2 of Pacific County, WA (C001520)</t>
  </si>
  <si>
    <t>NSC--ITB 2023-3 Paci</t>
  </si>
  <si>
    <t>Pacific PUD-ITB 2023-3 Splicing</t>
  </si>
  <si>
    <t>Clark PUD - Clark to Pioneer</t>
  </si>
  <si>
    <t>Hood Canal Telephone Co., Inc. (C001399)</t>
  </si>
  <si>
    <t>NSC--Northern Hood C</t>
  </si>
  <si>
    <t>Hood Canal Tel-Northern Hood Canal Fiber</t>
  </si>
  <si>
    <t>Public Utility District No. 1 of Mason County (C001435)</t>
  </si>
  <si>
    <t>NSC-Mason County PUD</t>
  </si>
  <si>
    <t>Mason County PUD - Love Rd Creek Bore</t>
  </si>
  <si>
    <t>Port of Skagit County (C001463)</t>
  </si>
  <si>
    <t>NSC--Port of Skagit</t>
  </si>
  <si>
    <t>Port of Skagit - Farm to Market Install</t>
  </si>
  <si>
    <t>Mason County - Additional Conduit Instal</t>
  </si>
  <si>
    <t>1483111</t>
  </si>
  <si>
    <t>Verizon - King County Pole TX and Clean</t>
  </si>
  <si>
    <t>WaveDivision Holdings, LLC (C000862)</t>
  </si>
  <si>
    <t>NSC--Wave/Astound -</t>
  </si>
  <si>
    <t>Avista Corporation (C001650)</t>
  </si>
  <si>
    <t>NSC--Avista Cont. #</t>
  </si>
  <si>
    <t>Avista - Poleline Substation</t>
  </si>
  <si>
    <t>NSC--Sprint 2015OCT2</t>
  </si>
  <si>
    <t>Sprint Cogent-Pleasant View Rd</t>
  </si>
  <si>
    <t>NSC--2022LE000195 NE</t>
  </si>
  <si>
    <t>Lumen-Consumer NE WA (2022-25)</t>
  </si>
  <si>
    <t>Inland Cellular, LLC (C001850)</t>
  </si>
  <si>
    <t>NSC--Inland Cellular</t>
  </si>
  <si>
    <t>Inland Cellular ID</t>
  </si>
  <si>
    <t>Vertical Bridge REIT, LLC (C001423)</t>
  </si>
  <si>
    <t>Note: Auto-renews an</t>
  </si>
  <si>
    <t>Vertical Bridge - ID</t>
  </si>
  <si>
    <t>NSC--CSCA # CW246144</t>
  </si>
  <si>
    <t>NSC-Ubiquity MSA</t>
  </si>
  <si>
    <t>Ubiquity Services LLC-Valencia Apts</t>
  </si>
  <si>
    <t>Ubiquity Services LLC-Midwest Patio Apts</t>
  </si>
  <si>
    <t>Ubiquity Services LLC-Hitt Rd Patio Apts</t>
  </si>
  <si>
    <t>Ubiquity Services LLC-Big Sky Patio Apts</t>
  </si>
  <si>
    <t>Lumen - ID Enterprise MSA</t>
  </si>
  <si>
    <t>NSC--Tmobile MA CW24</t>
  </si>
  <si>
    <t>T-MOBILE SP01388B</t>
  </si>
  <si>
    <t>CommPro Services, LLC (C001068)</t>
  </si>
  <si>
    <t>NSC-- MCA 308515.C -</t>
  </si>
  <si>
    <t>CommPro Services, LLC - GA</t>
  </si>
  <si>
    <t>CommPro Services, LLC - FL</t>
  </si>
  <si>
    <t>Vision Net, Inc. (C001724)</t>
  </si>
  <si>
    <t>NSC--Vision Net PO#7</t>
  </si>
  <si>
    <t>Vision Net - Billings joint path</t>
  </si>
  <si>
    <t>Google Fiber FTTH Installations</t>
  </si>
  <si>
    <t>Cogent - BNSF Bridge 0042 MRL Bridge 76</t>
  </si>
  <si>
    <t>NSC -- AT&amp;T ACAS Agr</t>
  </si>
  <si>
    <t>ATT-Billings CO Billing</t>
  </si>
  <si>
    <t>Sprint-Bridge 116</t>
  </si>
  <si>
    <t>ATT - Pescadero conduit placement</t>
  </si>
  <si>
    <t>AT&amp;T - Helena to Billings PCI</t>
  </si>
  <si>
    <t>Volcano Telephone Company (C001645)</t>
  </si>
  <si>
    <t>Volcano Telephone - BKPR Substructure</t>
  </si>
  <si>
    <t>VZ-Industrial Ave MH Replacemt-Roseville</t>
  </si>
  <si>
    <t>Ponderosa-WOKA SLC</t>
  </si>
  <si>
    <t>NSC--PGE--MSA 10-25-</t>
  </si>
  <si>
    <t>PGE - Reedville to Huber Substation</t>
  </si>
  <si>
    <t>Crown Castle USA Inc (C000245)</t>
  </si>
  <si>
    <t>NSC--CSMA</t>
  </si>
  <si>
    <t>Crown Castle-Lake Oswego Splicing</t>
  </si>
  <si>
    <t>City of Sherwood (C001182)</t>
  </si>
  <si>
    <t>1383061</t>
  </si>
  <si>
    <t>City of Sherwood - Elem and King City En</t>
  </si>
  <si>
    <t>NSC--FTTH Const. Pro</t>
  </si>
  <si>
    <t>City of Sherwood-FTTH Constr Project 10a</t>
  </si>
  <si>
    <t>Wave Broadband (C000912)</t>
  </si>
  <si>
    <t>1383015</t>
  </si>
  <si>
    <t>Wave-Newport FTTH Engineering</t>
  </si>
  <si>
    <t>Ziply - BAU Metro West</t>
  </si>
  <si>
    <t>NSC--2021 OSP Const.</t>
  </si>
  <si>
    <t>Directlink - Carus (RURFIB)</t>
  </si>
  <si>
    <t>Ziply - BAU South</t>
  </si>
  <si>
    <t>LS Networks-CRAN 037</t>
  </si>
  <si>
    <t>1485226</t>
  </si>
  <si>
    <t>LS Networks-CRAN 005</t>
  </si>
  <si>
    <t>LS Networks-CRAN 12</t>
  </si>
  <si>
    <t>Molalla Communications Company (C000897)</t>
  </si>
  <si>
    <t>NSC-- MCC Work Order</t>
  </si>
  <si>
    <t>Molalla-Maintenance Work Orders</t>
  </si>
  <si>
    <t>NSC--Ezee Fiber Prop</t>
  </si>
  <si>
    <t>Ezee Fiber Texas - Wildwood Lake</t>
  </si>
  <si>
    <t>Ezee Fiber Texas (Town Creek Village)</t>
  </si>
  <si>
    <t>Ezee Fiber Texas - Willowbend Ph1 &amp; Ph2</t>
  </si>
  <si>
    <t>Ezee Fiber Texas - Autumnwood Apts</t>
  </si>
  <si>
    <t>Ezee Fiber Texas - White Oak Apts</t>
  </si>
  <si>
    <t>Ezee Fiber Texas - Foxbrick Apts</t>
  </si>
  <si>
    <t>People's Telephone Company (C000910)</t>
  </si>
  <si>
    <t>NSC--Peoples Unit Ra</t>
  </si>
  <si>
    <t>NTS Communications, LLC (C000925)</t>
  </si>
  <si>
    <t>NSC--Fiber Contract</t>
  </si>
  <si>
    <t>NTS Communications-MDU Abilene</t>
  </si>
  <si>
    <t>Lumen - Emeryville</t>
  </si>
  <si>
    <t>CommPro Services, LLC - SC</t>
  </si>
  <si>
    <t>Released</t>
  </si>
  <si>
    <t>Sprint-801 Newhall St Manhole investigat</t>
  </si>
  <si>
    <t>Lumen - HSR CP1 G St&amp;Nielson St -Fresno</t>
  </si>
  <si>
    <t>VZ-Verizon Or (Fish Eddy)</t>
  </si>
  <si>
    <t>Ziply - WA FTTP MSA legacy)</t>
  </si>
  <si>
    <t>ATT - A057Q3P - 1371 E 14th St San Leand</t>
  </si>
  <si>
    <t>Charter Communications Operating, LLC (C000138)</t>
  </si>
  <si>
    <t>NSC--Charter Wireles</t>
  </si>
  <si>
    <t>Charter Communications (OR)</t>
  </si>
  <si>
    <t>VERIZON OR POR PDX</t>
  </si>
  <si>
    <t>NSC--Volcano WO#VO1-</t>
  </si>
  <si>
    <t>Volcano - West Ferndale FTTH-Pioneer</t>
  </si>
  <si>
    <t>VERIZON OR EMPIRE</t>
  </si>
  <si>
    <t>ATT - A05824Y - 914 The Alameda Berkeley</t>
  </si>
  <si>
    <t>ATT - A0565H7 - 1155 7th St Oakland</t>
  </si>
  <si>
    <t>Lumen - 2590 Walsh Ave</t>
  </si>
  <si>
    <t>Stayton Cooperative Telephone Co. (C000710)</t>
  </si>
  <si>
    <t>NSC--Stayton Unit Ra</t>
  </si>
  <si>
    <t>NSC--Sherwood Broadb</t>
  </si>
  <si>
    <t>Sherwood Broadband-City of Sherwood</t>
  </si>
  <si>
    <t>City of Wilsonville (C001513)</t>
  </si>
  <si>
    <t>NSC--Wilsonville Con</t>
  </si>
  <si>
    <t>City of Wilsonville-Smart and WES</t>
  </si>
  <si>
    <t>Consolidated Business Services LLC (C001339)</t>
  </si>
  <si>
    <t>NSC--Canby Telephone</t>
  </si>
  <si>
    <t>Consol Bus Svs-Canby dba Directlink Resi</t>
  </si>
  <si>
    <t>VCI Construction, LLC (IC5300)</t>
  </si>
  <si>
    <t>IC-VCI-VZ-Close-Out for 1F LA North</t>
  </si>
  <si>
    <t>City of Wilsonville-GSK Fiber Connection</t>
  </si>
  <si>
    <t>NSC--Consolidated CS</t>
  </si>
  <si>
    <t>PGE-Clayfield Recloser</t>
  </si>
  <si>
    <t>VERIZON OR MAINTENANCE</t>
  </si>
  <si>
    <t>T-MOBILE Eastern OR</t>
  </si>
  <si>
    <t>AT&amp;T - CDA Bridge Cable Pulling</t>
  </si>
  <si>
    <t>T-MOBILE Portland Market</t>
  </si>
  <si>
    <t>T-MOBILE PO01424E</t>
  </si>
  <si>
    <t>AT&amp;T Mobility Maintenance (OR)</t>
  </si>
  <si>
    <t>CommPro Services, LLC - NC</t>
  </si>
  <si>
    <t>Ubiquity Services, LLC-MT</t>
  </si>
  <si>
    <t>ATT - A059FZM - Hayward</t>
  </si>
  <si>
    <t>Idaho County (C001848)</t>
  </si>
  <si>
    <t>NSC--Idaho County DI</t>
  </si>
  <si>
    <t>CommPro Services, LLC - KY</t>
  </si>
  <si>
    <t>NSC--Volcano OXBO#2</t>
  </si>
  <si>
    <t>CommPro Services, LLC - IN</t>
  </si>
  <si>
    <t>ATT - A020BN7 - Redwood City</t>
  </si>
  <si>
    <t>Surf Broadband Solutions (C000980)</t>
  </si>
  <si>
    <t>NSC--Surf Broadband</t>
  </si>
  <si>
    <t>Surf Broadband Solution (IL Installation</t>
  </si>
  <si>
    <t>Sprint - Alpine Rd Cable Damage</t>
  </si>
  <si>
    <t>Amazon Data Services, Inc. (C001820)</t>
  </si>
  <si>
    <t>INACTIVE PO US590726</t>
  </si>
  <si>
    <t>AWS - Reno Data Center - Campus</t>
  </si>
  <si>
    <t>Consolidated - Florin Rd - Sacramento</t>
  </si>
  <si>
    <t>Clackamas County (C000895)</t>
  </si>
  <si>
    <t>NSC--Clackamas Cty C</t>
  </si>
  <si>
    <t>Clackamas County - Hwy 211 Damage</t>
  </si>
  <si>
    <t>ATT - A059283 - Oakland</t>
  </si>
  <si>
    <t>Alyrica Networks (C001728)</t>
  </si>
  <si>
    <t>NSC--Alyrica Webfoot</t>
  </si>
  <si>
    <t>Lumen- Main and Harrison - San Francisco</t>
  </si>
  <si>
    <t>PGE - Waconda Fiber Materials</t>
  </si>
  <si>
    <t>NSC--Boeckman 2025 P</t>
  </si>
  <si>
    <t>Clackamas County - Boeckman Rd Splicing</t>
  </si>
  <si>
    <t>Tri-County Metropolitan Transportation District of Oregon (C001351)</t>
  </si>
  <si>
    <t>TriMet - Division FX Line Cabinet</t>
  </si>
  <si>
    <t>Directlink - Whiskey Hill Ped Removals</t>
  </si>
  <si>
    <t>ATT - A058HE0 - Oakland</t>
  </si>
  <si>
    <t>Ziply - ID FTTH Soft Scape Bid WOs (354)</t>
  </si>
  <si>
    <t>City of Oregon City (C000916)</t>
  </si>
  <si>
    <t>NSC--Oregon City PO</t>
  </si>
  <si>
    <t>City of Oregon City - Holmes Rd NEW52982</t>
  </si>
  <si>
    <t>PGE - Glencoe Substation</t>
  </si>
  <si>
    <t>PGE - Lents Substation</t>
  </si>
  <si>
    <t>PO 47165</t>
  </si>
  <si>
    <t>PGE-Tektronix Fiber Project</t>
  </si>
  <si>
    <t>Scio Mutual Telephone Association (C000982)</t>
  </si>
  <si>
    <t>NSC--SMTA Unit Rate</t>
  </si>
  <si>
    <t>Scio-35611 Meridian Rd</t>
  </si>
  <si>
    <t>NSC--Directlink - WO</t>
  </si>
  <si>
    <t>Directlink - Mt Angel Town FTTH</t>
  </si>
  <si>
    <t>Crown Castle-2020 Fiber Maintenance and</t>
  </si>
  <si>
    <t>NSC--2020LE000021  W</t>
  </si>
  <si>
    <t>Lumen-Kahna MSA Extension (FTTH)</t>
  </si>
  <si>
    <t>Lumen-LE MSA Extension for Seattle Marke</t>
  </si>
  <si>
    <t>NSC--AT&amp;T Agmt # 300</t>
  </si>
  <si>
    <t>ATT-2550 Cable Cut Final Repairs</t>
  </si>
  <si>
    <t>Astound - Furnish and Install 6in class</t>
  </si>
  <si>
    <t>NSC--Wilsonville - C</t>
  </si>
  <si>
    <t>City of Wilsonville -  WES Breakroom</t>
  </si>
  <si>
    <t>NSC--Wilsonville- Co</t>
  </si>
  <si>
    <t>City of Wilsonville - Westside Reservoir</t>
  </si>
  <si>
    <t>NSC--AT&amp;T ABWS Agmt.</t>
  </si>
  <si>
    <t>DataVision Communications (C000917)</t>
  </si>
  <si>
    <t>Data Vision-Gervais Splicing</t>
  </si>
  <si>
    <t>Sprint-Cogent-Cocolalla Bridge 20</t>
  </si>
  <si>
    <t>Sprint-Cogent-Cocolalla Bridge 16</t>
  </si>
  <si>
    <t>NSC--2024 OSP - Phas</t>
  </si>
  <si>
    <t>NSC--2023LE000008 Sa</t>
  </si>
  <si>
    <t>Lumen -  2022LE000008 ID Enterprise</t>
  </si>
  <si>
    <t>Clackamas County - Hwy 213 and Carus</t>
  </si>
  <si>
    <t>NSC--Verizon SOW CW2</t>
  </si>
  <si>
    <t>Sprint - OKLD Zero MH Repair</t>
  </si>
  <si>
    <t>1386273</t>
  </si>
  <si>
    <t>Clackamas County - Emergency work</t>
  </si>
  <si>
    <t>Windstream Supply, LLC (C000995)</t>
  </si>
  <si>
    <t>Windstream - Multnomah Blvd</t>
  </si>
  <si>
    <t>ATT - A053D20 - St Helena</t>
  </si>
  <si>
    <t>Consumers Power Inc (C000230)</t>
  </si>
  <si>
    <t>City of Portland (C000899)</t>
  </si>
  <si>
    <t>NSC--COP Maint. Cont</t>
  </si>
  <si>
    <t>PBOT - Barbur Blvd 48Ct Fiber repait</t>
  </si>
  <si>
    <t>Lumen - Hanford Walmart</t>
  </si>
  <si>
    <t>Zayo - ILA Build - Truckee</t>
  </si>
  <si>
    <t>PGE - Apricus Solar Fiber Project</t>
  </si>
  <si>
    <t>Zayo - ILA Build - Colfax</t>
  </si>
  <si>
    <t>NSC--Frontier CSA 12</t>
  </si>
  <si>
    <t>Frontier - End of MM at Hwy 36 (Fire)</t>
  </si>
  <si>
    <t>PGE-209th and TV Highway CrossingProject</t>
  </si>
  <si>
    <t>NSC--Clear Creek JO#</t>
  </si>
  <si>
    <t>Clear Creek-FTTH Phase II</t>
  </si>
  <si>
    <t>TriMet-Pole Violation J451934</t>
  </si>
  <si>
    <t>T-Mobile-SW WA</t>
  </si>
  <si>
    <t>Arcadian Infracom, Inc. (C001760)</t>
  </si>
  <si>
    <t>NSC--Arcadian Master</t>
  </si>
  <si>
    <t>Arcadian - Redwood Segment 5-1</t>
  </si>
  <si>
    <t>Northwest Open Access Network (C000898)</t>
  </si>
  <si>
    <t>NoaNet Wireless</t>
  </si>
  <si>
    <t>AT&amp;T Mobility Maintenance (WA)</t>
  </si>
  <si>
    <t>Consolidated - Data Dr - Rancho Cordova</t>
  </si>
  <si>
    <t>1056132</t>
  </si>
  <si>
    <t>Volcano Telephone - V02-24-00033 - Splic</t>
  </si>
  <si>
    <t>Ziply - ID BAU SSP (2024-27)</t>
  </si>
  <si>
    <t>Ubiquity Serivces-Renaissance at Stoney</t>
  </si>
  <si>
    <t>ATT - A02W6Q8 - 1312 E St Hayward</t>
  </si>
  <si>
    <t>McMenamins, Inc. (C001403)</t>
  </si>
  <si>
    <t>McMenamins - Grand Lodge Additonal POS L</t>
  </si>
  <si>
    <t>1056172</t>
  </si>
  <si>
    <t>Sprint - Plumas County UPRR Culverts</t>
  </si>
  <si>
    <t>VERIZON-CONCORD-NED AMEND-CW2406653</t>
  </si>
  <si>
    <t>NSC--Clear Creek JO</t>
  </si>
  <si>
    <t>Clear Creek-864 Testing</t>
  </si>
  <si>
    <t>ATT - A02QKNQ - 971 B Street Hayward</t>
  </si>
  <si>
    <t>Ziply - OR FTTH Soft Scape Bid WOs</t>
  </si>
  <si>
    <t>1056167</t>
  </si>
  <si>
    <t>Lumen - Delano to Dinuba - Splicing</t>
  </si>
  <si>
    <t>Ubiquity Services - Bluffs at Brookside</t>
  </si>
  <si>
    <t>1056166</t>
  </si>
  <si>
    <t>Lumen - Merced to Fresno - Splicing</t>
  </si>
  <si>
    <t>Sierra Telephone Company, Inc. (C001733)</t>
  </si>
  <si>
    <t>NSC--SierraTel - Coa</t>
  </si>
  <si>
    <t>SierraTel - Coarsegold Yosemite - Ph 4A</t>
  </si>
  <si>
    <t>1056164</t>
  </si>
  <si>
    <t>Lumen - Fresno to Dinuba - Splicing</t>
  </si>
  <si>
    <t>Q-Life Network (C000900)</t>
  </si>
  <si>
    <t>QLife-2024 Splicing and Aerial Maintenan</t>
  </si>
  <si>
    <t>Ubiquity Services-The Bungalows</t>
  </si>
  <si>
    <t>ATT - A058H0A - Peralta St Oakland</t>
  </si>
  <si>
    <t>Crown Castle - Portland NW</t>
  </si>
  <si>
    <t>Ubiquity Services-Bay Colony Apt Homes</t>
  </si>
  <si>
    <t>ATT - A057N0N - Broadway St Oakland</t>
  </si>
  <si>
    <t>Lumen - Road 66 - Splicing</t>
  </si>
  <si>
    <t>Public Utility District No. 2 of Grant County, WA (C000918)</t>
  </si>
  <si>
    <t>NSC--Grant PUD Cont.</t>
  </si>
  <si>
    <t>1385125</t>
  </si>
  <si>
    <t>Zayo-ECO Eugene</t>
  </si>
  <si>
    <t>Wave-Astound WA-Castle Rock Tower</t>
  </si>
  <si>
    <t>Consolidated Communications - 11407 Elks</t>
  </si>
  <si>
    <t>1385123</t>
  </si>
  <si>
    <t>Wave - 59th St South Shore</t>
  </si>
  <si>
    <t>Ziply - Springfield Work Orders (FTTH)</t>
  </si>
  <si>
    <t>VZ-Verizon Wa Booker Rd</t>
  </si>
  <si>
    <t>Ubiquity Services-Terrace Heights</t>
  </si>
  <si>
    <t>Linda Workman (C001521)</t>
  </si>
  <si>
    <t>1385120</t>
  </si>
  <si>
    <t>Linda Workman - Dutch Vista Bore</t>
  </si>
  <si>
    <t>Sprint - Baseline Costco Relocation</t>
  </si>
  <si>
    <t>Ezee Fiber Texas-Arbors on Westheimer</t>
  </si>
  <si>
    <t>VZ-WA (Hoogdal)</t>
  </si>
  <si>
    <t>Kuni German Motors, LLC (C001518)</t>
  </si>
  <si>
    <t>1384212</t>
  </si>
  <si>
    <t>Kuni BMW - Tigard BMW</t>
  </si>
  <si>
    <t>Ubiquity Services LLC-Crestview Place</t>
  </si>
  <si>
    <t>NoaNet Wireless - Maryhill</t>
  </si>
  <si>
    <t>NSC--COP Emergency C</t>
  </si>
  <si>
    <t>City of Portland-Outer Powell Emergency</t>
  </si>
  <si>
    <t>Ubiquity Services-Park Vista Townhom</t>
  </si>
  <si>
    <t>T-Mobile-SW WA Market  2024-2025</t>
  </si>
  <si>
    <t>Pioneer Connect (C000593)</t>
  </si>
  <si>
    <t>NSC-- WO # 23512 - O</t>
  </si>
  <si>
    <t>Pioneer - South Shore</t>
  </si>
  <si>
    <t>NSC--Ponderosa RC3 B</t>
  </si>
  <si>
    <t>Ponderosa - Reconnect 3 - Build 1</t>
  </si>
  <si>
    <t>Port of Woodland (C001499)</t>
  </si>
  <si>
    <t>NSC--Port of Woodlan</t>
  </si>
  <si>
    <t>Port of Woodland-Fiber Optic On Call</t>
  </si>
  <si>
    <t>Ubiquity Services LLC-Boyd Apartments</t>
  </si>
  <si>
    <t>VZ-Verizon OR Kiteboard</t>
  </si>
  <si>
    <t>T-Mobile-Spokane Market  2024-2025</t>
  </si>
  <si>
    <t>NSC--DirectLink - OS</t>
  </si>
  <si>
    <t>Canby-DirectLink-Haines Rd Hwy 99E Ph I</t>
  </si>
  <si>
    <t>Ubiquity Services-Grand Estates</t>
  </si>
  <si>
    <t>VZ-Verizon Butch</t>
  </si>
  <si>
    <t>City of Oregon City - Fiber Transfer</t>
  </si>
  <si>
    <t>Lumen - El Camino Real CDT-0318</t>
  </si>
  <si>
    <t>Cal-Ore Telephone Company (C001655)</t>
  </si>
  <si>
    <t>NSC--Cal-Ore J.O.#ID</t>
  </si>
  <si>
    <t>CAL-Ore 2024</t>
  </si>
  <si>
    <t>Ubiquity Services LLC-Mallard Run Apts</t>
  </si>
  <si>
    <t>CONVERSION</t>
  </si>
  <si>
    <t>Ubiquity Services, LLC (WA MSA)</t>
  </si>
  <si>
    <t>PGE - 124th Conduit Relocation</t>
  </si>
  <si>
    <t>Ubiquity Services LLC-Paloma Gardens</t>
  </si>
  <si>
    <t>Confederated Tribes of the Colville Reservation (C001483)</t>
  </si>
  <si>
    <t>NSC--Colville Tribes</t>
  </si>
  <si>
    <t>Texstar Enterprises, LLC (IC5600)</t>
  </si>
  <si>
    <t>COMNAOR008</t>
  </si>
  <si>
    <t>TexStar - Wilsonville Support</t>
  </si>
  <si>
    <t>Sprint - Lafayette Fiber Cut</t>
  </si>
  <si>
    <t>NSC--Colville Reserv</t>
  </si>
  <si>
    <t>Colville Tribes - Wireless Maintenance</t>
  </si>
  <si>
    <t>Ubiquity Services LLC-Lost Spurs Ranch</t>
  </si>
  <si>
    <t>Lumen - Boonville Support</t>
  </si>
  <si>
    <t>NSC--QT220042KN-E--O</t>
  </si>
  <si>
    <t>Trimet-Jackson to 1900</t>
  </si>
  <si>
    <t>Ubiquity Services, LLC-Arbors Of Killeen</t>
  </si>
  <si>
    <t>Hunter Communications &amp; Technologies (C000398)</t>
  </si>
  <si>
    <t>NSC--Hunter Contract</t>
  </si>
  <si>
    <t>Hunter Communications &amp; Technologies, LL</t>
  </si>
  <si>
    <t>Ziply - Corvallis 5517564-H4022 (FTTH)</t>
  </si>
  <si>
    <t>ATT - A02W4W9 - Jackson St Hayward</t>
  </si>
  <si>
    <t>VERIZON WA TRI GW</t>
  </si>
  <si>
    <t>NSC--CTCR Twin Lakes</t>
  </si>
  <si>
    <t>Colville Tribes - Twin Lakes FTTH</t>
  </si>
  <si>
    <t>ATT -  A051YFV - 7090 Cutting Blvd El Ce</t>
  </si>
  <si>
    <t>PGE-Wild Rose  Cable Relocation</t>
  </si>
  <si>
    <t>Lumen - El Camino Real CDT-0319</t>
  </si>
  <si>
    <t>ATT - Redwood City rod and rope</t>
  </si>
  <si>
    <t>Crown Castle-Fiber Issues Lake Oswego</t>
  </si>
  <si>
    <t>Astound - WA - Lewis River</t>
  </si>
  <si>
    <t>Sprint - 2024 Bay Area T&amp;E Rates</t>
  </si>
  <si>
    <t>Sprint - Cable install</t>
  </si>
  <si>
    <t>NSC--Wilsonville_Kin</t>
  </si>
  <si>
    <t>City of Sherwood-SW Scholls Ferry Rd</t>
  </si>
  <si>
    <t>Zayo - First Tech Credit Union ECO</t>
  </si>
  <si>
    <t>LS Networks-Cran 002</t>
  </si>
  <si>
    <t>VERIZON WA BRE MELINE</t>
  </si>
  <si>
    <t>Ziply - Hwy 530 WO 5519650</t>
  </si>
  <si>
    <t>ATT - Hayward rod and rope and dig</t>
  </si>
  <si>
    <t>1483072</t>
  </si>
  <si>
    <t>Zayo- Google Tie</t>
  </si>
  <si>
    <t>PGE-190th Vault Relocation</t>
  </si>
  <si>
    <t>ATT - A050NAK - Splicing</t>
  </si>
  <si>
    <t>Zayo - Dexter Ave N</t>
  </si>
  <si>
    <t>Ezee Fiber Texas - Mallard Creek Apts</t>
  </si>
  <si>
    <t>VERIZON WA FOURTH PLAIN</t>
  </si>
  <si>
    <t>2486019</t>
  </si>
  <si>
    <t>Astound - WA - Wave 603</t>
  </si>
  <si>
    <t>Pend Oreille Telecom, Inc. (C001077)</t>
  </si>
  <si>
    <t>NSC--J.O.#875-520466</t>
  </si>
  <si>
    <t>Pend Oreille-Ione to Metaline Aerial</t>
  </si>
  <si>
    <t>PGE-Walker Road ADSS Transfers</t>
  </si>
  <si>
    <t>Intermountain Infrastructure Group, LLC (C001607)</t>
  </si>
  <si>
    <t>NSC--IIG PO Jobs</t>
  </si>
  <si>
    <t>IIG-Quincy ADSS Aerial Work Restoration</t>
  </si>
  <si>
    <t>Beaver Creek Cooperative Telephone Company (C001416)</t>
  </si>
  <si>
    <t>BCT - Hourly Maintenance</t>
  </si>
  <si>
    <t>Siskiyou Telephone Company (C001526)</t>
  </si>
  <si>
    <t>JO #2020 438 305 (20</t>
  </si>
  <si>
    <t>Siskiyou Tel-Rattlesnake</t>
  </si>
  <si>
    <t>ATT - Berkeley dig</t>
  </si>
  <si>
    <t>VZ-Verizon Seattle Market (MSA)</t>
  </si>
  <si>
    <t>Align Communications, Inc. (C001626)</t>
  </si>
  <si>
    <t>2385014</t>
  </si>
  <si>
    <t>Align Communications, Inc</t>
  </si>
  <si>
    <t>ATT - A01VMCS - Redwood City Pole Transf</t>
  </si>
  <si>
    <t>Astound - WA Wave - Dalman</t>
  </si>
  <si>
    <t>NSC--2022LE000122- F</t>
  </si>
  <si>
    <t>Lumen-2022-2024 GPON OVERBUILD Seattle (</t>
  </si>
  <si>
    <t>City of Wilsonville - Fiber Case Audit</t>
  </si>
  <si>
    <t>Trimet - Columbia Bus Base</t>
  </si>
  <si>
    <t>1485179</t>
  </si>
  <si>
    <t>LS Networks-Freeway Bore</t>
  </si>
  <si>
    <t>Redline Design, Inc. (C001827)</t>
  </si>
  <si>
    <t>NSC--Redline - 813 P</t>
  </si>
  <si>
    <t>Redline - 813 Power Plant Rd Cabinet</t>
  </si>
  <si>
    <t>Siskiyou Small Bids</t>
  </si>
  <si>
    <t>Siskiyou-Remove 264 Vault</t>
  </si>
  <si>
    <t>VZ-Verizon Wa Tank Farm</t>
  </si>
  <si>
    <t>NoaNet Wireless - John Day</t>
  </si>
  <si>
    <t>Cogent Bridge 76 Final Reattach</t>
  </si>
  <si>
    <t>ATT - Danville Conduit and fiber placeme</t>
  </si>
  <si>
    <t>2486015</t>
  </si>
  <si>
    <t>Astound - WA Wave Cathlamet</t>
  </si>
  <si>
    <t>Ziply - RDMV I405 and 132ND MHs CONDUIT</t>
  </si>
  <si>
    <t>City of Portland-SW Capitol Hwy</t>
  </si>
  <si>
    <t>IIG-Chelan PUD Pole</t>
  </si>
  <si>
    <t>Scio - Lulay Culvert Bore</t>
  </si>
  <si>
    <t>NSC--Siskiyou Tel -</t>
  </si>
  <si>
    <t>Siskiyou Tel-West Horse Creek</t>
  </si>
  <si>
    <t>VERIZON WA LUNA GULCH</t>
  </si>
  <si>
    <t>VZ-Verizon Or Sundrop</t>
  </si>
  <si>
    <t>ATT - San Ramon Rod and Rope</t>
  </si>
  <si>
    <t>2486014</t>
  </si>
  <si>
    <t>Astound - WA Wave - Upper Brynion</t>
  </si>
  <si>
    <t>Cogent Bridge 116 Final Reattach</t>
  </si>
  <si>
    <t>LS Networks-Cran Site 10</t>
  </si>
  <si>
    <t>NSC--2022LE000008</t>
  </si>
  <si>
    <t>Lumen-Enterprise MSA Eastern WA</t>
  </si>
  <si>
    <t>TriMet - Hillsboro Splicing</t>
  </si>
  <si>
    <t>City of Sherwood-SW Boberg Rd</t>
  </si>
  <si>
    <t>ATT - A02WQZT - Newark</t>
  </si>
  <si>
    <t>Siskiyou Tel-Mugginsville</t>
  </si>
  <si>
    <t>Startouch, Inc. (C001355)</t>
  </si>
  <si>
    <t>NSC--StarTouch Short</t>
  </si>
  <si>
    <t>StarTouch</t>
  </si>
  <si>
    <t>Vertical Bridge-OR</t>
  </si>
  <si>
    <t>Astound - WA Wave - Lakewood HUB</t>
  </si>
  <si>
    <t>ATT - Hayward conduit placement</t>
  </si>
  <si>
    <t>NSC-- Mason PUD Smal</t>
  </si>
  <si>
    <t>Mason County PUD-Seal Rock Joint Bore</t>
  </si>
  <si>
    <t>Charter - Billings AT&amp;T</t>
  </si>
  <si>
    <t>NSC--2021LE000178</t>
  </si>
  <si>
    <t>Lumen-2022 GPON BF OVERBUILD Spokane (FT</t>
  </si>
  <si>
    <t>TriMet - Ruby Junction MPOP Fiber Run</t>
  </si>
  <si>
    <t>Ziply-AKRORX1-5518425-H3002</t>
  </si>
  <si>
    <t>Redline - Hwy 112 West Cabinet</t>
  </si>
  <si>
    <t>ATT - A02463N - Redwood City Pole Transf</t>
  </si>
  <si>
    <t>ATT-Douglas City Bridge</t>
  </si>
  <si>
    <t>Sprint-Cogent - Hutter Rd &amp; Seltice Wy</t>
  </si>
  <si>
    <t>2483002</t>
  </si>
  <si>
    <t>VZ-Verizon Wa Federal Way</t>
  </si>
  <si>
    <t>Wave-Astound WA-Camano Island Tower</t>
  </si>
  <si>
    <t>ATT - San Pablo Bore &amp; restoration</t>
  </si>
  <si>
    <t>T-Mobile-Eastern OR Market  2024-2025</t>
  </si>
  <si>
    <t>ATT - A050R4B - 1936 East Ave Hayward</t>
  </si>
  <si>
    <t>ATT-Spokane ECO</t>
  </si>
  <si>
    <t>Cascade Utilities, Inc (C000114)</t>
  </si>
  <si>
    <t>NSC-- WO#20241005 -</t>
  </si>
  <si>
    <t>Reliance Connects-Elkton RV Park</t>
  </si>
  <si>
    <t>TriMet - 11th &amp; Halladay</t>
  </si>
  <si>
    <t>Lumen-2022 GPON BF OVERBUILD-Seattle (FT</t>
  </si>
  <si>
    <t>Ziply - Hwy 530 WO 5513609</t>
  </si>
  <si>
    <t>NSC--WO#20241004 - C</t>
  </si>
  <si>
    <t>Casc-Reliance Con-20241004 Longview Vint</t>
  </si>
  <si>
    <t>ATT-C-Canal Bridge AT&amp;T</t>
  </si>
  <si>
    <t>Cablecom, LLC (IC2600)</t>
  </si>
  <si>
    <t>IC-CCI - Close-Out for 1F LA South</t>
  </si>
  <si>
    <t>Hood Canal Tel-BSR Design</t>
  </si>
  <si>
    <t>1483110</t>
  </si>
  <si>
    <t>Pend Oreille - Emergency Call out 2023</t>
  </si>
  <si>
    <t>NSC--2023LE000081 -</t>
  </si>
  <si>
    <t>Lumen-2023LE000081 Overbld Spokane FTTH</t>
  </si>
  <si>
    <t>NSC--2023LE000009 WA</t>
  </si>
  <si>
    <t>Lumen-2023 WA Consumer</t>
  </si>
  <si>
    <t>Lumen-2023 San Juans Consumer</t>
  </si>
  <si>
    <t>Mereo 89, LLC Cortesian Apts AZ</t>
  </si>
  <si>
    <t>CommPro Services, LLC - AL</t>
  </si>
  <si>
    <t>Niels Fugal Sons Company, LLC (IC3200)</t>
  </si>
  <si>
    <t>18130</t>
  </si>
  <si>
    <t>NFS - S&amp;S Electric-Conduit Install Idaho</t>
  </si>
  <si>
    <t>Grant Co PUD - Design Build</t>
  </si>
  <si>
    <t>Clark PUD - Jones Substation</t>
  </si>
  <si>
    <t>Lumen-2023LE000081 Fiber Overbuild</t>
  </si>
  <si>
    <t>NSC--2026LE000040 WA</t>
  </si>
  <si>
    <t>NSC--2026LE000035 NE</t>
  </si>
  <si>
    <t>ATT - Saratoga conduit placement</t>
  </si>
  <si>
    <t>ATT - San Leandro Dig</t>
  </si>
  <si>
    <t>ATT - Concord Conduit placement</t>
  </si>
  <si>
    <t>4052166</t>
  </si>
  <si>
    <t>ATT - Hayward trench conduit</t>
  </si>
  <si>
    <t>ATT - Oakland Hills trench</t>
  </si>
  <si>
    <t>Sprint - Livermore protect in place</t>
  </si>
  <si>
    <t>ATT - San Pablo Conduit placement</t>
  </si>
  <si>
    <t>AT&amp;T - Swedish Edmonds Campus</t>
  </si>
  <si>
    <t>NTS Communications-TX MSA</t>
  </si>
  <si>
    <t>CommPro Services, LLC - TN</t>
  </si>
  <si>
    <t>Lumen - COCAL MSA (2025-26)</t>
  </si>
  <si>
    <t>Ziply - ID FTTH (2024-27)</t>
  </si>
  <si>
    <t>Lumen-Enterprise MSA Western WA</t>
  </si>
  <si>
    <t>Ziply - ID Block (FTTH)</t>
  </si>
  <si>
    <t>GSU - FTR FTTH Elk Grove &amp; Manteca</t>
  </si>
  <si>
    <t>ATT - A051W9F - 2101 Kala Bagai Way</t>
  </si>
  <si>
    <t>ATT - Blossom Hill Rd - PO 06572536</t>
  </si>
  <si>
    <t>Point To Point Communications, Inc. (ICZ001)</t>
  </si>
  <si>
    <t>AWS - Reno Data Center - OSP ENG</t>
  </si>
  <si>
    <t>Ziply - MT NESC Program</t>
  </si>
  <si>
    <t>VERIZON OR COMBS FLAT</t>
  </si>
  <si>
    <t>NW Natural Gas (C000924)</t>
  </si>
  <si>
    <t>NSC--MSA 19-0014 NW</t>
  </si>
  <si>
    <t>NW Natural Gas</t>
  </si>
  <si>
    <t>CommPro Services, LLC (MS)</t>
  </si>
  <si>
    <t>Lumen - 7th and Townsend - San Francisco</t>
  </si>
  <si>
    <t>Surf Broadband Solutions-MI Installation</t>
  </si>
  <si>
    <t>CommPro Services, LLC (LA)</t>
  </si>
  <si>
    <t>ATT - Bozeman MT - Zoot Wy &amp; Norris Rd</t>
  </si>
  <si>
    <t>Surf Broadband Solutions (IN Installatio</t>
  </si>
  <si>
    <t>Sprint - South San Francisco Cable Cut</t>
  </si>
  <si>
    <t>Booth Network Consulting Services, Inc. (C001507)</t>
  </si>
  <si>
    <t>BNCSI - Pine Flat to Dam Aerial Feed</t>
  </si>
  <si>
    <t>Consolidated Communications - Natomas to</t>
  </si>
  <si>
    <t>2386021</t>
  </si>
  <si>
    <t>Astound - OR - Clatskanie</t>
  </si>
  <si>
    <t>NSC--Crown Rapid Con</t>
  </si>
  <si>
    <t>Crown Castle - OR</t>
  </si>
  <si>
    <t>Ziply - OR - MDU</t>
  </si>
  <si>
    <t>VZ-Verizon OR-Pendair</t>
  </si>
  <si>
    <t>VZ-Verizon Or Hillsboro</t>
  </si>
  <si>
    <t>LS Networks-Cran 006</t>
  </si>
  <si>
    <t>T-Mobile-Idaho Market</t>
  </si>
  <si>
    <t>Ziply - Hwy 530 WO 5520388</t>
  </si>
  <si>
    <t>T-MOBILE SP01237B</t>
  </si>
  <si>
    <t>Ziply - Hwy 530 WO 5513611</t>
  </si>
  <si>
    <t>Astound - WA Wave-Guild</t>
  </si>
  <si>
    <t>Ziply - Hwy 530 WO 5513608</t>
  </si>
  <si>
    <t>Wave-Astound WA-Laulainen</t>
  </si>
  <si>
    <t>VZ-Verizon Wa Keene Lake</t>
  </si>
  <si>
    <t>Crown Castle-WA</t>
  </si>
  <si>
    <t>VZ-WA (Continental)</t>
  </si>
  <si>
    <t>ATT-Cyr Bridge</t>
  </si>
  <si>
    <t>2056003</t>
  </si>
  <si>
    <t>Astound - CA - Penryn</t>
  </si>
  <si>
    <t>Spokane Tribe of Indians (C001523)</t>
  </si>
  <si>
    <t>NSC--Spokane Tribe W</t>
  </si>
  <si>
    <t>Spokane Tribe-MW WA</t>
  </si>
  <si>
    <t>Ziply - Hwy 530 WO 5513478 H4203</t>
  </si>
  <si>
    <t>2056000</t>
  </si>
  <si>
    <t>Astound - CA - Davis</t>
  </si>
  <si>
    <t>T-Mobile-Seattle Market  2024-2025</t>
  </si>
  <si>
    <t>Ziply - Hwy 530 WO 5513143 (FTTP PW)</t>
  </si>
  <si>
    <t>BNCSI - Lake Kaweah Wireless Antennas</t>
  </si>
  <si>
    <t>Spokane Tribe-Wellpinit Wireless</t>
  </si>
  <si>
    <t>LS Networks-USCC Centralia Alder Street</t>
  </si>
  <si>
    <t>NSC--20251007 Hancoc</t>
  </si>
  <si>
    <t>Reliance Connects - Hancock Mtn FTTP</t>
  </si>
  <si>
    <t>1485228</t>
  </si>
  <si>
    <t>LS Networks-1741 Harrison Ave</t>
  </si>
  <si>
    <t>NSC--20251008 Maupin</t>
  </si>
  <si>
    <t>Reliance Connects - Maupin House area FT</t>
  </si>
  <si>
    <t>LS Networks-CRAN 004</t>
  </si>
  <si>
    <t>2484119</t>
  </si>
  <si>
    <t>VERIZON WA WHISPERING FIRS</t>
  </si>
  <si>
    <t>T-Mobile-Portland Market  2024-2025</t>
  </si>
  <si>
    <t>Ponderosa-Timberview SLC</t>
  </si>
  <si>
    <t>Clear Creek OSP Phase 3-1</t>
  </si>
  <si>
    <t>Directlink - Molalla Forest Ped Removals</t>
  </si>
  <si>
    <t>Reliance Connects - Joe Hooker Area FTTP</t>
  </si>
  <si>
    <t>BCT - 23162 S Bluhm Rd</t>
  </si>
  <si>
    <t>Tri-Met - Green Line Splicing</t>
  </si>
  <si>
    <t>PGE - Glenoveer Substation</t>
  </si>
  <si>
    <t>Confed Tribes of the Warm Springs Res of Oregon (C001831)</t>
  </si>
  <si>
    <t>NSC--Warm Springs FT</t>
  </si>
  <si>
    <t>Warm Springs - Drops only</t>
  </si>
  <si>
    <t>PGE-SW Arrow Street</t>
  </si>
  <si>
    <t>Ponderosa-Meadow Ranch SLC</t>
  </si>
  <si>
    <t>Oregon Telephone Corporation, Inc. (C001208)</t>
  </si>
  <si>
    <t>NSC--Oregon Tel JO#2</t>
  </si>
  <si>
    <t>1056165</t>
  </si>
  <si>
    <t>Lumen - Winton to Chowchilla - Splicing</t>
  </si>
  <si>
    <t>Ponderosa-Windwood &amp; Silver Pine FTTH</t>
  </si>
  <si>
    <t>City of Wilsonville - SW Tooze Ave</t>
  </si>
  <si>
    <t>1056163</t>
  </si>
  <si>
    <t>Lumen - Bakersfield to Delano - Splicing</t>
  </si>
  <si>
    <t>PGE-TSR Lid Adjustment</t>
  </si>
  <si>
    <t>Western Independent Networks, Inc. (C001808)</t>
  </si>
  <si>
    <t>WIN - Make Ready 08072025</t>
  </si>
  <si>
    <t>Socket Telecom, LLC (C001781)</t>
  </si>
  <si>
    <t>NSC--Socket MCA 06.1</t>
  </si>
  <si>
    <t>Crown Castle - Network West Area Pricing</t>
  </si>
  <si>
    <t>1056160</t>
  </si>
  <si>
    <t>ATT - N Highlands IRF 42-00006-25</t>
  </si>
  <si>
    <t>WIN - 8980 NE Saint Paul Hwy</t>
  </si>
  <si>
    <t>ATT - A050Z6H - Foster City</t>
  </si>
  <si>
    <t>NSC--Pioneer Connect</t>
  </si>
  <si>
    <t>Ponderosa-Wishon Phase 1</t>
  </si>
  <si>
    <t>ATT - A05246A - Various - El Cerrito</t>
  </si>
  <si>
    <t>ATT - A055JAH - Half Moon Bay</t>
  </si>
  <si>
    <t>Ziply - MT FTTP SSP (Rob)</t>
  </si>
  <si>
    <t>Crown Castle - ID</t>
  </si>
  <si>
    <t>Sprint-Bridge 76 Relo</t>
  </si>
  <si>
    <t>NSC--Siskiyou Tel JO</t>
  </si>
  <si>
    <t>VZ-Verizon ID Harvard</t>
  </si>
  <si>
    <t>Ziply - WA BAU SSP (legacy)</t>
  </si>
  <si>
    <t>VZ-Verizon ID Coolin</t>
  </si>
  <si>
    <t>Ubiquity Services LLC-Centennial Patio</t>
  </si>
  <si>
    <t>City of Hillsboro (C001803)</t>
  </si>
  <si>
    <t>NSC--Hillsboro Cont.</t>
  </si>
  <si>
    <t>City of Hillsboro - HiLight Network MSA</t>
  </si>
  <si>
    <t>NSC--Central Canby P</t>
  </si>
  <si>
    <t>Canby-Directlink-S Pine St</t>
  </si>
  <si>
    <t>Trimet-OMP Fiber Build</t>
  </si>
  <si>
    <t>PGE-Main Sub Tap</t>
  </si>
  <si>
    <t>Sprint-Cogent -Foothill Rd Fiber Relocat</t>
  </si>
  <si>
    <t>VZ-OR (Hannah Bridge MW)</t>
  </si>
  <si>
    <t>VERIZON OR SHUTE</t>
  </si>
  <si>
    <t>IIG-Soap Lake Rd 20-2383</t>
  </si>
  <si>
    <t>Frontier - Maint SSP Selma (2022-25)</t>
  </si>
  <si>
    <t>American Tower Corporation (C000023)</t>
  </si>
  <si>
    <t>NSC--MCA 06.06.18 Di</t>
  </si>
  <si>
    <t>American Tower Corporation-WA</t>
  </si>
  <si>
    <t>Ziply - Goldbar - 6012769</t>
  </si>
  <si>
    <t>Lumen-P209365 SVC Drop relocation job</t>
  </si>
  <si>
    <t>Hood Canal Tel-Brinnon OLT</t>
  </si>
  <si>
    <t>Ziply - Olympia 5521545-2 (FTTH)</t>
  </si>
  <si>
    <t>Rainier Asphalt Sealing, LLC (C001571)</t>
  </si>
  <si>
    <t>NSC--SW Proposal - R</t>
  </si>
  <si>
    <t>Rainier Asphalt-515 3rd Ave</t>
  </si>
  <si>
    <t>Ziply - Goldbar - 6012766</t>
  </si>
  <si>
    <t>T-Mobile-Idaho Market 2024-2025</t>
  </si>
  <si>
    <t>NSC--Wilsonvile Cont</t>
  </si>
  <si>
    <t>City of Wilsonville-Memorial Park Projct</t>
  </si>
  <si>
    <t>Ziply - Softscape FTTP Springfield S201</t>
  </si>
  <si>
    <t>AT&amp;T - Foster Rd</t>
  </si>
  <si>
    <t>PGE-Blue Lake Sub Vault Install</t>
  </si>
  <si>
    <t>Ziply - Goldbar - 6012765</t>
  </si>
  <si>
    <t>Ziply - OR FTTP MSA (Justin)</t>
  </si>
  <si>
    <t>Trimet-9499 SW Barber St</t>
  </si>
  <si>
    <t>Crown Castle-NW Skyline Blvd</t>
  </si>
  <si>
    <t>Verizon - Boston Harbor</t>
  </si>
  <si>
    <t>Ziply - Granite Falls - 6012771</t>
  </si>
  <si>
    <t>VERIZON WA DEEP CREEK</t>
  </si>
  <si>
    <t>2483001</t>
  </si>
  <si>
    <t>VERIZON WA TAC DREXLER</t>
  </si>
  <si>
    <t>T-MOBILE SP01533A</t>
  </si>
  <si>
    <t>T-Mobile-Seattle Market</t>
  </si>
  <si>
    <t>Public Utility District No. 1 of Jefferson County (C001536)</t>
  </si>
  <si>
    <t>NSC--Jefferson PUD O</t>
  </si>
  <si>
    <t>T-MOBILE Spokane Market</t>
  </si>
  <si>
    <t>ATT - A05246A - 7090 Cutting Blvd Richmo</t>
  </si>
  <si>
    <t>Ziply - Granite Falls - 6012767</t>
  </si>
  <si>
    <t>ATT - A050HNP - Crestfield Dr Castro Val</t>
  </si>
  <si>
    <t>LS Networks-Cran 011</t>
  </si>
  <si>
    <t>ATT - A055ZJ0 - 24239 Hesperian Blvd Hay</t>
  </si>
  <si>
    <t>ATT - A02W52K - 777 B St Hayward</t>
  </si>
  <si>
    <t>Ziply - Granite Falls - 6012772</t>
  </si>
  <si>
    <t>Pauley Construction, LLC (IC4700)</t>
  </si>
  <si>
    <t>IC-PAU-VZ-Close-Out for 1F Phoenix</t>
  </si>
  <si>
    <t>Sprint-Foothill MH Raise</t>
  </si>
  <si>
    <t>Casc-Reliance Con-20241005 Ash Valley</t>
  </si>
  <si>
    <t>Ziply-BAKRORX1-5518429-H4002 (FTTH)</t>
  </si>
  <si>
    <t>Ziply - Granite Falls - 6011884</t>
  </si>
  <si>
    <t>Ziply-BAKRORX1-5518428-H4001</t>
  </si>
  <si>
    <t>NSC-- DirectLink - W</t>
  </si>
  <si>
    <t>DirectLink - Haines Rd Hwy 99E Ph II</t>
  </si>
  <si>
    <t>Clear Creek-FTTH P1 Project</t>
  </si>
  <si>
    <t>1486140</t>
  </si>
  <si>
    <t>Lumen-Western Washington Maintenance</t>
  </si>
  <si>
    <t>IIG - Quincy Repair - PO 2759</t>
  </si>
  <si>
    <t>IIG - PO 2665, Stark to Industrial build</t>
  </si>
  <si>
    <t>Ziply - Eastern WA FTTP MSA</t>
  </si>
  <si>
    <t>NSC--Siskiyou OSP Ma</t>
  </si>
  <si>
    <t>City of Portland-Splicing Maintenance 31</t>
  </si>
  <si>
    <t>City of Vancouver (C001527)</t>
  </si>
  <si>
    <t>NSC-Vancouver PO 663</t>
  </si>
  <si>
    <t>City of Vancouver-Aerial Fiber Removal</t>
  </si>
  <si>
    <t>City of Sherwood - ARPA Expansion</t>
  </si>
  <si>
    <t>PGE - Huber to St Marys</t>
  </si>
  <si>
    <t>Zayo - Maintenance</t>
  </si>
  <si>
    <t>PGE - Pleasant Valley to Gresham</t>
  </si>
  <si>
    <t>NSC--ITB 2023-2 ELEC</t>
  </si>
  <si>
    <t>Pacific PUD-ITB 2023-2 Electrical</t>
  </si>
  <si>
    <t>Trimet - PSQ Substation</t>
  </si>
  <si>
    <t>NSC--J.O. #2003.23.0</t>
  </si>
  <si>
    <t>Oregon Tel - Seneca to John Day Phase 3</t>
  </si>
  <si>
    <t>Succeed, Inc. (C002069)</t>
  </si>
  <si>
    <t>Trimet - Wilsonville Fiber placement</t>
  </si>
  <si>
    <t>PGE - TSR Ph2 Poles</t>
  </si>
  <si>
    <t>PGE-Rose Quarter Improvement Services</t>
  </si>
  <si>
    <t>1385121</t>
  </si>
  <si>
    <t>Trimet - 5th  and Morrison</t>
  </si>
  <si>
    <t>Astound - Wave-Newport FTTH</t>
  </si>
  <si>
    <t>NSC--Oregon Tel/ Ral</t>
  </si>
  <si>
    <t>Oregon Tel - Mega Loads</t>
  </si>
  <si>
    <t>NSC--NW Fiber SOW #2</t>
  </si>
  <si>
    <t>Ziply - Springfield-5518350-H3208 (FTTH)</t>
  </si>
  <si>
    <t>1383014</t>
  </si>
  <si>
    <t>Wave - Lincoln to Sylvan</t>
  </si>
  <si>
    <t>1384210</t>
  </si>
  <si>
    <t>City of Wilsonville - Fiber Vault Audit</t>
  </si>
  <si>
    <t>Crown Castle-701 Dexter Ave N Rule 20C</t>
  </si>
  <si>
    <t>Trimet - Ruby Expansion Aerial Fiber Pro</t>
  </si>
  <si>
    <t>Ezee Fiber - Azulejo Apartments</t>
  </si>
  <si>
    <t>NSC--ITB 2023-2 FIBE</t>
  </si>
  <si>
    <t>Pacific PUD-ITB 2023-2 Fiber</t>
  </si>
  <si>
    <t>Ziply - Tri-Cities WA Block (FTTH)</t>
  </si>
  <si>
    <t>City of Sherwood - Wilsonville permittin</t>
  </si>
  <si>
    <t>NSC--COP Aerial Main</t>
  </si>
  <si>
    <t>City of Portland - Aerial Maint &amp; Repair</t>
  </si>
  <si>
    <t>1382035</t>
  </si>
  <si>
    <t>Zayo - Multnomah ESD</t>
  </si>
  <si>
    <t>Frontier - Hwy 172 to Mill Crk Re (Fire)</t>
  </si>
  <si>
    <t>1388072</t>
  </si>
  <si>
    <t>Qlife - 2018 Splicing and Aerial Mainten</t>
  </si>
  <si>
    <t>NSC--Job#--- Agmt #3</t>
  </si>
  <si>
    <t>City of Portland-Maintenance and Repair</t>
  </si>
  <si>
    <t>Windstream - Tukwila to Seattle Splicing</t>
  </si>
  <si>
    <t>Frontier - Middle Mile Segment (Fire)</t>
  </si>
  <si>
    <t>Ziply - Cheney FTTP Bid</t>
  </si>
  <si>
    <t>Scio Tel-Hourly Rate Projects</t>
  </si>
  <si>
    <t>1056191</t>
  </si>
  <si>
    <t>ATT - Blossom Hill</t>
  </si>
  <si>
    <t>Lumen - Park Ave CDT-0667</t>
  </si>
  <si>
    <t>DirectLink - Hourly Work</t>
  </si>
  <si>
    <t>NSC--2023-12 FTTH -</t>
  </si>
  <si>
    <t>Port of Woodland-2023-12 Ariel to Cougar</t>
  </si>
  <si>
    <t>Ubiquity Services LLC-Lakeside Apartment</t>
  </si>
  <si>
    <t>C-2 Utility Contractors, LLC (IC3100)</t>
  </si>
  <si>
    <t>C80</t>
  </si>
  <si>
    <t>2023LE00080- Fiber Overbuild</t>
  </si>
  <si>
    <t>NSC--Volcano OXBO#1</t>
  </si>
  <si>
    <t>Ezee Fiber Texas-Venetian Apts</t>
  </si>
  <si>
    <t>Sprint - Man Hole Zero to Modular</t>
  </si>
  <si>
    <t>ATT - A01V1LZ - Palo Alto Pole Transfers</t>
  </si>
  <si>
    <t>City of Oregon City-PGE Fiber Maintenanc</t>
  </si>
  <si>
    <t>Ziply - Goldbar - 6012770</t>
  </si>
  <si>
    <t>Astound - WA - Drone Work</t>
  </si>
  <si>
    <t>ATT - A02WAXR - Castro Valley</t>
  </si>
  <si>
    <t>Public Utility District No. 1 of Douglas County (C001477)</t>
  </si>
  <si>
    <t>NSC--Douglas PUD Uni</t>
  </si>
  <si>
    <t>Douglas PUD-FOC and Cable Install</t>
  </si>
  <si>
    <t>Pioneer-South Beach Fiber Install</t>
  </si>
  <si>
    <t>Ezee Fiber Texas - Parkside Grand Apts</t>
  </si>
  <si>
    <t>Canby-DirectLink-Carus Peds</t>
  </si>
  <si>
    <t>Star Touch-(ID)</t>
  </si>
  <si>
    <t>Verizon Business - 90153R - 1980 Kleppe</t>
  </si>
  <si>
    <t>Lumen - Bakersfield to Delano II - Splic</t>
  </si>
  <si>
    <t>Mereo 89, LLC Visconti Apts AZ</t>
  </si>
  <si>
    <t>Crown Castle - Oregon</t>
  </si>
  <si>
    <t>Inland Cellular WA</t>
  </si>
  <si>
    <t>NTS Communications-MDU Amarillo Lubbock</t>
  </si>
  <si>
    <t>DISH Purchasing Corporation (C000936)</t>
  </si>
  <si>
    <t>NSC--DSA 02.12.21</t>
  </si>
  <si>
    <t>Dish Purchasing Corporation (ID)</t>
  </si>
  <si>
    <t>1484180</t>
  </si>
  <si>
    <t>RTI - Deadend Triangle Rd</t>
  </si>
  <si>
    <t>Trimet - PSQ 6th</t>
  </si>
  <si>
    <t>Globenet Telecommunications, LLC (C001397)</t>
  </si>
  <si>
    <t>NSC--Globenet Wirele</t>
  </si>
  <si>
    <t>Globenet USA Telecommunications-WA</t>
  </si>
  <si>
    <t>City of Wilsonville-5th to Kinsman</t>
  </si>
  <si>
    <t>Comcast Cable Communications Management, LLC (C000201)</t>
  </si>
  <si>
    <t>NSC--Comcast - Small</t>
  </si>
  <si>
    <t>Comcast-SR-529 Vault &amp;Conduit Relocation</t>
  </si>
  <si>
    <t>IIG- PO 2464 South River Malaga</t>
  </si>
  <si>
    <t>Cogent-14428 Meyers Rd</t>
  </si>
  <si>
    <t>Ziply - Corvallis 5517569-H4027 (FTTH)</t>
  </si>
  <si>
    <t>IC-CCI-San Mateo Old County Rd Pole Repl</t>
  </si>
  <si>
    <t>REVN</t>
  </si>
  <si>
    <t>COER</t>
  </si>
  <si>
    <t>D&amp;A</t>
  </si>
  <si>
    <t>G&amp;A</t>
  </si>
  <si>
    <t>Total Expense</t>
  </si>
  <si>
    <t>Contract</t>
  </si>
  <si>
    <t>Total Revenue</t>
  </si>
  <si>
    <t>Paste into orange cell</t>
  </si>
  <si>
    <t>1384185</t>
  </si>
  <si>
    <t>PCA</t>
  </si>
  <si>
    <t>PCB</t>
  </si>
  <si>
    <t>PCC</t>
  </si>
  <si>
    <t>Unallocated Operations Overhead</t>
  </si>
  <si>
    <t>Posted G&amp;A Expense</t>
  </si>
  <si>
    <t>Total G&amp;A</t>
  </si>
  <si>
    <t>Unbilled (WIP)</t>
  </si>
  <si>
    <t>SAP Conract</t>
  </si>
  <si>
    <t>Project Description</t>
  </si>
  <si>
    <t>Profit Center</t>
  </si>
  <si>
    <t>PC8 - Washington (Kotulan)</t>
  </si>
  <si>
    <t>PCA - Wireless (Shaffer)</t>
  </si>
  <si>
    <t>PC12 - CA Bay Area (Mullins)</t>
  </si>
  <si>
    <t>PC16 - CA South Valley  (Cox)</t>
  </si>
  <si>
    <t xml:space="preserve">ATT - A057WYA - San Rafael </t>
  </si>
  <si>
    <t>PC13 - CA South Bay (Birdsall)</t>
  </si>
  <si>
    <t>N/A</t>
  </si>
  <si>
    <t>ATT - A059A8D - Gusanillo Wy</t>
  </si>
  <si>
    <t>PCC - Struct Wiring TX (Johnson)</t>
  </si>
  <si>
    <t>PC14 - CA North Valley (Haskins)</t>
  </si>
  <si>
    <t>PC15 - CA Central Valley (Weston)</t>
  </si>
  <si>
    <t>PC9 - West WA/OR (Forte)</t>
  </si>
  <si>
    <t>PC6 - Idaho/Spokane (former)</t>
  </si>
  <si>
    <t xml:space="preserve">Mereo 89, LLC Glenn Apts AZ </t>
  </si>
  <si>
    <t>PC5 - Oregon Bid (Palmer J.)</t>
  </si>
  <si>
    <t>PC10 - California (Patten)</t>
  </si>
  <si>
    <t>PC3 - Stayton/Peoples (Doran)</t>
  </si>
  <si>
    <t>PC7 - Central WA (Boutain)</t>
  </si>
  <si>
    <t>PC1 - Oregon (Palmer A.)</t>
  </si>
  <si>
    <t>PC2 - Aerial (Wheeler)</t>
  </si>
  <si>
    <t>PC11 - Ziply Softsc (former)</t>
  </si>
  <si>
    <t>1485136</t>
  </si>
  <si>
    <t>Lumen - Nevada CoCal (2025-26)</t>
  </si>
  <si>
    <t>City of Sherwood - Parrett Mountain &amp; Kruger Rd</t>
  </si>
  <si>
    <t>Pioneer - 2026 Hourly Maintenance</t>
  </si>
  <si>
    <t>Ezee - Vista Energy Corridor</t>
  </si>
  <si>
    <t/>
  </si>
  <si>
    <t>Region 1 - Lumen</t>
  </si>
  <si>
    <t>Total Region 1 - Lumen</t>
  </si>
  <si>
    <t>ATT - A05CD07 FTTH - Los Banos</t>
  </si>
  <si>
    <t xml:space="preserve">Colville Tribes - Twin Lakes FTTH </t>
  </si>
  <si>
    <t xml:space="preserve">CommPro Services, LLC - IN </t>
  </si>
  <si>
    <t xml:space="preserve">Google Fiber FTTH Installations </t>
  </si>
  <si>
    <t xml:space="preserve">Ziply - Hwy 530 WO 5519650 </t>
  </si>
  <si>
    <t>JTD Revenue</t>
  </si>
  <si>
    <t>JTD Adj Revenue</t>
  </si>
  <si>
    <t>JTD Costs</t>
  </si>
  <si>
    <t>JTD Adj Costs</t>
  </si>
  <si>
    <t>JTD Cost</t>
  </si>
  <si>
    <t xml:space="preserve">AWS - Reno Data Center - OSP ENG </t>
  </si>
  <si>
    <t>Texstar - Pole Placement / Pole Removal</t>
  </si>
  <si>
    <t>Reliance Connects - Shepherds Ranch</t>
  </si>
  <si>
    <t>Lumen - Joint Relo S Cloverdale Rd</t>
  </si>
  <si>
    <t>Ezee - 7979 Westheimer</t>
  </si>
  <si>
    <t>Zayo - South Cloverdale Rd and Confer Rd</t>
  </si>
  <si>
    <t xml:space="preserve">Frontier - Middle Mile Segment (Fire) </t>
  </si>
  <si>
    <t>JTD Margin</t>
  </si>
  <si>
    <t>JTD Margin %</t>
  </si>
  <si>
    <t xml:space="preserve">Ubiquity Services-Retreat at City Center </t>
  </si>
  <si>
    <t>VZ- Verizon 2026</t>
  </si>
  <si>
    <t xml:space="preserve">Ziply - Granite Falls - 6012771 </t>
  </si>
  <si>
    <t>Lumen - CDT-0302 - Monterey Rd</t>
  </si>
  <si>
    <t>ATT - A0580A6 - Tehachapi</t>
  </si>
  <si>
    <t>ATT - A059EQC - Alameda</t>
  </si>
  <si>
    <t>ATT - Blossom Hill Rd - HH Placement</t>
  </si>
  <si>
    <t>Reliance Connects - Mehl Creek Rd</t>
  </si>
  <si>
    <t>ATT - A058LPX - Salinas</t>
  </si>
  <si>
    <t xml:space="preserve">DirectLink - Hourly Work </t>
  </si>
  <si>
    <t>Ezee - Casa Paz</t>
  </si>
  <si>
    <t>Ezee - Ridgepointe Apartments</t>
  </si>
  <si>
    <t xml:space="preserve">Scio Tel-Hourly Rate Projects </t>
  </si>
  <si>
    <t>`</t>
  </si>
  <si>
    <t>Siskiyou Tel-  OSP Maintenance 2026-2027</t>
  </si>
  <si>
    <t>VZ - Timbers</t>
  </si>
  <si>
    <t xml:space="preserve">Arcadian - Redwood Segment 5-1 </t>
  </si>
  <si>
    <t>Ezee - Eden Point</t>
  </si>
  <si>
    <t>Ezee - Summercrest Apartments</t>
  </si>
  <si>
    <t>Lumen - CDT-0655 - 180 Spears St</t>
  </si>
  <si>
    <t>ATT - Joint Pole Bundle - Tehachapi</t>
  </si>
  <si>
    <t>Cogent - Chumstick Hwy - Pothole</t>
  </si>
  <si>
    <t>ATT - A05BEYM - Fernley</t>
  </si>
  <si>
    <t>Unwired Broadband - 2024 T&amp;E Rates</t>
  </si>
  <si>
    <t>MOX - South Cloverdale Rd and Confer Rd</t>
  </si>
  <si>
    <t>Direct Labor Hours</t>
  </si>
  <si>
    <t>MTD Revenue Amt</t>
  </si>
  <si>
    <t>MTD Hours</t>
  </si>
  <si>
    <t>MTD PROD</t>
  </si>
  <si>
    <t>MTD Direct Labor Cost</t>
  </si>
  <si>
    <t>MTD Direct Labor Cost Per Hour</t>
  </si>
  <si>
    <t>MTD Cost/Revenue Ratio</t>
  </si>
  <si>
    <t>QTD Revenue Amt</t>
  </si>
  <si>
    <t>QTD Hours</t>
  </si>
  <si>
    <t>QTD PROD</t>
  </si>
  <si>
    <t>QTD Direct Labor Cost</t>
  </si>
  <si>
    <t>QTD Direct Labor Cost Per Hour</t>
  </si>
  <si>
    <t>QTD Cost/Revenue Ratio</t>
  </si>
  <si>
    <t>YTD Revenue Amt</t>
  </si>
  <si>
    <t>YTD Hours</t>
  </si>
  <si>
    <t>YTD PROD</t>
  </si>
  <si>
    <t>YTD Direct Labor Cost</t>
  </si>
  <si>
    <t>YTD Direct Labor Cost Per Hour</t>
  </si>
  <si>
    <t>YTD Cost/Revenue Ratio</t>
  </si>
  <si>
    <t>177.14255307827383</t>
  </si>
  <si>
    <t>35.33097429894109</t>
  </si>
  <si>
    <t>0.1994493908153702</t>
  </si>
  <si>
    <t>222.91168613906802</t>
  </si>
  <si>
    <t>38.892636464207655</t>
  </si>
  <si>
    <t>0.17447553844235733</t>
  </si>
  <si>
    <t>124.17955488494907</t>
  </si>
  <si>
    <t>23.068577895133913</t>
  </si>
  <si>
    <t>0.18576792223572297</t>
  </si>
  <si>
    <t>48.72207084468665</t>
  </si>
  <si>
    <t>47.211601129698025</t>
  </si>
  <si>
    <t>154.2364810330912</t>
  </si>
  <si>
    <t>37.509550712940545</t>
  </si>
  <si>
    <t>0.24319506294294232</t>
  </si>
  <si>
    <t>38.24224157177942</t>
  </si>
  <si>
    <t>32.81075750894213</t>
  </si>
  <si>
    <t>2364.9646017699115</t>
  </si>
  <si>
    <t>0.010570982745910994</t>
  </si>
  <si>
    <t>369.7080854515955</t>
  </si>
  <si>
    <t>46.46254732287723</t>
  </si>
  <si>
    <t>0.12567360344884965</t>
  </si>
  <si>
    <t>29.453054850673432</t>
  </si>
  <si>
    <t>0.041467112645342245</t>
  </si>
  <si>
    <t>105.04320601127114</t>
  </si>
  <si>
    <t>36.013775829680654</t>
  </si>
  <si>
    <t>0.3428472644467494</t>
  </si>
  <si>
    <t>146.72661870503597</t>
  </si>
  <si>
    <t>35.84298561151079</t>
  </si>
  <si>
    <t>0.24428413826918363</t>
  </si>
  <si>
    <t>116.6831557134399</t>
  </si>
  <si>
    <t>27.585731201894614</t>
  </si>
  <si>
    <t>0.23641571084726162</t>
  </si>
  <si>
    <t>22.554270833333334</t>
  </si>
  <si>
    <t>24.480152256661228</t>
  </si>
  <si>
    <t>32.31223455267845</t>
  </si>
  <si>
    <t>44.87087272229073</t>
  </si>
  <si>
    <t>1.388665109159752</t>
  </si>
  <si>
    <t>31.502192885305455</t>
  </si>
  <si>
    <t>201.01956719858472</t>
  </si>
  <si>
    <t>31.29157806329408</t>
  </si>
  <si>
    <t>0.1556643390460667</t>
  </si>
  <si>
    <t>25.17414794958459</t>
  </si>
  <si>
    <t>119.19859649122807</t>
  </si>
  <si>
    <t>33.901988304093564</t>
  </si>
  <si>
    <t>29.230932010557932</t>
  </si>
  <si>
    <t>232.53149276921238</t>
  </si>
  <si>
    <t>31.94705390223497</t>
  </si>
  <si>
    <t>0.1373880738551936</t>
  </si>
  <si>
    <t>40.37540075779656</t>
  </si>
  <si>
    <t>42.300908210778665</t>
  </si>
  <si>
    <t>266.9998684729712</t>
  </si>
  <si>
    <t>33.79245034854662</t>
  </si>
  <si>
    <t>0.12656354679802956</t>
  </si>
  <si>
    <t>142.42712302784722</t>
  </si>
  <si>
    <t>0.22152645119691006</t>
  </si>
  <si>
    <t>207.61657559198542</t>
  </si>
  <si>
    <t>65.45901639344262</t>
  </si>
  <si>
    <t>0.31528800726433676</t>
  </si>
  <si>
    <t>253.6605669178328</t>
  </si>
  <si>
    <t>0.1434114338738698</t>
  </si>
  <si>
    <t>128.82552864819596</t>
  </si>
  <si>
    <t>42.66386349361435</t>
  </si>
  <si>
    <t>0.3311755359461651</t>
  </si>
  <si>
    <t>29.588277137572913</t>
  </si>
  <si>
    <t>26.500531914893617</t>
  </si>
  <si>
    <t>27.324720893141947</t>
  </si>
  <si>
    <t>27.350416561474375</t>
  </si>
  <si>
    <t>38.18902777777778</t>
  </si>
  <si>
    <t>29.542857142857144</t>
  </si>
  <si>
    <t>26.188029623299865</t>
  </si>
  <si>
    <t>27.980882974228983</t>
  </si>
  <si>
    <t>53.29122147473948</t>
  </si>
  <si>
    <t>21.966759002770083</t>
  </si>
  <si>
    <t>0.41220220507016386</t>
  </si>
  <si>
    <t>38.62424127465857</t>
  </si>
  <si>
    <t>93.53893703061814</t>
  </si>
  <si>
    <t>24.060831889081456</t>
  </si>
  <si>
    <t>0.25722798069862196</t>
  </si>
  <si>
    <t>60.593171665603066</t>
  </si>
  <si>
    <t>48.56991294885746</t>
  </si>
  <si>
    <t>39.95440515036599</t>
  </si>
  <si>
    <t>81.88981930222256</t>
  </si>
  <si>
    <t>43.53984275254697</t>
  </si>
  <si>
    <t>0.5316881038882113</t>
  </si>
  <si>
    <t>768.7723480333731</t>
  </si>
  <si>
    <t>24.359952324195472</t>
  </si>
  <si>
    <t>270.0979653353429</t>
  </si>
  <si>
    <t>31.668330821401657</t>
  </si>
  <si>
    <t>0.11724757268009597</t>
  </si>
  <si>
    <t>46.77956755187926</t>
  </si>
  <si>
    <t>252.28785261945885</t>
  </si>
  <si>
    <t>37.52964881980426</t>
  </si>
  <si>
    <t>0.1487572565628537</t>
  </si>
  <si>
    <t>173.29758620689654</t>
  </si>
  <si>
    <t>30.162758620689655</t>
  </si>
  <si>
    <t>0.17405181041978818</t>
  </si>
  <si>
    <t>79.46255099036965</t>
  </si>
  <si>
    <t>25.128264435005676</t>
  </si>
  <si>
    <t>0.3162277591371445</t>
  </si>
  <si>
    <t>34.45289079229122</t>
  </si>
  <si>
    <t>28.970056567344496</t>
  </si>
  <si>
    <t>36.30167597765363</t>
  </si>
  <si>
    <t>29.34684923834472</t>
  </si>
  <si>
    <t>315.95032902888295</t>
  </si>
  <si>
    <t>42.88457831988766</t>
  </si>
  <si>
    <t>0.13573202614379085</t>
  </si>
  <si>
    <t>39.65015479876161</t>
  </si>
  <si>
    <t>32.77665876777251</t>
  </si>
  <si>
    <t>685.9173076923076</t>
  </si>
  <si>
    <t>72.88782051282051</t>
  </si>
  <si>
    <t>0.10626327648451307</t>
  </si>
  <si>
    <t>102.40155489389858</t>
  </si>
  <si>
    <t>32.96871307717756</t>
  </si>
  <si>
    <t>621.8606682681808</t>
  </si>
  <si>
    <t>0.11525689201053556</t>
  </si>
  <si>
    <t>104.74363082839288</t>
  </si>
  <si>
    <t>0.4141189450899106</t>
  </si>
  <si>
    <t>27.319013145361023</t>
  </si>
  <si>
    <t>27.508458422682867</t>
  </si>
  <si>
    <t>86.66137911729028</t>
  </si>
  <si>
    <t>23.684519921619856</t>
  </si>
  <si>
    <t>0.27329959623149397</t>
  </si>
  <si>
    <t>31.61304836895388</t>
  </si>
  <si>
    <t>145.96638155448122</t>
  </si>
  <si>
    <t>27.867534399404985</t>
  </si>
  <si>
    <t>0.1909174845784854</t>
  </si>
  <si>
    <t>26.699029126213592</t>
  </si>
  <si>
    <t>42.78390703147985</t>
  </si>
  <si>
    <t>1.6024517906336089</t>
  </si>
  <si>
    <t>48.670548236294096</t>
  </si>
  <si>
    <t>44.77618713332999</t>
  </si>
  <si>
    <t>363.83561643835617</t>
  </si>
  <si>
    <t>136.1821917808219</t>
  </si>
  <si>
    <t>0.37429593373493975</t>
  </si>
  <si>
    <t>25.413860738803532</t>
  </si>
  <si>
    <t>27.573464628142005</t>
  </si>
  <si>
    <t>27.21298681618427</t>
  </si>
  <si>
    <t>51.40120210368144</t>
  </si>
  <si>
    <t>0.4863699481107944</t>
  </si>
  <si>
    <t>34.04244887426618</t>
  </si>
  <si>
    <t>35.67111272297443</t>
  </si>
  <si>
    <t>47.28243398392652</t>
  </si>
  <si>
    <t>39.962612541688735</t>
  </si>
  <si>
    <t>36.97774480712166</t>
  </si>
  <si>
    <t>City of Wilsonville - Town Center Park</t>
  </si>
  <si>
    <t>Directlink - Data Center Fiber</t>
  </si>
  <si>
    <t xml:space="preserve">NSC--Colville Reservation Maint. Cont. </t>
  </si>
  <si>
    <t>T-Mobile-Idaho Market 2026</t>
  </si>
  <si>
    <t>T-Mobile-Eastern OR Market 2026</t>
  </si>
  <si>
    <t>T-Mobile-Portland Market 2026</t>
  </si>
  <si>
    <t>T-Mobile-Spokane Market 2026</t>
  </si>
  <si>
    <t>ODOT - Adel Safety Climb</t>
  </si>
  <si>
    <t>ATT - A05AVJF - Stead</t>
  </si>
  <si>
    <t>31.514384457313657</t>
  </si>
  <si>
    <t>171537.14285714287</t>
  </si>
  <si>
    <t>25.571428571428573</t>
  </si>
  <si>
    <t>538.4749679075738</t>
  </si>
  <si>
    <t>31.26059050064185</t>
  </si>
  <si>
    <t>45.56570599963749</t>
  </si>
  <si>
    <t>0.5372494888339049</t>
  </si>
  <si>
    <t>33.07167855402472</t>
  </si>
  <si>
    <t>0.9525429086958677</t>
  </si>
  <si>
    <t>4.626724626724627</t>
  </si>
  <si>
    <t>28.895156590799353</t>
  </si>
  <si>
    <t>1.1478107083769709</t>
  </si>
  <si>
    <t>28.34043583535109</t>
  </si>
  <si>
    <t>118.85067479320853</t>
  </si>
  <si>
    <t>0.3935995115995116</t>
  </si>
  <si>
    <t>918.9555680539933</t>
  </si>
  <si>
    <t>32.64513387165321</t>
  </si>
  <si>
    <t>86.66799127513413</t>
  </si>
  <si>
    <t>0.5166404167737612</t>
  </si>
  <si>
    <t xml:space="preserve"> June Prelim Forecast Division 2</t>
  </si>
  <si>
    <t xml:space="preserve"> June Prelim Forecast Region 1 - Lumen</t>
  </si>
  <si>
    <t xml:space="preserve"> June Prelim Forecast Region 2 - James</t>
  </si>
  <si>
    <t xml:space="preserve"> June Prelim Forecast Region 3 - Stewart</t>
  </si>
  <si>
    <t xml:space="preserve"> June Prelim Forecast Region 4 - Chris</t>
  </si>
  <si>
    <t xml:space="preserve"> June Prelim Forecast Region 5 - Jojoe</t>
  </si>
  <si>
    <t xml:space="preserve"> June Prelim Forecast Region 6 Marc</t>
  </si>
  <si>
    <t xml:space="preserve"> June Prelim Forecast D1</t>
  </si>
  <si>
    <t xml:space="preserve"> June Prelim Forecast Operating Income</t>
  </si>
  <si>
    <t>North Sky  June Prelim Forecast</t>
  </si>
  <si>
    <t>Profit Center 13 -South Bay - Andrew Bustamente</t>
  </si>
  <si>
    <t>Total - South Bay - Andrew Bustamente</t>
  </si>
  <si>
    <t>Posted</t>
  </si>
  <si>
    <t>Estimated Production Bonus</t>
  </si>
  <si>
    <t>ATT - Joint Pole Bundle - Carson City</t>
  </si>
  <si>
    <t>ATT - ORCA - Alameda - A059N34</t>
  </si>
  <si>
    <t>BigHam - As-Building 2026</t>
  </si>
  <si>
    <t>Zayo ECO - ONCC GP | Hard Down</t>
  </si>
  <si>
    <t>Cogent - 2026 T&amp;E Rates</t>
  </si>
  <si>
    <t>Ponderosa - Watts Valley Fire</t>
  </si>
  <si>
    <t>Sprint - Durham Site Removal</t>
  </si>
  <si>
    <t>Unbilled WIP - Updated 6/16/2026</t>
  </si>
  <si>
    <t>304.76756628224945</t>
  </si>
  <si>
    <t>102.42634645107597</t>
  </si>
  <si>
    <t>0.33608020597643756</t>
  </si>
  <si>
    <t>200.8822984244671</t>
  </si>
  <si>
    <t>0.44384808444674095</t>
  </si>
  <si>
    <t>138.34516016191094</t>
  </si>
  <si>
    <t>0.48023912513432726</t>
  </si>
  <si>
    <t>47.21137372277841</t>
  </si>
  <si>
    <t>55.60071775104672</t>
  </si>
  <si>
    <t>35.71894729846481</t>
  </si>
  <si>
    <t>0.6424188165771003</t>
  </si>
  <si>
    <t>81.87127184192164</t>
  </si>
  <si>
    <t>36.20045576686115</t>
  </si>
  <si>
    <t>0.4421631049870285</t>
  </si>
  <si>
    <t>88.53299206912197</t>
  </si>
  <si>
    <t>36.13393661688299</t>
  </si>
  <si>
    <t>0.4081409175538932</t>
  </si>
  <si>
    <t>497.0587044534413</t>
  </si>
  <si>
    <t>27.26265182186235</t>
  </si>
  <si>
    <t>0.054847951715964766</t>
  </si>
  <si>
    <t>77.25588554871423</t>
  </si>
  <si>
    <t>31.68869974646867</t>
  </si>
  <si>
    <t>0.4101784546432665</t>
  </si>
  <si>
    <t>66.40139654789749</t>
  </si>
  <si>
    <t>31.82227306096666</t>
  </si>
  <si>
    <t>0.4792410207519086</t>
  </si>
  <si>
    <t>169.59979263867288</t>
  </si>
  <si>
    <t>38.37154972397792</t>
  </si>
  <si>
    <t>0.16735501430665084</t>
  </si>
  <si>
    <t>203.4959691284912</t>
  </si>
  <si>
    <t>15.000685635927322</t>
  </si>
  <si>
    <t>29.88618443606445</t>
  </si>
  <si>
    <t>1.9923212286034235</t>
  </si>
  <si>
    <t>39.51127819548872</t>
  </si>
  <si>
    <t>30.56283566058002</t>
  </si>
  <si>
    <t>0.7735218159575914</t>
  </si>
  <si>
    <t>30.36693761216088</t>
  </si>
  <si>
    <t>0.8693048063702159</t>
  </si>
  <si>
    <t>97.85420816330925</t>
  </si>
  <si>
    <t>31.684105126024182</t>
  </si>
  <si>
    <t>0.32378888676045964</t>
  </si>
  <si>
    <t>145.30022055599028</t>
  </si>
  <si>
    <t>32.33088557744396</t>
  </si>
  <si>
    <t>0.22251091879785215</t>
  </si>
  <si>
    <t>136.75923775765932</t>
  </si>
  <si>
    <t>32.96187799296227</t>
  </si>
  <si>
    <t>0.24102121753099795</t>
  </si>
  <si>
    <t>50.07278251405768</t>
  </si>
  <si>
    <t>30.013286776709595</t>
  </si>
  <si>
    <t>0.5993932286124406</t>
  </si>
  <si>
    <t>139.35278289194164</t>
  </si>
  <si>
    <t>32.336496246990514</t>
  </si>
  <si>
    <t>0.23204772503226725</t>
  </si>
  <si>
    <t>530.7281553398059</t>
  </si>
  <si>
    <t>230.92502696871628</t>
  </si>
  <si>
    <t>0.43510981025844286</t>
  </si>
  <si>
    <t>5.044325785793971</t>
  </si>
  <si>
    <t>23.325298878038858</t>
  </si>
  <si>
    <t>4.624066697620618</t>
  </si>
  <si>
    <t>27.994155301976065</t>
  </si>
  <si>
    <t>30.034720289451712</t>
  </si>
  <si>
    <t>1.0728925365121342</t>
  </si>
  <si>
    <t>30.79191132602757</t>
  </si>
  <si>
    <t>28.51684617075392</t>
  </si>
  <si>
    <t>66.59639783823904</t>
  </si>
  <si>
    <t>32.290585206318276</t>
  </si>
  <si>
    <t>0.4848698466357188</t>
  </si>
  <si>
    <t>63.37236984661003</t>
  </si>
  <si>
    <t>15.541711809317443</t>
  </si>
  <si>
    <t>0.24524428937935347</t>
  </si>
  <si>
    <t>28.779783393501805</t>
  </si>
  <si>
    <t>1.2458471760797343</t>
  </si>
  <si>
    <t>28.779900332225914</t>
  </si>
  <si>
    <t>23.100666666666665</t>
  </si>
  <si>
    <t>8.152173913043478</t>
  </si>
  <si>
    <t>30.733950407608695</t>
  </si>
  <si>
    <t>35.912548880199076</t>
  </si>
  <si>
    <t>4.408220457730033</t>
  </si>
  <si>
    <t>25.301728164409155</t>
  </si>
  <si>
    <t>5.739669421487603</t>
  </si>
  <si>
    <t>27.822970421648836</t>
  </si>
  <si>
    <t>0.5757891090192074</t>
  </si>
  <si>
    <t>50.580518306831785</t>
  </si>
  <si>
    <t>30.66175716274639</t>
  </si>
  <si>
    <t>0.6061969744308647</t>
  </si>
  <si>
    <t>33.89261744966443</t>
  </si>
  <si>
    <t>55.28635346756152</t>
  </si>
  <si>
    <t>1.6312211221122113</t>
  </si>
  <si>
    <t>232.81570996978851</t>
  </si>
  <si>
    <t>64.51475031100053</t>
  </si>
  <si>
    <t>0.2771065162199421</t>
  </si>
  <si>
    <t>57.954188481675395</t>
  </si>
  <si>
    <t>127.5098976109215</t>
  </si>
  <si>
    <t>51.04215945457075</t>
  </si>
  <si>
    <t>27.773201614025325</t>
  </si>
  <si>
    <t>0.5441227783229746</t>
  </si>
  <si>
    <t>28.501565367591493</t>
  </si>
  <si>
    <t>325.75957727873185</t>
  </si>
  <si>
    <t>34.59048877146631</t>
  </si>
  <si>
    <t>0.10618410381184104</t>
  </si>
  <si>
    <t>34.31523178807947</t>
  </si>
  <si>
    <t>438.67961934972243</t>
  </si>
  <si>
    <t>10.200237906423473</t>
  </si>
  <si>
    <t>0.023252135400189812</t>
  </si>
  <si>
    <t>134.85427275898152</t>
  </si>
  <si>
    <t>21.024241367282873</t>
  </si>
  <si>
    <t>0.1559034129000753</t>
  </si>
  <si>
    <t>22.349112426035504</t>
  </si>
  <si>
    <t>1.5322676727561557</t>
  </si>
  <si>
    <t>25.008149438637243</t>
  </si>
  <si>
    <t>32.97605497483546</t>
  </si>
  <si>
    <t>1.3186123609725362</t>
  </si>
  <si>
    <t>23.622721584706728</t>
  </si>
  <si>
    <t>38.592326739263555</t>
  </si>
  <si>
    <t>1.6336951947250695</t>
  </si>
  <si>
    <t>56.66072828162774</t>
  </si>
  <si>
    <t>40.97392765019521</t>
  </si>
  <si>
    <t>0.7231450934858706</t>
  </si>
  <si>
    <t>125.22831050228311</t>
  </si>
  <si>
    <t>30.47374429223744</t>
  </si>
  <si>
    <t>0.24334548769371012</t>
  </si>
  <si>
    <t>156.28156320410224</t>
  </si>
  <si>
    <t>54.878874990288246</t>
  </si>
  <si>
    <t>0.35115386527467063</t>
  </si>
  <si>
    <t>11.373583917228734</t>
  </si>
  <si>
    <t>27.155261606967454</t>
  </si>
  <si>
    <t>2.3875729765208478</t>
  </si>
  <si>
    <t>55.18926299456943</t>
  </si>
  <si>
    <t>30.012707525213344</t>
  </si>
  <si>
    <t>0.5438142474953247</t>
  </si>
  <si>
    <t>48.641252013259816</t>
  </si>
  <si>
    <t>28.833323391309534</t>
  </si>
  <si>
    <t>0.5927751075044171</t>
  </si>
  <si>
    <t>22.558488327754947</t>
  </si>
  <si>
    <t>38.62860653306783</t>
  </si>
  <si>
    <t>1.7123756686098923</t>
  </si>
  <si>
    <t>41.35132772374604</t>
  </si>
  <si>
    <t>12.077567151182263</t>
  </si>
  <si>
    <t>35.53272154866367</t>
  </si>
  <si>
    <t>2.942042971393076</t>
  </si>
  <si>
    <t>28.558862001308043</t>
  </si>
  <si>
    <t>105.10143709849639</t>
  </si>
  <si>
    <t>29.883973113480018</t>
  </si>
  <si>
    <t>0.2843345813195122</t>
  </si>
  <si>
    <t>28.04699211993081</t>
  </si>
  <si>
    <t>2.8267021791767553</t>
  </si>
  <si>
    <t>56.922205589298144</t>
  </si>
  <si>
    <t>25.606317756652906</t>
  </si>
  <si>
    <t>0.4498476032606001</t>
  </si>
  <si>
    <t>50.25529139266793</t>
  </si>
  <si>
    <t>30.941641596336627</t>
  </si>
  <si>
    <t>69.09755498766893</t>
  </si>
  <si>
    <t>30.37879836180826</t>
  </si>
  <si>
    <t>0.4396508439007665</t>
  </si>
  <si>
    <t>76.30113631073024</t>
  </si>
  <si>
    <t>32.48063988478597</t>
  </si>
  <si>
    <t>0.4256901201642815</t>
  </si>
  <si>
    <t>86.46576763485477</t>
  </si>
  <si>
    <t>192.4967135200728</t>
  </si>
  <si>
    <t>115.30134492870867</t>
  </si>
  <si>
    <t>0.5989782517335575</t>
  </si>
  <si>
    <t>41.678186512860066</t>
  </si>
  <si>
    <t>31.189691827906508</t>
  </si>
  <si>
    <t>0.7483457040119232</t>
  </si>
  <si>
    <t>33.49627851140456</t>
  </si>
  <si>
    <t>52.89184215906768</t>
  </si>
  <si>
    <t>32.48497239828256</t>
  </si>
  <si>
    <t>0.6141773678554586</t>
  </si>
  <si>
    <t>84.26793965892372</t>
  </si>
  <si>
    <t>29.90369671978284</t>
  </si>
  <si>
    <t>0.35486445783317694</t>
  </si>
  <si>
    <t>27.842662632375188</t>
  </si>
  <si>
    <t>23.48592948187386</t>
  </si>
  <si>
    <t>27.438172487998674</t>
  </si>
  <si>
    <t>1.1682813111218402</t>
  </si>
  <si>
    <t>33.06072601322477</t>
  </si>
  <si>
    <t>28.305013269758444</t>
  </si>
  <si>
    <t>0.8561521987882548</t>
  </si>
  <si>
    <t>87.62857142857143</t>
  </si>
  <si>
    <t>245.47799174690508</t>
  </si>
  <si>
    <t>134.37207702888583</t>
  </si>
  <si>
    <t>0.5473895075996358</t>
  </si>
  <si>
    <t>138.91848500328396</t>
  </si>
  <si>
    <t>87.58702473910823</t>
  </si>
  <si>
    <t>15.716688622100014</t>
  </si>
  <si>
    <t>32.98491690491667</t>
  </si>
  <si>
    <t>2.0987192466570184</t>
  </si>
  <si>
    <t>33.71597433299561</t>
  </si>
  <si>
    <t>187.35679208359488</t>
  </si>
  <si>
    <t>31.17066056197615</t>
  </si>
  <si>
    <t>0.1663705927889095</t>
  </si>
  <si>
    <t>152.8395615548564</t>
  </si>
  <si>
    <t>0.29187593405847634</t>
  </si>
  <si>
    <t>58.17150469779835</t>
  </si>
  <si>
    <t>33.24610854017669</t>
  </si>
  <si>
    <t>0.5715187996750406</t>
  </si>
  <si>
    <t>41.57432011507923</t>
  </si>
  <si>
    <t>32.448061435998504</t>
  </si>
  <si>
    <t>0.7804832729959525</t>
  </si>
  <si>
    <t>1354.8387096774193</t>
  </si>
  <si>
    <t>43.92258064516129</t>
  </si>
  <si>
    <t>34.254444602474756</t>
  </si>
  <si>
    <t>36.37789788081354</t>
  </si>
  <si>
    <t>1.0619905913811072</t>
  </si>
  <si>
    <t>92.79050640838308</t>
  </si>
  <si>
    <t>0.3382170789220426</t>
  </si>
  <si>
    <t>55.44379458549338</t>
  </si>
  <si>
    <t>32.901679294607646</t>
  </si>
  <si>
    <t>0.5934240168910846</t>
  </si>
  <si>
    <t>107.98070196598721</t>
  </si>
  <si>
    <t>0.3140565171546397</t>
  </si>
  <si>
    <t>84.72316302207483</t>
  </si>
  <si>
    <t>30.447766607938647</t>
  </si>
  <si>
    <t>0.3593794839789611</t>
  </si>
  <si>
    <t>6.307541048077868</t>
  </si>
  <si>
    <t>342.7356033265338</t>
  </si>
  <si>
    <t>26.811548721167426</t>
  </si>
  <si>
    <t>25.705702364394995</t>
  </si>
  <si>
    <t>0.2627528650156866</t>
  </si>
  <si>
    <t>56.35835433629703</t>
  </si>
  <si>
    <t>31.530980535701314</t>
  </si>
  <si>
    <t>0.5594730525230064</t>
  </si>
  <si>
    <t>150.81280971258673</t>
  </si>
  <si>
    <t>36.67093037661051</t>
  </si>
  <si>
    <t>0.2431552760438358</t>
  </si>
  <si>
    <t>161.04515605686032</t>
  </si>
  <si>
    <t>36.07343170580964</t>
  </si>
  <si>
    <t>0.22399575739535543</t>
  </si>
  <si>
    <t>87.33697177049932</t>
  </si>
  <si>
    <t>27.82789237860742</t>
  </si>
  <si>
    <t>0.3186267146029802</t>
  </si>
  <si>
    <t>52.875125045229126</t>
  </si>
  <si>
    <t>30.590979716067515</t>
  </si>
  <si>
    <t>79.58514162910784</t>
  </si>
  <si>
    <t>32.016894009491686</t>
  </si>
  <si>
    <t>0.40229738056760184</t>
  </si>
  <si>
    <t>51.27356092999404</t>
  </si>
  <si>
    <t>27.853293288990447</t>
  </si>
  <si>
    <t>0.5432291571677599</t>
  </si>
  <si>
    <t>101.94618077259658</t>
  </si>
  <si>
    <t>20.99018627328416</t>
  </si>
  <si>
    <t>0.20589477814873064</t>
  </si>
  <si>
    <t>49.782821037208876</t>
  </si>
  <si>
    <t>24.82323494398828</t>
  </si>
  <si>
    <t>0.4986305401502819</t>
  </si>
  <si>
    <t>32.782486562735606</t>
  </si>
  <si>
    <t>22.550563027458228</t>
  </si>
  <si>
    <t>16.99539406345957</t>
  </si>
  <si>
    <t>110.0816182937555</t>
  </si>
  <si>
    <t>31.985592068441672</t>
  </si>
  <si>
    <t>0.29056251683262263</t>
  </si>
  <si>
    <t>84.00963772669482</t>
  </si>
  <si>
    <t>31.10412252115331</t>
  </si>
  <si>
    <t>0.37024469290467726</t>
  </si>
  <si>
    <t>68.92757303098855</t>
  </si>
  <si>
    <t>28.852289018739988</t>
  </si>
  <si>
    <t>0.4185884944152688</t>
  </si>
  <si>
    <t>62.22802451238798</t>
  </si>
  <si>
    <t>29.128525303110173</t>
  </si>
  <si>
    <t>0.46809336358269643</t>
  </si>
  <si>
    <t>0.4982823172713149</t>
  </si>
  <si>
    <t>59.019712213125935</t>
  </si>
  <si>
    <t>32.091392788171795</t>
  </si>
  <si>
    <t>0.5437402451622713</t>
  </si>
  <si>
    <t>2.540650406504065</t>
  </si>
  <si>
    <t>92.61819041614123</t>
  </si>
  <si>
    <t>33.778325977301385</t>
  </si>
  <si>
    <t>0.36470509546270075</t>
  </si>
  <si>
    <t>101.35256970937625</t>
  </si>
  <si>
    <t>33.81288421575013</t>
  </si>
  <si>
    <t>0.3336164471478818</t>
  </si>
  <si>
    <t>95.65359814113256</t>
  </si>
  <si>
    <t>30.42461838414431</t>
  </si>
  <si>
    <t>0.3180708198687326</t>
  </si>
  <si>
    <t>35.21618283856243</t>
  </si>
  <si>
    <t>2.273740040032671</t>
  </si>
  <si>
    <t>33.85218409419947</t>
  </si>
  <si>
    <t>14.88832650091039</t>
  </si>
  <si>
    <t>31.50079051383399</t>
  </si>
  <si>
    <t>31.790303835298023</t>
  </si>
  <si>
    <t>29.34173676651621</t>
  </si>
  <si>
    <t>9.260359601067565</t>
  </si>
  <si>
    <t>29.939668492765836</t>
  </si>
  <si>
    <t>3.233099985589576</t>
  </si>
  <si>
    <t>113.67942499890482</t>
  </si>
  <si>
    <t>32.698700177106346</t>
  </si>
  <si>
    <t>0.2876395634251437</t>
  </si>
  <si>
    <t>85.07342244459458</t>
  </si>
  <si>
    <t>33.08540742228634</t>
  </si>
  <si>
    <t>11.107974055703929</t>
  </si>
  <si>
    <t>26.855971003433805</t>
  </si>
  <si>
    <t>2.4177199972521812</t>
  </si>
  <si>
    <t>30.028681880533732</t>
  </si>
  <si>
    <t>71.47214729961287</t>
  </si>
  <si>
    <t>33.20541664022339</t>
  </si>
  <si>
    <t>0.46459240270234964</t>
  </si>
  <si>
    <t>44.070890840652446</t>
  </si>
  <si>
    <t>36.86888331242158</t>
  </si>
  <si>
    <t>0.8365813036484505</t>
  </si>
  <si>
    <t>5.420008568182242</t>
  </si>
  <si>
    <t>35.631847560862035</t>
  </si>
  <si>
    <t>6.5741312237098946</t>
  </si>
  <si>
    <t>27.50588273658123</t>
  </si>
  <si>
    <t>28.98879529561348</t>
  </si>
  <si>
    <t>30.395223127113397</t>
  </si>
  <si>
    <t>11.878511696388518</t>
  </si>
  <si>
    <t>30.37103298607783</t>
  </si>
  <si>
    <t>2.556804569659319</t>
  </si>
  <si>
    <t>117.40168067226891</t>
  </si>
  <si>
    <t>14.867461919618279</t>
  </si>
  <si>
    <t>30.802092126995777</t>
  </si>
  <si>
    <t>2.0717787806371337</t>
  </si>
  <si>
    <t>23.254742060848965</t>
  </si>
  <si>
    <t>27.981605147778545</t>
  </si>
  <si>
    <t>1.2032644814791384</t>
  </si>
  <si>
    <t>51.70800158447217</t>
  </si>
  <si>
    <t>30.893365022776788</t>
  </si>
  <si>
    <t>0.5974581124027429</t>
  </si>
  <si>
    <t>62.077690559562186</t>
  </si>
  <si>
    <t>26.950631171103613</t>
  </si>
  <si>
    <t>22.690809895588373</t>
  </si>
  <si>
    <t>30.537917411344182</t>
  </si>
  <si>
    <t>1.3458275641929145</t>
  </si>
  <si>
    <t>20.15842044621347</t>
  </si>
  <si>
    <t>24.71423483816906</t>
  </si>
  <si>
    <t>1.226000564087418</t>
  </si>
  <si>
    <t>4.313348099136481</t>
  </si>
  <si>
    <t>32.97464113491085</t>
  </si>
  <si>
    <t>7.644790166949954</t>
  </si>
  <si>
    <t>35.31868333075522</t>
  </si>
  <si>
    <t>34.34316804990387</t>
  </si>
  <si>
    <t>0.9723796249221478</t>
  </si>
  <si>
    <t>45.445062272963156</t>
  </si>
  <si>
    <t>32.20343193219166</t>
  </si>
  <si>
    <t>0.7086233425925043</t>
  </si>
  <si>
    <t>33.02333211811885</t>
  </si>
  <si>
    <t>32.76691433566434</t>
  </si>
  <si>
    <t>31.85167415914271</t>
  </si>
  <si>
    <t>25.035454815401366</t>
  </si>
  <si>
    <t>33.067326536672276</t>
  </si>
  <si>
    <t>1.3208198844596122</t>
  </si>
  <si>
    <t>28.652425626373297</t>
  </si>
  <si>
    <t>29.771888381440903</t>
  </si>
  <si>
    <t>1.0390704357692213</t>
  </si>
  <si>
    <t>38.55810574125889</t>
  </si>
  <si>
    <t>27.661916714429708</t>
  </si>
  <si>
    <t>0.7174086014508286</t>
  </si>
  <si>
    <t>34.14805073622903</t>
  </si>
  <si>
    <t>29.98931545055576</t>
  </si>
  <si>
    <t>0.8782145628810051</t>
  </si>
  <si>
    <t>127.2874869175267</t>
  </si>
  <si>
    <t>30.081714341163178</t>
  </si>
  <si>
    <t>0.2363289202233524</t>
  </si>
  <si>
    <t>31.256207754900718</t>
  </si>
  <si>
    <t>0.6737083188590581</t>
  </si>
  <si>
    <t>52.97590249602744</t>
  </si>
  <si>
    <t>33.92126947376468</t>
  </si>
  <si>
    <t>0.6403150843217513</t>
  </si>
  <si>
    <t>93.17041813112573</t>
  </si>
  <si>
    <t>32.77776144931441</t>
  </si>
  <si>
    <t>0.35180438283730575</t>
  </si>
  <si>
    <t>74.11901507403748</t>
  </si>
  <si>
    <t>30.69830601773655</t>
  </si>
  <si>
    <t>0.4141758493022608</t>
  </si>
  <si>
    <t>342.5095652173913</t>
  </si>
  <si>
    <t>38.009855072463765</t>
  </si>
  <si>
    <t>0.11097457978535244</t>
  </si>
  <si>
    <t>125.57752273711563</t>
  </si>
  <si>
    <t>35.124791189754376</t>
  </si>
  <si>
    <t>0.2797060367505793</t>
  </si>
  <si>
    <t>34.36032300831626</t>
  </si>
  <si>
    <t>261.9295345334576</t>
  </si>
  <si>
    <t>33.87399591192713</t>
  </si>
  <si>
    <t>0.12932484292870083</t>
  </si>
  <si>
    <t>29.25122352359822</t>
  </si>
  <si>
    <t>0.44940269617423256</t>
  </si>
  <si>
    <t>33.65943238731219</t>
  </si>
  <si>
    <t>539.7634242076313</t>
  </si>
  <si>
    <t>29.259218712450934</t>
  </si>
  <si>
    <t>112.94000648095381</t>
  </si>
  <si>
    <t>34.217765635301085</t>
  </si>
  <si>
    <t>0.30297293847837314</t>
  </si>
  <si>
    <t>47.81193079042986</t>
  </si>
  <si>
    <t>25.13619675670898</t>
  </si>
  <si>
    <t>0.5257306354534482</t>
  </si>
  <si>
    <t>44.01564537157758</t>
  </si>
  <si>
    <t>31.06773211567732</t>
  </si>
  <si>
    <t>108.53351973158651</t>
  </si>
  <si>
    <t>31.607189646908452</t>
  </si>
  <si>
    <t>0.2912205346797558</t>
  </si>
  <si>
    <t>389.80582831012265</t>
  </si>
  <si>
    <t>32.258320515485345</t>
  </si>
  <si>
    <t>1057.3559983177374</t>
  </si>
  <si>
    <t>31.50683208915992</t>
  </si>
  <si>
    <t>105.0217803030303</t>
  </si>
  <si>
    <t>31.91556186868687</t>
  </si>
  <si>
    <t>0.3038946947632917</t>
  </si>
  <si>
    <t>69.05123237541707</t>
  </si>
  <si>
    <t>34.02419904567144</t>
  </si>
  <si>
    <t>0.49273847656605174</t>
  </si>
  <si>
    <t>36.898816006521834</t>
  </si>
  <si>
    <t>34.16520498563795</t>
  </si>
  <si>
    <t>0.9259160234192684</t>
  </si>
  <si>
    <t>65.29918020281335</t>
  </si>
  <si>
    <t>35.108623127231304</t>
  </si>
  <si>
    <t>0.5376579463660508</t>
  </si>
  <si>
    <t>56.98385056299453</t>
  </si>
  <si>
    <t>31.478111978561888</t>
  </si>
  <si>
    <t>0.5524040876066009</t>
  </si>
  <si>
    <t>32.96555208439554</t>
  </si>
  <si>
    <t>0.6307705078864649</t>
  </si>
  <si>
    <t>82.93687712484619</t>
  </si>
  <si>
    <t>33.30318457223165</t>
  </si>
  <si>
    <t>0.4015485719591279</t>
  </si>
  <si>
    <t>83.64344914226555</t>
  </si>
  <si>
    <t>32.55440703054343</t>
  </si>
  <si>
    <t>0.3892045027360485</t>
  </si>
  <si>
    <t>241.5937690040698</t>
  </si>
  <si>
    <t>36.92674369649623</t>
  </si>
  <si>
    <t>0.15284642418022867</t>
  </si>
  <si>
    <t>209.07691498685364</t>
  </si>
  <si>
    <t>36.70057843996494</t>
  </si>
  <si>
    <t>0.17553625392967276</t>
  </si>
  <si>
    <t>156.06735795361618</t>
  </si>
  <si>
    <t>36.97608844983808</t>
  </si>
  <si>
    <t>0.2369239085909785</t>
  </si>
  <si>
    <t>140.46605137932548</t>
  </si>
  <si>
    <t>25.55124501118372</t>
  </si>
  <si>
    <t>0.1819033478928168</t>
  </si>
  <si>
    <t>48.34192560614427</t>
  </si>
  <si>
    <t>26.901649013603734</t>
  </si>
  <si>
    <t>0.5564869143355872</t>
  </si>
  <si>
    <t>46.21505649957119</t>
  </si>
  <si>
    <t>28.619648091077874</t>
  </si>
  <si>
    <t>0.6192710830364002</t>
  </si>
  <si>
    <t>42.68660337920223</t>
  </si>
  <si>
    <t>27.860639261452707</t>
  </si>
  <si>
    <t>0.6526787576410207</t>
  </si>
  <si>
    <t>35.675994284353415</t>
  </si>
  <si>
    <t>14.335263157894737</t>
  </si>
  <si>
    <t>13.309950773558368</t>
  </si>
  <si>
    <t>26.25744256915143</t>
  </si>
  <si>
    <t>1.9727678197964962</t>
  </si>
  <si>
    <t>14.939111579934364</t>
  </si>
  <si>
    <t>1.7576307954228958</t>
  </si>
  <si>
    <t>96.89118746266169</t>
  </si>
  <si>
    <t>36.381413507092546</t>
  </si>
  <si>
    <t>0.37548733233466264</t>
  </si>
  <si>
    <t>75.67537792056775</t>
  </si>
  <si>
    <t>33.960829327355334</t>
  </si>
  <si>
    <t>33.69949631122041</t>
  </si>
  <si>
    <t>0.44601675582753336</t>
  </si>
  <si>
    <t>45.06905090952458</t>
  </si>
  <si>
    <t>32.80510989357896</t>
  </si>
  <si>
    <t>0.7278855274639511</t>
  </si>
  <si>
    <t>68.52457934057709</t>
  </si>
  <si>
    <t>31.087050773157987</t>
  </si>
  <si>
    <t>0.45366277432584934</t>
  </si>
  <si>
    <t>51.61336106682026</t>
  </si>
  <si>
    <t>28.892626978162074</t>
  </si>
  <si>
    <t>32.48883430102725</t>
  </si>
  <si>
    <t>69.73095885753145</t>
  </si>
  <si>
    <t>35.24591975518531</t>
  </si>
  <si>
    <t>0.5054558309917532</t>
  </si>
  <si>
    <t>103.76627386728842</t>
  </si>
  <si>
    <t>38.609647740878444</t>
  </si>
  <si>
    <t>0.37208281941643334</t>
  </si>
  <si>
    <t>103.54798949282683</t>
  </si>
  <si>
    <t>34.524032632855125</t>
  </si>
  <si>
    <t>0.33341094116797637</t>
  </si>
  <si>
    <t>98.84992707575776</t>
  </si>
  <si>
    <t>35.22679240634103</t>
  </si>
  <si>
    <t>0.3563663975122967</t>
  </si>
  <si>
    <t>221.8823933450355</t>
  </si>
  <si>
    <t>110.81446996870946</t>
  </si>
  <si>
    <t>0.4994288564230005</t>
  </si>
  <si>
    <t>48.814663442789175</t>
  </si>
  <si>
    <t>59.089712190936744</t>
  </si>
  <si>
    <t>1.2104910292004765</t>
  </si>
  <si>
    <t>25.915910092551783</t>
  </si>
  <si>
    <t>65.75820628022882</t>
  </si>
  <si>
    <t>27.13883774029609</t>
  </si>
  <si>
    <t>0.41270647840733127</t>
  </si>
  <si>
    <t>91.51809805179866</t>
  </si>
  <si>
    <t>22.66030827349889</t>
  </si>
  <si>
    <t>0.24760466788408672</t>
  </si>
  <si>
    <t>36.32070489329597</t>
  </si>
  <si>
    <t>34.84654668512537</t>
  </si>
  <si>
    <t>2.7464725274725277</t>
  </si>
  <si>
    <t>29.522043956043955</t>
  </si>
  <si>
    <t>10.749076737793533</t>
  </si>
  <si>
    <t>33.71004508383567</t>
  </si>
  <si>
    <t>31.849197102477078</t>
  </si>
  <si>
    <t>0.9447984131516072</t>
  </si>
  <si>
    <t>18.589596258470937</t>
  </si>
  <si>
    <t>35.113811205497754</t>
  </si>
  <si>
    <t>1.8888958489078018</t>
  </si>
  <si>
    <t>34.599172424561814</t>
  </si>
  <si>
    <t>0.44142883183383697</t>
  </si>
  <si>
    <t>903.5191836734693</t>
  </si>
  <si>
    <t>35.77148299319728</t>
  </si>
  <si>
    <t>113.38927573210755</t>
  </si>
  <si>
    <t>34.41483010819707</t>
  </si>
  <si>
    <t>0.3035104500491319</t>
  </si>
  <si>
    <t>32.76906323005111</t>
  </si>
  <si>
    <t>46.90655312847094</t>
  </si>
  <si>
    <t>32.24050351721585</t>
  </si>
  <si>
    <t>75.53445973942267</t>
  </si>
  <si>
    <t>32.188112886147046</t>
  </si>
  <si>
    <t>0.42613812288045716</t>
  </si>
  <si>
    <t>90.54441252805512</t>
  </si>
  <si>
    <t>27.430778893312027</t>
  </si>
  <si>
    <t>0.3029538557645688</t>
  </si>
  <si>
    <t>46.67440433011551</t>
  </si>
  <si>
    <t>0.5089628574024571</t>
  </si>
  <si>
    <t>143.71655640047217</t>
  </si>
  <si>
    <t>23.663793340104867</t>
  </si>
  <si>
    <t>0.16465600020476917</t>
  </si>
  <si>
    <t>0.10598598822597859</t>
  </si>
  <si>
    <t>1826.5661080074487</t>
  </si>
  <si>
    <t>33.31098696461825</t>
  </si>
  <si>
    <t>0.018236945719394902</t>
  </si>
  <si>
    <t>29.579035874439462</t>
  </si>
  <si>
    <t>38.81698430493274</t>
  </si>
  <si>
    <t>1.3123140480206181</t>
  </si>
  <si>
    <t>180.73038116591928</t>
  </si>
  <si>
    <t>0.21477841221004704</t>
  </si>
  <si>
    <t>13.438726187091271</t>
  </si>
  <si>
    <t>29.399914700028432</t>
  </si>
  <si>
    <t>2.1877009986459037</t>
  </si>
  <si>
    <t>8.881541996425836</t>
  </si>
  <si>
    <t>29.39992341077355</t>
  </si>
  <si>
    <t>23.747510850140415</t>
  </si>
  <si>
    <t>1.2380212644728497</t>
  </si>
  <si>
    <t>225.59831756046268</t>
  </si>
  <si>
    <t>29.199789695057834</t>
  </si>
  <si>
    <t>0.12943265717055707</t>
  </si>
  <si>
    <t>9.831592101974506</t>
  </si>
  <si>
    <t>35.68552861784554</t>
  </si>
  <si>
    <t>3.629679531830731</t>
  </si>
  <si>
    <t>32.18204676571195</t>
  </si>
  <si>
    <t>35.04509368458672</t>
  </si>
  <si>
    <t>1.0889641028651158</t>
  </si>
  <si>
    <t>34.02034018846678</t>
  </si>
  <si>
    <t>0.4731137313830914</t>
  </si>
  <si>
    <t>39.12487657756315</t>
  </si>
  <si>
    <t>31.38644238191839</t>
  </si>
  <si>
    <t>0.8022119205844984</t>
  </si>
  <si>
    <t>35.51857842409853</t>
  </si>
  <si>
    <t>31.327704407182075</t>
  </si>
  <si>
    <t>0.8820089597371654</t>
  </si>
  <si>
    <t>103.84608466628124</t>
  </si>
  <si>
    <t>30.092863107856363</t>
  </si>
  <si>
    <t>0.2897833192706542</t>
  </si>
  <si>
    <t>19.688181818181818</t>
  </si>
  <si>
    <t>24.56772727272727</t>
  </si>
  <si>
    <t>1.2478413445998984</t>
  </si>
  <si>
    <t>48.878766643307635</t>
  </si>
  <si>
    <t>43.34670637701472</t>
  </si>
  <si>
    <t>115.33781214349094</t>
  </si>
  <si>
    <t>32.77829889719863</t>
  </si>
  <si>
    <t>0.28419386745796243</t>
  </si>
  <si>
    <t>28.320765736534717</t>
  </si>
  <si>
    <t>1.1373266303563285</t>
  </si>
  <si>
    <t>54.541019603167506</t>
  </si>
  <si>
    <t>31.314693930271147</t>
  </si>
  <si>
    <t>0.5741494045786508</t>
  </si>
  <si>
    <t>106.9170722568431</t>
  </si>
  <si>
    <t>31.49139583497673</t>
  </si>
  <si>
    <t>0.29454038695827794</t>
  </si>
  <si>
    <t>0.1678855549987472</t>
  </si>
  <si>
    <t>148.31099195710456</t>
  </si>
  <si>
    <t>32.70402144772118</t>
  </si>
  <si>
    <t>0.22050976138828635</t>
  </si>
  <si>
    <t>173.37659763792266</t>
  </si>
  <si>
    <t>33.540527422747125</t>
  </si>
  <si>
    <t>0.19345475617645186</t>
  </si>
  <si>
    <t>118.19866814650389</t>
  </si>
  <si>
    <t>31.086126526082133</t>
  </si>
  <si>
    <t>0.2629989577171188</t>
  </si>
  <si>
    <t>87.22201117924784</t>
  </si>
  <si>
    <t>30.75175014923753</t>
  </si>
  <si>
    <t>0.3525686891814539</t>
  </si>
  <si>
    <t>128.79609544468548</t>
  </si>
  <si>
    <t>52.928958785249456</t>
  </si>
  <si>
    <t>0.41095157894736845</t>
  </si>
  <si>
    <t>268.81641791044774</t>
  </si>
  <si>
    <t>30.84626865671642</t>
  </si>
  <si>
    <t>0.11474845508503279</t>
  </si>
  <si>
    <t>216.9329746835443</t>
  </si>
  <si>
    <t>32.196772151898735</t>
  </si>
  <si>
    <t>0.1484180641456951</t>
  </si>
  <si>
    <t>249.41243243243244</t>
  </si>
  <si>
    <t>32.80108108108108</t>
  </si>
  <si>
    <t>0.13151341639702394</t>
  </si>
  <si>
    <t>80.45261867750807</t>
  </si>
  <si>
    <t>20.39399736936506</t>
  </si>
  <si>
    <t>0.2534907838253692</t>
  </si>
  <si>
    <t>613.8059701492538</t>
  </si>
  <si>
    <t>27.46268656716418</t>
  </si>
  <si>
    <t>57.78280898141486</t>
  </si>
  <si>
    <t>30.715055923603778</t>
  </si>
  <si>
    <t>0.5315604496396654</t>
  </si>
  <si>
    <t>68.56699068295573</t>
  </si>
  <si>
    <t>31.02589608785002</t>
  </si>
  <si>
    <t>0.45249026942584464</t>
  </si>
  <si>
    <t>86.03221304297115</t>
  </si>
  <si>
    <t>31.795670068854267</t>
  </si>
  <si>
    <t>0.3695786606462517</t>
  </si>
  <si>
    <t>16.083330659805323</t>
  </si>
  <si>
    <t>33.90892466425835</t>
  </si>
  <si>
    <t>2.1083272725967066</t>
  </si>
  <si>
    <t>103.77660474464837</t>
  </si>
  <si>
    <t>33.14427873647102</t>
  </si>
  <si>
    <t>0.31938102829655574</t>
  </si>
  <si>
    <t>105.2966009728645</t>
  </si>
  <si>
    <t>31.457117070936217</t>
  </si>
  <si>
    <t>0.29874769726938183</t>
  </si>
  <si>
    <t>124.71187901582825</t>
  </si>
  <si>
    <t>0.27016731246383296</t>
  </si>
  <si>
    <t>96.14064101687966</t>
  </si>
  <si>
    <t>31.67638703126983</t>
  </si>
  <si>
    <t>0.32947967369708225</t>
  </si>
  <si>
    <t>115.97073880547656</t>
  </si>
  <si>
    <t>30.222697268337853</t>
  </si>
  <si>
    <t>0.26060623205162015</t>
  </si>
  <si>
    <t>334.30304678998914</t>
  </si>
  <si>
    <t>31.078346028291623</t>
  </si>
  <si>
    <t>336.95211786372005</t>
  </si>
  <si>
    <t>27.250460405156538</t>
  </si>
  <si>
    <t>14.468523902900804</t>
  </si>
  <si>
    <t>93.94494114140963</t>
  </si>
  <si>
    <t>28.588585903740128</t>
  </si>
  <si>
    <t>0.30431213811404134</t>
  </si>
  <si>
    <t>26.838002114164905</t>
  </si>
  <si>
    <t>276.3329016382827</t>
  </si>
  <si>
    <t>29.630965485980703</t>
  </si>
  <si>
    <t>0.10722923441366881</t>
  </si>
  <si>
    <t>95.75058984983241</t>
  </si>
  <si>
    <t>22.95903512707503</t>
  </si>
  <si>
    <t>0.2397795685967277</t>
  </si>
  <si>
    <t>31.59922928709056</t>
  </si>
  <si>
    <t>0.9197256097560975</t>
  </si>
  <si>
    <t>64.06687770720498</t>
  </si>
  <si>
    <t>30.068924845617293</t>
  </si>
  <si>
    <t>0.46933651087285205</t>
  </si>
  <si>
    <t>24.58323438613156</t>
  </si>
  <si>
    <t>413.8189983669026</t>
  </si>
  <si>
    <t>27.038786064235165</t>
  </si>
  <si>
    <t>249.3000568232796</t>
  </si>
  <si>
    <t>26.86129138379639</t>
  </si>
  <si>
    <t>0.10774683217516255</t>
  </si>
  <si>
    <t>32.27009301888565</t>
  </si>
  <si>
    <t>76.68083675656962</t>
  </si>
  <si>
    <t>31.237058835278532</t>
  </si>
  <si>
    <t>0.4073646057677155</t>
  </si>
  <si>
    <t>88.32256252684442</t>
  </si>
  <si>
    <t>28.52173654475171</t>
  </si>
  <si>
    <t>0.32292695919100994</t>
  </si>
  <si>
    <t>963.4759493670886</t>
  </si>
  <si>
    <t>27.51054852320675</t>
  </si>
  <si>
    <t>0.028553435652730663</t>
  </si>
  <si>
    <t>15.750232558139535</t>
  </si>
  <si>
    <t>33.49130355515041</t>
  </si>
  <si>
    <t>241.57310235851818</t>
  </si>
  <si>
    <t>34.00098320360508</t>
  </si>
  <si>
    <t>0.14074821605405508</t>
  </si>
  <si>
    <t>29.66065343964014</t>
  </si>
  <si>
    <t>0.19474811401275557</t>
  </si>
  <si>
    <t>15.630744326397183</t>
  </si>
  <si>
    <t>0.22283156892399036</t>
  </si>
  <si>
    <t>42.87861271676301</t>
  </si>
  <si>
    <t>305.3167695775752</t>
  </si>
  <si>
    <t>30.025874742722728</t>
  </si>
  <si>
    <t>96.08678200692042</t>
  </si>
  <si>
    <t>29.81801384083045</t>
  </si>
  <si>
    <t>0.31032378458342874</t>
  </si>
  <si>
    <t>254.82327689005484</t>
  </si>
  <si>
    <t>24.405199141426188</t>
  </si>
  <si>
    <t>440.4137649880096</t>
  </si>
  <si>
    <t>299.7857885164978</t>
  </si>
  <si>
    <t>25.67865325113961</t>
  </si>
  <si>
    <t>88.84279705573081</t>
  </si>
  <si>
    <t>27.689274447949526</t>
  </si>
  <si>
    <t>0.3116659466560934</t>
  </si>
  <si>
    <t>112.83568075117371</t>
  </si>
  <si>
    <t>29.597652582159625</t>
  </si>
  <si>
    <t>0.2623075642839311</t>
  </si>
  <si>
    <t>68.76100224863475</t>
  </si>
  <si>
    <t>22.744619338258914</t>
  </si>
  <si>
    <t>0.33077789145678876</t>
  </si>
  <si>
    <t>97.46524842524218</t>
  </si>
  <si>
    <t>31.010682038715196</t>
  </si>
  <si>
    <t>0.31817168210986524</t>
  </si>
  <si>
    <t>662.0919881305638</t>
  </si>
  <si>
    <t>115.73138163132373</t>
  </si>
  <si>
    <t>39.63254505319534</t>
  </si>
  <si>
    <t>0.3424528809260187</t>
  </si>
  <si>
    <t>105.79086873893154</t>
  </si>
  <si>
    <t>31.045112392471985</t>
  </si>
  <si>
    <t>0.29345739157397843</t>
  </si>
  <si>
    <t>174.6201013063183</t>
  </si>
  <si>
    <t>39.15195947747267</t>
  </si>
  <si>
    <t>0.22421221374045802</t>
  </si>
  <si>
    <t>75.81852892106235</t>
  </si>
  <si>
    <t>21.522635398800816</t>
  </si>
  <si>
    <t>0.28387039032647127</t>
  </si>
  <si>
    <t>70.83179451920243</t>
  </si>
  <si>
    <t>27.42498772222768</t>
  </si>
  <si>
    <t>0.38718470862393284</t>
  </si>
  <si>
    <t>181.08395386187766</t>
  </si>
  <si>
    <t>24.50106884403862</t>
  </si>
  <si>
    <t>0.1353022635165504</t>
  </si>
  <si>
    <t>161.9661075452022</t>
  </si>
  <si>
    <t>30.239567880381298</t>
  </si>
  <si>
    <t>0.18670305990987598</t>
  </si>
  <si>
    <t>105.52063281028835</t>
  </si>
  <si>
    <t>0.2625588184195405</t>
  </si>
  <si>
    <t>75.64008520557672</t>
  </si>
  <si>
    <t>26.660381461622674</t>
  </si>
  <si>
    <t>0.35246366247690425</t>
  </si>
  <si>
    <t>222.59420255727977</t>
  </si>
  <si>
    <t>28.424329479360445</t>
  </si>
  <si>
    <t>0.1276957313030022</t>
  </si>
  <si>
    <t>29.08974358974359</t>
  </si>
  <si>
    <t>24.069725324479325</t>
  </si>
  <si>
    <t>20.012588041360708</t>
  </si>
  <si>
    <t>24.80308706728608</t>
  </si>
  <si>
    <t>1.239374288623974</t>
  </si>
  <si>
    <t>25.419018867924528</t>
  </si>
  <si>
    <t>22.662037735849058</t>
  </si>
  <si>
    <t>0.8915386488203751</t>
  </si>
  <si>
    <t>68.04226841500997</t>
  </si>
  <si>
    <t>25.648649465224484</t>
  </si>
  <si>
    <t>0.37695171049832976</t>
  </si>
  <si>
    <t>95.94416041464989</t>
  </si>
  <si>
    <t>26.468548322039368</t>
  </si>
  <si>
    <t>0.27587451083680375</t>
  </si>
  <si>
    <t>89.73280887991456</t>
  </si>
  <si>
    <t>27.775333181599777</t>
  </si>
  <si>
    <t>0.30953375391123966</t>
  </si>
  <si>
    <t>68.24209442690736</t>
  </si>
  <si>
    <t>30.542350292814824</t>
  </si>
  <si>
    <t>0.44755880588524555</t>
  </si>
  <si>
    <t>62.18866601089408</t>
  </si>
  <si>
    <t>29.098072933661378</t>
  </si>
  <si>
    <t>0.46789993740280644</t>
  </si>
  <si>
    <t>78.85952107721074</t>
  </si>
  <si>
    <t>27.18514596459513</t>
  </si>
  <si>
    <t>0.3447287733078973</t>
  </si>
  <si>
    <t>108.35839115133233</t>
  </si>
  <si>
    <t>27.761910507792862</t>
  </si>
  <si>
    <t>0.25620452844321795</t>
  </si>
  <si>
    <t>117.0015650700294</t>
  </si>
  <si>
    <t>27.955948761401586</t>
  </si>
  <si>
    <t>0.23893653682896465</t>
  </si>
  <si>
    <t>111.98139172440999</t>
  </si>
  <si>
    <t>26.640205515551088</t>
  </si>
  <si>
    <t>0.2378985035398876</t>
  </si>
  <si>
    <t>26.025117071094083</t>
  </si>
  <si>
    <t>23.986717752234995</t>
  </si>
  <si>
    <t>0.9216756907071467</t>
  </si>
  <si>
    <t>68.69309307278813</t>
  </si>
  <si>
    <t>31.70651475709118</t>
  </si>
  <si>
    <t>0.4615677259356269</t>
  </si>
  <si>
    <t>47.88917896825124</t>
  </si>
  <si>
    <t>27.908804099992423</t>
  </si>
  <si>
    <t>48.40444482950991</t>
  </si>
  <si>
    <t>26.127266368569643</t>
  </si>
  <si>
    <t>0.7135575942915392</t>
  </si>
  <si>
    <t>32.83078491335372</t>
  </si>
  <si>
    <t>31.19363560732113</t>
  </si>
  <si>
    <t>17.252128439781895</t>
  </si>
  <si>
    <t>30.23465450719046</t>
  </si>
  <si>
    <t>1.7525173553352407</t>
  </si>
  <si>
    <t>83.74090447458032</t>
  </si>
  <si>
    <t>25.636119242487602</t>
  </si>
  <si>
    <t>0.30613616372234775</t>
  </si>
  <si>
    <t>77.28400910995052</t>
  </si>
  <si>
    <t>25.574109813319186</t>
  </si>
  <si>
    <t>0.33091075512057583</t>
  </si>
  <si>
    <t>69.04441761957172</t>
  </si>
  <si>
    <t>24.894934195613406</t>
  </si>
  <si>
    <t>0.3605640405685245</t>
  </si>
  <si>
    <t>79.38995109638745</t>
  </si>
  <si>
    <t>28.04522006625651</t>
  </si>
  <si>
    <t>0.35325906716086486</t>
  </si>
  <si>
    <t>71.16403555005256</t>
  </si>
  <si>
    <t>28.479200653665856</t>
  </si>
  <si>
    <t>0.40019091713306887</t>
  </si>
  <si>
    <t>74.84900876937783</t>
  </si>
  <si>
    <t>26.97094422047666</t>
  </si>
  <si>
    <t>0.36033802803693227</t>
  </si>
  <si>
    <t>25.048427358961558</t>
  </si>
  <si>
    <t>33.84720861900098</t>
  </si>
  <si>
    <t>33.159765060063165</t>
  </si>
  <si>
    <t>203.93441797958425</t>
  </si>
  <si>
    <t>29.63870986189346</t>
  </si>
  <si>
    <t>0.14533451565228472</t>
  </si>
  <si>
    <t>24.712704971644467</t>
  </si>
  <si>
    <t>28.376847290640395</t>
  </si>
  <si>
    <t>27.75072463768116</t>
  </si>
  <si>
    <t>43.47826086956522</t>
  </si>
  <si>
    <t>0.6382666666666666</t>
  </si>
  <si>
    <t>37.36485719689805</t>
  </si>
  <si>
    <t>0.42731189866408253</t>
  </si>
  <si>
    <t>35.79685643790551</t>
  </si>
  <si>
    <t>31.738417253038474</t>
  </si>
  <si>
    <t>0.8866258216861318</t>
  </si>
  <si>
    <t>53.81911262798635</t>
  </si>
  <si>
    <t>1.8983569257166304</t>
  </si>
  <si>
    <t>32.06844588671926</t>
  </si>
  <si>
    <t>16.892737847290448</t>
  </si>
  <si>
    <t>39.59810571005132</t>
  </si>
  <si>
    <t>29.252373525243176</t>
  </si>
  <si>
    <t>42.227539078664954</t>
  </si>
  <si>
    <t>29.64612358403637</t>
  </si>
  <si>
    <t>0.7020566253886859</t>
  </si>
  <si>
    <t>177.77180076628352</t>
  </si>
  <si>
    <t>0.1948746552685823</t>
  </si>
  <si>
    <t>163.11837669359454</t>
  </si>
  <si>
    <t>31.745436040964314</t>
  </si>
  <si>
    <t>0.19461593895454035</t>
  </si>
  <si>
    <t>187.12578027465668</t>
  </si>
  <si>
    <t>31.289978436045853</t>
  </si>
  <si>
    <t>0.16721361637140278</t>
  </si>
  <si>
    <t>182.01267988465307</t>
  </si>
  <si>
    <t>31.31467913958911</t>
  </si>
  <si>
    <t>0.17204669015056626</t>
  </si>
  <si>
    <t>38.80535395597858</t>
  </si>
  <si>
    <t>18.454469742036668</t>
  </si>
  <si>
    <t>0.47556504092120155</t>
  </si>
  <si>
    <t>101.04742233632275</t>
  </si>
  <si>
    <t>28.955181502911316</t>
  </si>
  <si>
    <t>0.2865504219052505</t>
  </si>
  <si>
    <t>125.6885838150289</t>
  </si>
  <si>
    <t>44.09971098265896</t>
  </si>
  <si>
    <t>0.3508648887918001</t>
  </si>
  <si>
    <t>203.55164697923712</t>
  </si>
  <si>
    <t>34.765207888848416</t>
  </si>
  <si>
    <t>0.1707930562330187</t>
  </si>
  <si>
    <t>144.97900423868404</t>
  </si>
  <si>
    <t>34.60138800430457</t>
  </si>
  <si>
    <t>0.23866482037177666</t>
  </si>
  <si>
    <t>78.73237403147408</t>
  </si>
  <si>
    <t>32.47384378459021</t>
  </si>
  <si>
    <t>0.4124585875132948</t>
  </si>
  <si>
    <t>107.7991671986366</t>
  </si>
  <si>
    <t>33.77349794142279</t>
  </si>
  <si>
    <t>0.31330017493725076</t>
  </si>
  <si>
    <t>115.27227927092116</t>
  </si>
  <si>
    <t>33.756149442114285</t>
  </si>
  <si>
    <t>0.29283839666931694</t>
  </si>
  <si>
    <t>33.973966166870824</t>
  </si>
  <si>
    <t>3.417959597535294</t>
  </si>
  <si>
    <t>3.407742483342976</t>
  </si>
  <si>
    <t>34.67036525627116</t>
  </si>
  <si>
    <t>27.045397616496018</t>
  </si>
  <si>
    <t>34.091414995674576</t>
  </si>
  <si>
    <t>1.2605255607290802</t>
  </si>
  <si>
    <t>24.76970651654637</t>
  </si>
  <si>
    <t>1.376335039452374</t>
  </si>
  <si>
    <t>29.668302118224275</t>
  </si>
  <si>
    <t>0.7272463399403288</t>
  </si>
  <si>
    <t>27.65324298160697</t>
  </si>
  <si>
    <t>30.49622458857696</t>
  </si>
  <si>
    <t>1.1028082532258856</t>
  </si>
  <si>
    <t>44.58303972109928</t>
  </si>
  <si>
    <t>34.59895041352965</t>
  </si>
  <si>
    <t>0.7760563350990044</t>
  </si>
  <si>
    <t>41.986889441085935</t>
  </si>
  <si>
    <t>0.8240417633718092</t>
  </si>
  <si>
    <t>381.15487927955905</t>
  </si>
  <si>
    <t>48.877054058949874</t>
  </si>
  <si>
    <t>0.12823410302744903</t>
  </si>
  <si>
    <t>381.15490515746706</t>
  </si>
  <si>
    <t>0.1282340943211979</t>
  </si>
  <si>
    <t>57.832682049685076</t>
  </si>
  <si>
    <t>34.09168533456558</t>
  </si>
  <si>
    <t>0.5894882292555067</t>
  </si>
  <si>
    <t>91.76492403115401</t>
  </si>
  <si>
    <t>35.088456390875486</t>
  </si>
  <si>
    <t>0.38237329525781577</t>
  </si>
  <si>
    <t>78.66155097901644</t>
  </si>
  <si>
    <t>0.4460687076998468</t>
  </si>
  <si>
    <t>75.02983689165893</t>
  </si>
  <si>
    <t>42.62648631923264</t>
  </si>
  <si>
    <t>0.5681271356191823</t>
  </si>
  <si>
    <t>120.78116747957377</t>
  </si>
  <si>
    <t>42.31864922799714</t>
  </si>
  <si>
    <t>0.35037456675647694</t>
  </si>
  <si>
    <t>131.80419833514296</t>
  </si>
  <si>
    <t>38.775231819486564</t>
  </si>
  <si>
    <t>0.29418813899153257</t>
  </si>
  <si>
    <t>100.61691657836292</t>
  </si>
  <si>
    <t>36.052720965002685</t>
  </si>
  <si>
    <t>0.35831669455825493</t>
  </si>
  <si>
    <t>144.0779258029984</t>
  </si>
  <si>
    <t>36.01426471416791</t>
  </si>
  <si>
    <t>0.24996379225649856</t>
  </si>
  <si>
    <t>148.29008872701039</t>
  </si>
  <si>
    <t>36.038030871588816</t>
  </si>
  <si>
    <t>0.24302386748133795</t>
  </si>
  <si>
    <t>20.22319474835886</t>
  </si>
  <si>
    <t>60.19783166575358</t>
  </si>
  <si>
    <t>31.353680689714828</t>
  </si>
  <si>
    <t>0.5208440208246217</t>
  </si>
  <si>
    <t>29.425748752079866</t>
  </si>
  <si>
    <t>79.06717970049917</t>
  </si>
  <si>
    <t>281.8597995335056</t>
  </si>
  <si>
    <t>43.71285381075459</t>
  </si>
  <si>
    <t>0.15508722380098866</t>
  </si>
  <si>
    <t>37.03214901810451</t>
  </si>
  <si>
    <t>31.37400895642022</t>
  </si>
  <si>
    <t>0.8472100536504618</t>
  </si>
  <si>
    <t>74.90449561289111</t>
  </si>
  <si>
    <t>0.3936828794010074</t>
  </si>
  <si>
    <t>73.69974944677115</t>
  </si>
  <si>
    <t>30.684460213244574</t>
  </si>
  <si>
    <t>103.4981647335193</t>
  </si>
  <si>
    <t>28.846571722214065</t>
  </si>
  <si>
    <t>0.27871578009606685</t>
  </si>
  <si>
    <t>46.98459211645713</t>
  </si>
  <si>
    <t>0.2633202820136116</t>
  </si>
  <si>
    <t>282.8638056527082</t>
  </si>
  <si>
    <t>0.1661032312283298</t>
  </si>
  <si>
    <t>97.58877214510315</t>
  </si>
  <si>
    <t>34.608520592069944</t>
  </si>
  <si>
    <t>96.67670066722908</t>
  </si>
  <si>
    <t>0.35798202000289553</t>
  </si>
  <si>
    <t>38.88134346433665</t>
  </si>
  <si>
    <t>0.30145852895148667</t>
  </si>
  <si>
    <t>87.61239547466798</t>
  </si>
  <si>
    <t>49.40482046237088</t>
  </si>
  <si>
    <t>0.5639021761099509</t>
  </si>
  <si>
    <t>105.95192539109506</t>
  </si>
  <si>
    <t>0.3618836077509692</t>
  </si>
  <si>
    <t>159.7225466881371</t>
  </si>
  <si>
    <t>37.17129548990403</t>
  </si>
  <si>
    <t>0.23272415986756123</t>
  </si>
  <si>
    <t>81.27335000543655</t>
  </si>
  <si>
    <t>40.81243883875177</t>
  </si>
  <si>
    <t>115.00952942332253</t>
  </si>
  <si>
    <t>35.72972132167534</t>
  </si>
  <si>
    <t>0.31066748556254675</t>
  </si>
  <si>
    <t>116.26664825106783</t>
  </si>
  <si>
    <t>35.295079736794364</t>
  </si>
  <si>
    <t>0.3035701146263172</t>
  </si>
  <si>
    <t>26.953917050691246</t>
  </si>
  <si>
    <t>68.73180459630841</t>
  </si>
  <si>
    <t>34.53224080132477</t>
  </si>
  <si>
    <t>0.5024201096442549</t>
  </si>
  <si>
    <t>274.0482897384306</t>
  </si>
  <si>
    <t>0.12070674439435544</t>
  </si>
  <si>
    <t>5.930914620899413</t>
  </si>
  <si>
    <t>94.55497382198953</t>
  </si>
  <si>
    <t>25.43874345549738</t>
  </si>
  <si>
    <t>0.2690365448504983</t>
  </si>
  <si>
    <t>236.2303664921466</t>
  </si>
  <si>
    <t>0.10768617021276596</t>
  </si>
  <si>
    <t>104.5628367554973</t>
  </si>
  <si>
    <t>27.528469491772245</t>
  </si>
  <si>
    <t>0.2632720223165231</t>
  </si>
  <si>
    <t>99.24707371481566</t>
  </si>
  <si>
    <t>64.32615234228138</t>
  </si>
  <si>
    <t>0.6481415515294808</t>
  </si>
  <si>
    <t>119.04939240718495</t>
  </si>
  <si>
    <t>64.46290471268541</t>
  </si>
  <si>
    <t>0.5414803335761914</t>
  </si>
  <si>
    <t>73.67588915584363</t>
  </si>
  <si>
    <t>36.70698220054379</t>
  </si>
  <si>
    <t>0.4982224527063256</t>
  </si>
  <si>
    <t>182.4899554783364</t>
  </si>
  <si>
    <t>0.16810032429859273</t>
  </si>
  <si>
    <t>184.33588641883057</t>
  </si>
  <si>
    <t>0.1709617430960223</t>
  </si>
  <si>
    <t>138.89104710872962</t>
  </si>
  <si>
    <t>0.27533986076036865</t>
  </si>
  <si>
    <t>110.8287642706649</t>
  </si>
  <si>
    <t>0.2960491143690101</t>
  </si>
  <si>
    <t>21.505310229178313</t>
  </si>
  <si>
    <t>106.20497772517302</t>
  </si>
  <si>
    <t>14.668688662030872</t>
  </si>
  <si>
    <t>0.13811677170150244</t>
  </si>
  <si>
    <t>326.4207168396604</t>
  </si>
  <si>
    <t>24.12627094958607</t>
  </si>
  <si>
    <t>109.09873216415603</t>
  </si>
  <si>
    <t>47.266436954248945</t>
  </si>
  <si>
    <t>0.4332446034581706</t>
  </si>
  <si>
    <t>201.03005918598996</t>
  </si>
  <si>
    <t>47.63131384790012</t>
  </si>
  <si>
    <t>0.23693627729489125</t>
  </si>
  <si>
    <t>162.40229546200695</t>
  </si>
  <si>
    <t>47.700337016167396</t>
  </si>
  <si>
    <t>0.2937171354657767</t>
  </si>
  <si>
    <t>127.99897925584459</t>
  </si>
  <si>
    <t>34.21799473164307</t>
  </si>
  <si>
    <t>0.2673302156827992</t>
  </si>
  <si>
    <t>115.2766283568245</t>
  </si>
  <si>
    <t>31.558092577091017</t>
  </si>
  <si>
    <t>0.27375967728173706</t>
  </si>
  <si>
    <t>31.137129127040527</t>
  </si>
  <si>
    <t>0.2902271206328851</t>
  </si>
  <si>
    <t>104.7211876409799</t>
  </si>
  <si>
    <t>35.05814929444474</t>
  </si>
  <si>
    <t>0.33477608575865353</t>
  </si>
  <si>
    <t>160.08645722020376</t>
  </si>
  <si>
    <t>36.63329771318658</t>
  </si>
  <si>
    <t>0.2288344582627397</t>
  </si>
  <si>
    <t>130.5271595090446</t>
  </si>
  <si>
    <t>37.44228872363602</t>
  </si>
  <si>
    <t>0.28685439003245555</t>
  </si>
  <si>
    <t>1.794882264870015</t>
  </si>
  <si>
    <t>3.6738361152677785</t>
  </si>
  <si>
    <t>44.578625238428586</t>
  </si>
  <si>
    <t>12.13408106397782</t>
  </si>
  <si>
    <t>23.148281836828353</t>
  </si>
  <si>
    <t>44.473853387155685</t>
  </si>
  <si>
    <t>1.921259370377929</t>
  </si>
  <si>
    <t>70.40517944535074</t>
  </si>
  <si>
    <t>31.421696574225123</t>
  </si>
  <si>
    <t>0.44629808235365676</t>
  </si>
  <si>
    <t>100.22594275059015</t>
  </si>
  <si>
    <t>32.32951141615917</t>
  </si>
  <si>
    <t>0.3225662989931697</t>
  </si>
  <si>
    <t>100.5806132376128</t>
  </si>
  <si>
    <t>29.64252167370353</t>
  </si>
  <si>
    <t>0.29471406784601417</t>
  </si>
  <si>
    <t>42.72865123703112</t>
  </si>
  <si>
    <t>170.11732198612916</t>
  </si>
  <si>
    <t>19.36821309165262</t>
  </si>
  <si>
    <t>0.11385209257662689</t>
  </si>
  <si>
    <t>180.65390173410404</t>
  </si>
  <si>
    <t>32.00650289017341</t>
  </si>
  <si>
    <t>0.17717028297170284</t>
  </si>
  <si>
    <t>126.65373982729702</t>
  </si>
  <si>
    <t>38.58951978629558</t>
  </si>
  <si>
    <t>0.30468519791768983</t>
  </si>
  <si>
    <t>143.68386375303686</t>
  </si>
  <si>
    <t>39.49191536391489</t>
  </si>
  <si>
    <t>0.2748528215513011</t>
  </si>
  <si>
    <t>140.37715541248755</t>
  </si>
  <si>
    <t>39.562711879273216</t>
  </si>
  <si>
    <t>0.28183155416578437</t>
  </si>
  <si>
    <t>10.364768683274022</t>
  </si>
  <si>
    <t>34.65836298932384</t>
  </si>
  <si>
    <t>3.343862660944206</t>
  </si>
  <si>
    <t>9.027666086539039</t>
  </si>
  <si>
    <t>32.47338414451179</t>
  </si>
  <si>
    <t>3.597096285266041</t>
  </si>
  <si>
    <t>84.62122247105516</t>
  </si>
  <si>
    <t>29.524318855868085</t>
  </si>
  <si>
    <t>0.34889969671576104</t>
  </si>
  <si>
    <t>12164.87323943662</t>
  </si>
  <si>
    <t>64.11737089201878</t>
  </si>
  <si>
    <t>587.8967357512953</t>
  </si>
  <si>
    <t>37.53777202072539</t>
  </si>
  <si>
    <t>108.36037854534189</t>
  </si>
  <si>
    <t>39.66752884624412</t>
  </si>
  <si>
    <t>0.3660704159467826</t>
  </si>
  <si>
    <t>106.85554014665216</t>
  </si>
  <si>
    <t>74.28049924846995</t>
  </si>
  <si>
    <t>73.24324290609094</t>
  </si>
  <si>
    <t>76.51565150859918</t>
  </si>
  <si>
    <t>1.0446786416421234</t>
  </si>
  <si>
    <t>38.98443031065863</t>
  </si>
  <si>
    <t>45.74984684273255</t>
  </si>
  <si>
    <t>1.1735415004954992</t>
  </si>
  <si>
    <t>17.000613162556206</t>
  </si>
  <si>
    <t>26.327394740427852</t>
  </si>
  <si>
    <t>1.5486144228264571</t>
  </si>
  <si>
    <t>45.63301779287157</t>
  </si>
  <si>
    <t>26.50730557028579</t>
  </si>
  <si>
    <t>0.5808799604401038</t>
  </si>
  <si>
    <t>48.855039919297724</t>
  </si>
  <si>
    <t>22.82310102639752</t>
  </si>
  <si>
    <t>0.46715960245039945</t>
  </si>
  <si>
    <t>110.14890324929462</t>
  </si>
  <si>
    <t>0.26537651441159604</t>
  </si>
  <si>
    <t>60.90802532511978</t>
  </si>
  <si>
    <t>29.790155144877936</t>
  </si>
  <si>
    <t>0.4891006560442838</t>
  </si>
  <si>
    <t>43.951963148494485</t>
  </si>
  <si>
    <t>29.132173505162697</t>
  </si>
  <si>
    <t>0.6628184822311078</t>
  </si>
  <si>
    <t>29.32854533231226</t>
  </si>
  <si>
    <t>0.37544284121860344</t>
  </si>
  <si>
    <t>105.45247267866971</t>
  </si>
  <si>
    <t>32.54147338627251</t>
  </si>
  <si>
    <t>0.30858900279589935</t>
  </si>
  <si>
    <t>83.04141545732723</t>
  </si>
  <si>
    <t>0.3536097729690603</t>
  </si>
  <si>
    <t>61.11315203519882</t>
  </si>
  <si>
    <t>30.169549175294613</t>
  </si>
  <si>
    <t>0.49366704499087394</t>
  </si>
  <si>
    <t>91.95505072569293</t>
  </si>
  <si>
    <t>38.319377700111644</t>
  </si>
  <si>
    <t>0.41671857497442416</t>
  </si>
  <si>
    <t>127.23397660086734</t>
  </si>
  <si>
    <t>35.21721875759294</t>
  </si>
  <si>
    <t>0.27679099324286044</t>
  </si>
  <si>
    <t>112.28776395838956</t>
  </si>
  <si>
    <t>33.701409854446545</t>
  </si>
  <si>
    <t>0.3001343037424386</t>
  </si>
  <si>
    <t>196.4046070740435</t>
  </si>
  <si>
    <t>68.98723506743738</t>
  </si>
  <si>
    <t>0.3512505948571235</t>
  </si>
  <si>
    <t>167.32735213770312</t>
  </si>
  <si>
    <t>50.07903149468999</t>
  </si>
  <si>
    <t>0.2992877784468682</t>
  </si>
  <si>
    <t>140.72047369794186</t>
  </si>
  <si>
    <t>6385.263157894737</t>
  </si>
  <si>
    <t>31.43859649122807</t>
  </si>
  <si>
    <t>109.10969387755102</t>
  </si>
  <si>
    <t>34.891415261756876</t>
  </si>
  <si>
    <t>0.3197829085737695</t>
  </si>
  <si>
    <t>148.68140157561402</t>
  </si>
  <si>
    <t>32.59010864528088</t>
  </si>
  <si>
    <t>0.2191942522730842</t>
  </si>
  <si>
    <t>299.00513112884835</t>
  </si>
  <si>
    <t>154.62954807591487</t>
  </si>
  <si>
    <t>28.633427702631856</t>
  </si>
  <si>
    <t>0.18517436065049075</t>
  </si>
  <si>
    <t>81.87141056647478</t>
  </si>
  <si>
    <t>28.301943075148785</t>
  </si>
  <si>
    <t>48.04836813190463</t>
  </si>
  <si>
    <t>30.51224648415962</t>
  </si>
  <si>
    <t>0.6350318995308222</t>
  </si>
  <si>
    <t>31.047335646132595</t>
  </si>
  <si>
    <t>0.6774539357285845</t>
  </si>
  <si>
    <t>47.998757590673506</t>
  </si>
  <si>
    <t>31.289003624571276</t>
  </si>
  <si>
    <t>0.6518711149025855</t>
  </si>
  <si>
    <t>31.58793999182768</t>
  </si>
  <si>
    <t>30.466639425602708</t>
  </si>
  <si>
    <t>0.9645022573008853</t>
  </si>
  <si>
    <t>38.31455183359786</t>
  </si>
  <si>
    <t>21.23547148758684</t>
  </si>
  <si>
    <t>33.105743217813675</t>
  </si>
  <si>
    <t>1.5589831964487146</t>
  </si>
  <si>
    <t>185.23042754025542</t>
  </si>
  <si>
    <t>32.47251526929484</t>
  </si>
  <si>
    <t>0.17530875299760193</t>
  </si>
  <si>
    <t>244.91948917268184</t>
  </si>
  <si>
    <t>0.13258444797098165</t>
  </si>
  <si>
    <t>129.73765443413865</t>
  </si>
  <si>
    <t>29.23335594090259</t>
  </si>
  <si>
    <t>0.22532668767911873</t>
  </si>
  <si>
    <t>0.033081726494220184</t>
  </si>
  <si>
    <t>93.27956295237657</t>
  </si>
  <si>
    <t>0.45348527450085924</t>
  </si>
  <si>
    <t>26.777497228722748</t>
  </si>
  <si>
    <t>26.748297322686707</t>
  </si>
  <si>
    <t>26.651654621529097</t>
  </si>
  <si>
    <t>130.82426778242677</t>
  </si>
  <si>
    <t>43.00396388460692</t>
  </si>
  <si>
    <t>0.3287154945604328</t>
  </si>
  <si>
    <t>150.4990433118803</t>
  </si>
  <si>
    <t>0.28525379123666955</t>
  </si>
  <si>
    <t>103.97870420586091</t>
  </si>
  <si>
    <t>36.14945860527743</t>
  </si>
  <si>
    <t>0.34766213794804934</t>
  </si>
  <si>
    <t>195.88723131603763</t>
  </si>
  <si>
    <t>38.02487971179187</t>
  </si>
  <si>
    <t>0.1941161731488453</t>
  </si>
  <si>
    <t>225.44469200221647</t>
  </si>
  <si>
    <t>40.37297977465829</t>
  </si>
  <si>
    <t>0.17908152734091146</t>
  </si>
  <si>
    <t>277.3956348061925</t>
  </si>
  <si>
    <t>39.78244595664259</t>
  </si>
  <si>
    <t>0.14341410233235038</t>
  </si>
  <si>
    <t>105.18680763400319</t>
  </si>
  <si>
    <t>40.95482372604656</t>
  </si>
  <si>
    <t>0.3893532339963069</t>
  </si>
  <si>
    <t>103.66997635658463</t>
  </si>
  <si>
    <t>36.14647852875063</t>
  </si>
  <si>
    <t>0.34866872549889194</t>
  </si>
  <si>
    <t>92.20570794188079</t>
  </si>
  <si>
    <t>31.812995397749905</t>
  </si>
  <si>
    <t>0.3450219743207471</t>
  </si>
  <si>
    <t>26.918058523396276</t>
  </si>
  <si>
    <t>0.3912071586971719</t>
  </si>
  <si>
    <t>55.29104819715148</t>
  </si>
  <si>
    <t>22.988128546813993</t>
  </si>
  <si>
    <t>0.4157658300281294</t>
  </si>
  <si>
    <t>37.681510989970995</t>
  </si>
  <si>
    <t>21.902009295174196</t>
  </si>
  <si>
    <t>0.5812402082550102</t>
  </si>
  <si>
    <t>154.48381102539557</t>
  </si>
  <si>
    <t>31.482459597950335</t>
  </si>
  <si>
    <t>0.2037913189025026</t>
  </si>
  <si>
    <t>84.82099011059746</t>
  </si>
  <si>
    <t>31.65383580080754</t>
  </si>
  <si>
    <t>0.37318399324900986</t>
  </si>
  <si>
    <t>77.56763997362246</t>
  </si>
  <si>
    <t>29.808207539128915</t>
  </si>
  <si>
    <t>0.3842866374336701</t>
  </si>
  <si>
    <t>111.23139686684073</t>
  </si>
  <si>
    <t>30.094973890339425</t>
  </si>
  <si>
    <t>0.2705618623702734</t>
  </si>
  <si>
    <t>123.64806002928258</t>
  </si>
  <si>
    <t>29.869326500732065</t>
  </si>
  <si>
    <t>0.24156728778161463</t>
  </si>
  <si>
    <t>104.59323263636963</t>
  </si>
  <si>
    <t>28.858452608666976</t>
  </si>
  <si>
    <t>0.2759112791646539</t>
  </si>
  <si>
    <t>156.94480774261052</t>
  </si>
  <si>
    <t>31.41995814805127</t>
  </si>
  <si>
    <t>161.41861226781452</t>
  </si>
  <si>
    <t>31.51045711879474</t>
  </si>
  <si>
    <t>0.1952095652173913</t>
  </si>
  <si>
    <t>156.25144954251434</t>
  </si>
  <si>
    <t>28.149545865871232</t>
  </si>
  <si>
    <t>0.1801554222267362</t>
  </si>
  <si>
    <t>201.15178941141673</t>
  </si>
  <si>
    <t>33.39997042295179</t>
  </si>
  <si>
    <t>0.16604361572264548</t>
  </si>
  <si>
    <t>187.06724740672817</t>
  </si>
  <si>
    <t>32.91887214167001</t>
  </si>
  <si>
    <t>0.17597346728525193</t>
  </si>
  <si>
    <t>195.80576614666862</t>
  </si>
  <si>
    <t>30.978505821340054</t>
  </si>
  <si>
    <t>0.15821038588891992</t>
  </si>
  <si>
    <t>37.662721893491124</t>
  </si>
  <si>
    <t>94.37854564208355</t>
  </si>
  <si>
    <t>36.507649991404506</t>
  </si>
  <si>
    <t>0.3868214936247723</t>
  </si>
  <si>
    <t>61.28721479427591</t>
  </si>
  <si>
    <t>38.08546185116432</t>
  </si>
  <si>
    <t>0.6214258875853079</t>
  </si>
  <si>
    <t>137.58472858531167</t>
  </si>
  <si>
    <t>32.44353741496599</t>
  </si>
  <si>
    <t>0.23580769281998357</t>
  </si>
  <si>
    <t>34.30444451454167</t>
  </si>
  <si>
    <t>0.25628535938104247</t>
  </si>
  <si>
    <t>160.57283214368962</t>
  </si>
  <si>
    <t>39.34368169443968</t>
  </si>
  <si>
    <t>0.24502078694877064</t>
  </si>
  <si>
    <t>15.953787811976365</t>
  </si>
  <si>
    <t>2.504383637368712</t>
  </si>
  <si>
    <t>106.5796423451294</t>
  </si>
  <si>
    <t>0.6905248377581121</t>
  </si>
  <si>
    <t>158.13415245469767</t>
  </si>
  <si>
    <t>0.44847401611978555</t>
  </si>
  <si>
    <t>1734.6606373815675</t>
  </si>
  <si>
    <t>31.209302325581394</t>
  </si>
  <si>
    <t>0.017991589624522266</t>
  </si>
  <si>
    <t>372.05857253685025</t>
  </si>
  <si>
    <t>33.161268425135766</t>
  </si>
  <si>
    <t>94.50615654840982</t>
  </si>
  <si>
    <t>35.13183305544906</t>
  </si>
  <si>
    <t>0.3717412107162895</t>
  </si>
  <si>
    <t>495.91592587012207</t>
  </si>
  <si>
    <t>44.55522073225855</t>
  </si>
  <si>
    <t>89.47555293423768</t>
  </si>
  <si>
    <t>41.76010026540843</t>
  </si>
  <si>
    <t>0.46672078457118976</t>
  </si>
  <si>
    <t>41.10377275328366</t>
  </si>
  <si>
    <t>32.239519258208965</t>
  </si>
  <si>
    <t>245.39737274220033</t>
  </si>
  <si>
    <t>62.41954022988506</t>
  </si>
  <si>
    <t>0.2543610778403046</t>
  </si>
  <si>
    <t>192.7970185696845</t>
  </si>
  <si>
    <t>0.33052874520913184</t>
  </si>
  <si>
    <t>80.20113161348671</t>
  </si>
  <si>
    <t>40.53775905235643</t>
  </si>
  <si>
    <t>0.5054512104357833</t>
  </si>
  <si>
    <t>117.00429478165026</t>
  </si>
  <si>
    <t>39.74839420774581</t>
  </si>
  <si>
    <t>283.9709750062554</t>
  </si>
  <si>
    <t>34.89032917234285</t>
  </si>
  <si>
    <t>0.12286582870511424</t>
  </si>
  <si>
    <t>187.65335683761913</t>
  </si>
  <si>
    <t>35.24230311326343</t>
  </si>
  <si>
    <t>37.88217867622927</t>
  </si>
  <si>
    <t>0.24345897516645124</t>
  </si>
  <si>
    <t>220.23549934583514</t>
  </si>
  <si>
    <t>43.37854339293502</t>
  </si>
  <si>
    <t>0.19696435643564356</t>
  </si>
  <si>
    <t>123.26092262631194</t>
  </si>
  <si>
    <t>44.16451061752502</t>
  </si>
  <si>
    <t>0.3583009900990099</t>
  </si>
  <si>
    <t>378.5656538615982</t>
  </si>
  <si>
    <t>48.269977245348684</t>
  </si>
  <si>
    <t>0.12750754526451563</t>
  </si>
  <si>
    <t>50.77314128362635</t>
  </si>
  <si>
    <t>32.533997034526585</t>
  </si>
  <si>
    <t>0.6407717980809345</t>
  </si>
  <si>
    <t>33.516121784069206</t>
  </si>
  <si>
    <t>33.66711605437591</t>
  </si>
  <si>
    <t>1.0045051235724558</t>
  </si>
  <si>
    <t>36.98858605859577</t>
  </si>
  <si>
    <t>0.8844728064514183</t>
  </si>
  <si>
    <t>351.64055055584964</t>
  </si>
  <si>
    <t>30.149285336156698</t>
  </si>
  <si>
    <t>504.71066070858603</t>
  </si>
  <si>
    <t>33.66342164060006</t>
  </si>
  <si>
    <t>106.22602042812977</t>
  </si>
  <si>
    <t>35.97357453136618</t>
  </si>
  <si>
    <t>0.3386512493490719</t>
  </si>
  <si>
    <t>188.71757015665503</t>
  </si>
  <si>
    <t>0.18256323861997467</t>
  </si>
  <si>
    <t>167.66561473234952</t>
  </si>
  <si>
    <t>0.17278472162339553</t>
  </si>
  <si>
    <t>259.3066586139212</t>
  </si>
  <si>
    <t>0.1399951554337168</t>
  </si>
  <si>
    <t>193.56648950135062</t>
  </si>
  <si>
    <t>42.68736945570709</t>
  </si>
  <si>
    <t>0.7648368654748303</t>
  </si>
  <si>
    <t>85.82785458198859</t>
  </si>
  <si>
    <t>42.017485669458225</t>
  </si>
  <si>
    <t>0.48955535326029004</t>
  </si>
  <si>
    <t>113.16197807784285</t>
  </si>
  <si>
    <t>43.78805901241356</t>
  </si>
  <si>
    <t>0.3869502792032519</t>
  </si>
  <si>
    <t>42.851500789889414</t>
  </si>
  <si>
    <t>111.53559281721965</t>
  </si>
  <si>
    <t>43.036936615530976</t>
  </si>
  <si>
    <t>0.3858583213527031</t>
  </si>
  <si>
    <t>78.05479134466769</t>
  </si>
  <si>
    <t>40.42733495252815</t>
  </si>
  <si>
    <t>0.5179353407532995</t>
  </si>
  <si>
    <t>74.08823267438265</t>
  </si>
  <si>
    <t>0.5546486430446198</t>
  </si>
  <si>
    <t>40.695751571727946</t>
  </si>
  <si>
    <t>0.6712988970657079</t>
  </si>
  <si>
    <t>209.51855324039073</t>
  </si>
  <si>
    <t>35.510569449904736</t>
  </si>
  <si>
    <t>0.1694865151591695</t>
  </si>
  <si>
    <t>168.96929926622298</t>
  </si>
  <si>
    <t>34.16046912086378</t>
  </si>
  <si>
    <t>0.20216967975372593</t>
  </si>
  <si>
    <t>144.16830667649603</t>
  </si>
  <si>
    <t>34.54837014006859</t>
  </si>
  <si>
    <t>0.23963914771915026</t>
  </si>
  <si>
    <t>60.889040731883235</t>
  </si>
  <si>
    <t>35.84276657935695</t>
  </si>
  <si>
    <t>0.5886571072319202</t>
  </si>
  <si>
    <t>63.643976128310335</t>
  </si>
  <si>
    <t>34.557586306933565</t>
  </si>
  <si>
    <t>0.5429828305708502</t>
  </si>
  <si>
    <t>58.017147527794656</t>
  </si>
  <si>
    <t>33.719909448043886</t>
  </si>
  <si>
    <t>192.57411786870534</t>
  </si>
  <si>
    <t>38.22961442545575</t>
  </si>
  <si>
    <t>0.19851896427494078</t>
  </si>
  <si>
    <t>179.42106682269818</t>
  </si>
  <si>
    <t>37.586391141420684</t>
  </si>
  <si>
    <t>0.2094870563809718</t>
  </si>
  <si>
    <t>131.88347679038367</t>
  </si>
  <si>
    <t>31.07963519871594</t>
  </si>
  <si>
    <t>0.23565981088073742</t>
  </si>
  <si>
    <t>40.07238636363636</t>
  </si>
  <si>
    <t>37.50408450704225</t>
  </si>
  <si>
    <t>100.01724435247456</t>
  </si>
  <si>
    <t>25.64453641432431</t>
  </si>
  <si>
    <t>0.25640114942528736</t>
  </si>
  <si>
    <t>99.08459913489588</t>
  </si>
  <si>
    <t>26.352747879153675</t>
  </si>
  <si>
    <t>0.2659620981387479</t>
  </si>
  <si>
    <t>85.38726289933464</t>
  </si>
  <si>
    <t>24.633402314708363</t>
  </si>
  <si>
    <t>0.2884903611882881</t>
  </si>
  <si>
    <t>300.2667478313803</t>
  </si>
  <si>
    <t>33.59893471313347</t>
  </si>
  <si>
    <t>0.1118969548103325</t>
  </si>
  <si>
    <t>195.51399621091173</t>
  </si>
  <si>
    <t>26.55795389233029</t>
  </si>
  <si>
    <t>0.1358365866742387</t>
  </si>
  <si>
    <t>164.90999272878364</t>
  </si>
  <si>
    <t>27.14008962887118</t>
  </si>
  <si>
    <t>0.16457516721564994</t>
  </si>
  <si>
    <t>253.00475059382424</t>
  </si>
  <si>
    <t>32.16270783847981</t>
  </si>
  <si>
    <t>0.12712294043092523</t>
  </si>
  <si>
    <t>122.17403225363334</t>
  </si>
  <si>
    <t>36.20500013736641</t>
  </si>
  <si>
    <t>0.29633956962478586</t>
  </si>
  <si>
    <t>99.92611689485733</t>
  </si>
  <si>
    <t>36.38453953603663</t>
  </si>
  <si>
    <t>0.36411441439599407</t>
  </si>
  <si>
    <t>93.59857664638886</t>
  </si>
  <si>
    <t>0.3774715207386212</t>
  </si>
  <si>
    <t>20.686822214919488</t>
  </si>
  <si>
    <t>29.757476174827474</t>
  </si>
  <si>
    <t>1.4384749801429706</t>
  </si>
  <si>
    <t>107.71533955304838</t>
  </si>
  <si>
    <t>22.367162074202646</t>
  </si>
  <si>
    <t>0.2076506667203803</t>
  </si>
  <si>
    <t>116.6119277221234</t>
  </si>
  <si>
    <t>26.74983615766314</t>
  </si>
  <si>
    <t>0.22939193854513573</t>
  </si>
  <si>
    <t>27.26860491322966</t>
  </si>
  <si>
    <t>0.47005557178644025</t>
  </si>
  <si>
    <t>48.65196805203501</t>
  </si>
  <si>
    <t>26.77362220415451</t>
  </si>
  <si>
    <t>0.5503091298489543</t>
  </si>
  <si>
    <t>63.39571448587842</t>
  </si>
  <si>
    <t>25.913819331852118</t>
  </si>
  <si>
    <t>0.40876295096610193</t>
  </si>
  <si>
    <t>92.86492528971196</t>
  </si>
  <si>
    <t>41.622033014122295</t>
  </si>
  <si>
    <t>0.44819971463147656</t>
  </si>
  <si>
    <t>86.27184438649658</t>
  </si>
  <si>
    <t>41.14652195362605</t>
  </si>
  <si>
    <t>0.4769403302575779</t>
  </si>
  <si>
    <t>108.82470330255433</t>
  </si>
  <si>
    <t>41.03329176533229</t>
  </si>
  <si>
    <t>0.37705861371614835</t>
  </si>
  <si>
    <t>30.15398423476157</t>
  </si>
  <si>
    <t>33.83571372824475</t>
  </si>
  <si>
    <t>1.1220976128666564</t>
  </si>
  <si>
    <t>109.74376355748373</t>
  </si>
  <si>
    <t>35.66271993251386</t>
  </si>
  <si>
    <t>0.32496352208509544</t>
  </si>
  <si>
    <t>122.01468494927836</t>
  </si>
  <si>
    <t>29.423395016126417</t>
  </si>
  <si>
    <t>0.24114634257636902</t>
  </si>
  <si>
    <t>42.18728781360689</t>
  </si>
  <si>
    <t>0.6324557308016752</t>
  </si>
  <si>
    <t>88.65211378134154</t>
  </si>
  <si>
    <t>40.076493943420125</t>
  </si>
  <si>
    <t>0.4520647307098385</t>
  </si>
  <si>
    <t>93.51241248749821</t>
  </si>
  <si>
    <t>37.586271253036145</t>
  </si>
  <si>
    <t>0.4019388469745779</t>
  </si>
  <si>
    <t>191.1904787824686</t>
  </si>
  <si>
    <t>34.62218859544079</t>
  </si>
  <si>
    <t>0.18108740987480337</t>
  </si>
  <si>
    <t>150.42143111850706</t>
  </si>
  <si>
    <t>33.87410356987203</t>
  </si>
  <si>
    <t>0.2251946635395648</t>
  </si>
  <si>
    <t>159.02000357355072</t>
  </si>
  <si>
    <t>36.504311114989385</t>
  </si>
  <si>
    <t>0.22955798198121172</t>
  </si>
  <si>
    <t>140.2245872289636</t>
  </si>
  <si>
    <t>40.94041067126406</t>
  </si>
  <si>
    <t>0.29196313913490174</t>
  </si>
  <si>
    <t>111.83883911405856</t>
  </si>
  <si>
    <t>40.251822282494096</t>
  </si>
  <si>
    <t>0.3599091567951933</t>
  </si>
  <si>
    <t>127.4666623444131</t>
  </si>
  <si>
    <t>41.51541679604991</t>
  </si>
  <si>
    <t>0.32569627251928707</t>
  </si>
  <si>
    <t>147.12524883422867</t>
  </si>
  <si>
    <t>36.64522374628453</t>
  </si>
  <si>
    <t>0.24907501626436684</t>
  </si>
  <si>
    <t>138.68753473202815</t>
  </si>
  <si>
    <t>37.02290264100065</t>
  </si>
  <si>
    <t>0.2669519125315497</t>
  </si>
  <si>
    <t>132.95065171389027</t>
  </si>
  <si>
    <t>0.29260344662298005</t>
  </si>
  <si>
    <t>72.64724919093851</t>
  </si>
  <si>
    <t>36.01607335490831</t>
  </si>
  <si>
    <t>0.49576651223568546</t>
  </si>
  <si>
    <t>53.684754652276965</t>
  </si>
  <si>
    <t>33.31348025619043</t>
  </si>
  <si>
    <t>0.6205389308746236</t>
  </si>
  <si>
    <t>64.51680388716426</t>
  </si>
  <si>
    <t>0.5269498575677382</t>
  </si>
  <si>
    <t>357.64406083025074</t>
  </si>
  <si>
    <t>55.45355528154542</t>
  </si>
  <si>
    <t>0.15505235890905913</t>
  </si>
  <si>
    <t>133.79406035446272</t>
  </si>
  <si>
    <t>39.05482995369631</t>
  </si>
  <si>
    <t>0.2919025691441588</t>
  </si>
  <si>
    <t>185.04449987441646</t>
  </si>
  <si>
    <t>38.27968751353271</t>
  </si>
  <si>
    <t>0.20686746993027005</t>
  </si>
  <si>
    <t>40.08057813911473</t>
  </si>
  <si>
    <t>42.19554490342591</t>
  </si>
  <si>
    <t>132.5321163790418</t>
  </si>
  <si>
    <t>36.624260170705874</t>
  </si>
  <si>
    <t>0.2763425286740348</t>
  </si>
  <si>
    <t>156.89703890071607</t>
  </si>
  <si>
    <t>0.21697317624845758</t>
  </si>
  <si>
    <t>163.29495755426606</t>
  </si>
  <si>
    <t>0.2184458923731324</t>
  </si>
  <si>
    <t>114.70328354002255</t>
  </si>
  <si>
    <t>34.254368658399095</t>
  </si>
  <si>
    <t>0.2986345952899158</t>
  </si>
  <si>
    <t>31.74484947193445</t>
  </si>
  <si>
    <t>0.47524470743196706</t>
  </si>
  <si>
    <t>85.19085002555074</t>
  </si>
  <si>
    <t>32.46266502692655</t>
  </si>
  <si>
    <t>0.38105811853256816</t>
  </si>
  <si>
    <t>110.3845876102543</t>
  </si>
  <si>
    <t>40.65977201217311</t>
  </si>
  <si>
    <t>0.36834645934208277</t>
  </si>
  <si>
    <t>82.67546553413916</t>
  </si>
  <si>
    <t>42.217102254165304</t>
  </si>
  <si>
    <t>0.5106364020016628</t>
  </si>
  <si>
    <t>252.01089817376496</t>
  </si>
  <si>
    <t>41.57442597790747</t>
  </si>
  <si>
    <t>0.1649707464208208</t>
  </si>
  <si>
    <t>337.42365097588976</t>
  </si>
  <si>
    <t>0.14012780031031385</t>
  </si>
  <si>
    <t>75.27080142564733</t>
  </si>
  <si>
    <t>0.5309178563903546</t>
  </si>
  <si>
    <t>130.60699705037797</t>
  </si>
  <si>
    <t>33.87158888910593</t>
  </si>
  <si>
    <t>0.2593397724016342</t>
  </si>
  <si>
    <t>117.26934401619017</t>
  </si>
  <si>
    <t>33.39790821700797</t>
  </si>
  <si>
    <t>0.28479658087280735</t>
  </si>
  <si>
    <t>105.9463543418152</t>
  </si>
  <si>
    <t>31.793191042670852</t>
  </si>
  <si>
    <t>0.30008763623990625</t>
  </si>
  <si>
    <t>167.84391269470936</t>
  </si>
  <si>
    <t>36.426926646149326</t>
  </si>
  <si>
    <t>0.21702858364846467</t>
  </si>
  <si>
    <t>94.65407829879264</t>
  </si>
  <si>
    <t>36.58215188089192</t>
  </si>
  <si>
    <t>0.38648257463787006</t>
  </si>
  <si>
    <t>130.06651627917188</t>
  </si>
  <si>
    <t>31.810654460032055</t>
  </si>
  <si>
    <t>0.24457220328523577</t>
  </si>
  <si>
    <t>125.28782475802343</t>
  </si>
  <si>
    <t>35.32103922567499</t>
  </si>
  <si>
    <t>0.2819191672765715</t>
  </si>
  <si>
    <t>18.405141046206815</t>
  </si>
  <si>
    <t>34.41760241010994</t>
  </si>
  <si>
    <t>1.8699993835256805</t>
  </si>
  <si>
    <t>24.036417297574747</t>
  </si>
  <si>
    <t>29.93707814705505</t>
  </si>
  <si>
    <t>1.2454883677724997</t>
  </si>
  <si>
    <t>6126.131896551724</t>
  </si>
  <si>
    <t>34.01635111876076</t>
  </si>
  <si>
    <t>11.23251481795089</t>
  </si>
  <si>
    <t>32.10251199548405</t>
  </si>
  <si>
    <t>2.857998633055924</t>
  </si>
  <si>
    <t>37.12421621873616</t>
  </si>
  <si>
    <t>30.989767138295143</t>
  </si>
  <si>
    <t>0.8347588257676123</t>
  </si>
  <si>
    <t>94.22101256598125</t>
  </si>
  <si>
    <t>28.83997577404869</t>
  </si>
  <si>
    <t>25.76783783783784</t>
  </si>
  <si>
    <t>27.677313264792154</t>
  </si>
  <si>
    <t>2681.574918566775</t>
  </si>
  <si>
    <t>30.281758957654723</t>
  </si>
  <si>
    <t>78402.93488137305</t>
  </si>
  <si>
    <t>44.47905098435134</t>
  </si>
  <si>
    <t>31.359304245911247</t>
  </si>
  <si>
    <t>28.050450162484683</t>
  </si>
  <si>
    <t>0.8944857303759224</t>
  </si>
  <si>
    <t>41.08199194613004</t>
  </si>
  <si>
    <t>28.957944599136926</t>
  </si>
  <si>
    <t>71.07675154880987</t>
  </si>
  <si>
    <t>28.896465522984094</t>
  </si>
  <si>
    <t>0.4065529852351271</t>
  </si>
  <si>
    <t>8.588445966988477</t>
  </si>
  <si>
    <t>32.610868888196826</t>
  </si>
  <si>
    <t>3.7970628229534946</t>
  </si>
  <si>
    <t>506.1278422121748</t>
  </si>
  <si>
    <t>33.129119979031515</t>
  </si>
  <si>
    <t>173.93223140495869</t>
  </si>
  <si>
    <t>112.55780871670702</t>
  </si>
  <si>
    <t>22.061138014527845</t>
  </si>
  <si>
    <t>0.19599828982147996</t>
  </si>
  <si>
    <t>29.962967545053406</t>
  </si>
  <si>
    <t>26.080951791826468</t>
  </si>
  <si>
    <t>0.8704395435001624</t>
  </si>
  <si>
    <t>171.72574689493118</t>
  </si>
  <si>
    <t>0.2145547734332087</t>
  </si>
  <si>
    <t>183.5221386800334</t>
  </si>
  <si>
    <t>39.42387218045113</t>
  </si>
  <si>
    <t>0.21481807298020722</t>
  </si>
  <si>
    <t>56.07251176573122</t>
  </si>
  <si>
    <t>53.985009586892104</t>
  </si>
  <si>
    <t>0.9627713809654075</t>
  </si>
  <si>
    <t>93.18705701538416</t>
  </si>
  <si>
    <t>30.53725174209529</t>
  </si>
  <si>
    <t>0.32769842422487844</t>
  </si>
  <si>
    <t>164.89127137341424</t>
  </si>
  <si>
    <t>31.80238948861398</t>
  </si>
  <si>
    <t>0.19286884759711753</t>
  </si>
  <si>
    <t>32.77861163227017</t>
  </si>
  <si>
    <t>33.275970619097585</t>
  </si>
  <si>
    <t>16.633337186452433</t>
  </si>
  <si>
    <t>29.250953646977226</t>
  </si>
  <si>
    <t>1.7585739601792973</t>
  </si>
  <si>
    <t>43.47808127538848</t>
  </si>
  <si>
    <t>31.416175688310013</t>
  </si>
  <si>
    <t>0.7225750255472677</t>
  </si>
  <si>
    <t>46.97712529540902</t>
  </si>
  <si>
    <t>31.413999988003695</t>
  </si>
  <si>
    <t>0.6687084360837576</t>
  </si>
  <si>
    <t>53.28520916509583</t>
  </si>
  <si>
    <t>31.24357622888989</t>
  </si>
  <si>
    <t>0.5863461309138637</t>
  </si>
  <si>
    <t>42.85480509994737</t>
  </si>
  <si>
    <t>30.749696559576364</t>
  </si>
  <si>
    <t>0.7175320594239298</t>
  </si>
  <si>
    <t>34.81433517456458</t>
  </si>
  <si>
    <t>31.065398067147676</t>
  </si>
  <si>
    <t>0.8923162803879742</t>
  </si>
  <si>
    <t>34.81715761383642</t>
  </si>
  <si>
    <t>29.15469103561998</t>
  </si>
  <si>
    <t>0.8373656275730513</t>
  </si>
  <si>
    <t>14.78114689709348</t>
  </si>
  <si>
    <t>39.49595443833464</t>
  </si>
  <si>
    <t>2.6720493824536042</t>
  </si>
  <si>
    <t>48.02005329479247</t>
  </si>
  <si>
    <t>35.25147012330066</t>
  </si>
  <si>
    <t>0.7340989379352377</t>
  </si>
  <si>
    <t>30.14959786889634</t>
  </si>
  <si>
    <t>32.50793215816732</t>
  </si>
  <si>
    <t>1.078221086049839</t>
  </si>
  <si>
    <t>27.041691576280353</t>
  </si>
  <si>
    <t>0.39404980310857185</t>
  </si>
  <si>
    <t>52.43478393663431</t>
  </si>
  <si>
    <t>24.834728959973937</t>
  </si>
  <si>
    <t>0.4736308056496596</t>
  </si>
  <si>
    <t>81.62168392756945</t>
  </si>
  <si>
    <t>24.628597712948505</t>
  </si>
  <si>
    <t>0.30174086747344936</t>
  </si>
  <si>
    <t>72.55080213903743</t>
  </si>
  <si>
    <t>42.54010695187166</t>
  </si>
  <si>
    <t>0.5863492297486548</t>
  </si>
  <si>
    <t>224.2192513368984</t>
  </si>
  <si>
    <t>0.18972548832550262</t>
  </si>
  <si>
    <t>51.36779252483208</t>
  </si>
  <si>
    <t>28.436585190239285</t>
  </si>
  <si>
    <t>0.5535878376804405</t>
  </si>
  <si>
    <t>55.589529284971675</t>
  </si>
  <si>
    <t>29.371820569488893</t>
  </si>
  <si>
    <t>0.5283696578706127</t>
  </si>
  <si>
    <t>51.90451378658949</t>
  </si>
  <si>
    <t>29.421950226165926</t>
  </si>
  <si>
    <t>0.5668476222922956</t>
  </si>
  <si>
    <t>2283.993288590604</t>
  </si>
  <si>
    <t>30.630872483221477</t>
  </si>
  <si>
    <t>0.013411104417965709</t>
  </si>
  <si>
    <t>1632.541547277937</t>
  </si>
  <si>
    <t>47.67664941111072</t>
  </si>
  <si>
    <t>33.89073411388667</t>
  </si>
  <si>
    <t>0.7108455508618158</t>
  </si>
  <si>
    <t>37.99407660440439</t>
  </si>
  <si>
    <t>35.50703176102915</t>
  </si>
  <si>
    <t>29.476024411508284</t>
  </si>
  <si>
    <t>6467.174168297456</t>
  </si>
  <si>
    <t>27.807240704500977</t>
  </si>
  <si>
    <t>26.475543828606742</t>
  </si>
  <si>
    <t>27.18272552271121</t>
  </si>
  <si>
    <t>1.0267107523336445</t>
  </si>
  <si>
    <t>15.691810977399472</t>
  </si>
  <si>
    <t>29.692985030818903</t>
  </si>
  <si>
    <t>1.8922599229359172</t>
  </si>
  <si>
    <t>33.80193601312551</t>
  </si>
  <si>
    <t>33.07714520098441</t>
  </si>
  <si>
    <t>33.81481379310345</t>
  </si>
  <si>
    <t>32.662179310344825</t>
  </si>
  <si>
    <t>0.9659133275193814</t>
  </si>
  <si>
    <t>82.41950433205723</t>
  </si>
  <si>
    <t>28.93417959567466</t>
  </si>
  <si>
    <t>0.3510598593156141</t>
  </si>
  <si>
    <t>29.42222535608518</t>
  </si>
  <si>
    <t>43105.768970013036</t>
  </si>
  <si>
    <t>27.472229465449804</t>
  </si>
  <si>
    <t>95.07086517383377</t>
  </si>
  <si>
    <t>29.69209809264305</t>
  </si>
  <si>
    <t>0.3123154295309303</t>
  </si>
  <si>
    <t>123.46854679534529</t>
  </si>
  <si>
    <t>29.505842606831916</t>
  </si>
  <si>
    <t>0.23897456779611398</t>
  </si>
  <si>
    <t>108.10979606826828</t>
  </si>
  <si>
    <t>30.471513307879402</t>
  </si>
  <si>
    <t>108.21361217162138</t>
  </si>
  <si>
    <t>31.576594846596553</t>
  </si>
  <si>
    <t>0.2917987322751749</t>
  </si>
  <si>
    <t>37.27574468085106</t>
  </si>
  <si>
    <t>30.527659574468085</t>
  </si>
  <si>
    <t>0.8189684695997625</t>
  </si>
  <si>
    <t>99.20409004700255</t>
  </si>
  <si>
    <t>34.899480498062175</t>
  </si>
  <si>
    <t>0.3517947746058345</t>
  </si>
  <si>
    <t>90.90765225476522</t>
  </si>
  <si>
    <t>31.960297536029753</t>
  </si>
  <si>
    <t>0.35156883654262944</t>
  </si>
  <si>
    <t>48.463626259751834</t>
  </si>
  <si>
    <t>31.53534822037402</t>
  </si>
  <si>
    <t>0.6507013744979202</t>
  </si>
  <si>
    <t>54.68480733881042</t>
  </si>
  <si>
    <t>32.05770098527393</t>
  </si>
  <si>
    <t>0.5862268250604629</t>
  </si>
  <si>
    <t>14.123603571268339</t>
  </si>
  <si>
    <t>25.386199470590874</t>
  </si>
  <si>
    <t>1.7974307578438442</t>
  </si>
  <si>
    <t>29.907758976475442</t>
  </si>
  <si>
    <t>29.227042921997523</t>
  </si>
  <si>
    <t>0.9772394830714882</t>
  </si>
  <si>
    <t>29.052475864216756</t>
  </si>
  <si>
    <t>27.91893936023491</t>
  </si>
  <si>
    <t>0.9609831358511514</t>
  </si>
  <si>
    <t>6.636202817150565</t>
  </si>
  <si>
    <t>24.949140923866175</t>
  </si>
  <si>
    <t>3.7595506965802423</t>
  </si>
  <si>
    <t>5.360911277613426</t>
  </si>
  <si>
    <t>26.354436119328707</t>
  </si>
  <si>
    <t>30.827176019185508</t>
  </si>
  <si>
    <t>24.807746854106774</t>
  </si>
  <si>
    <t>0.8047362768054881</t>
  </si>
  <si>
    <t>30.30495128030818</t>
  </si>
  <si>
    <t>0.44747804614450315</t>
  </si>
  <si>
    <t>87.21618280427501</t>
  </si>
  <si>
    <t>32.64543786887861</t>
  </si>
  <si>
    <t>0.37430482301821694</t>
  </si>
  <si>
    <t>6321.177295024527</t>
  </si>
  <si>
    <t>31.77925718290119</t>
  </si>
  <si>
    <t>20.158591356592606</t>
  </si>
  <si>
    <t>25.16040867315071</t>
  </si>
  <si>
    <t>1.2481233548554633</t>
  </si>
  <si>
    <t>28.504106092432387</t>
  </si>
  <si>
    <t>25.359468140391023</t>
  </si>
  <si>
    <t>0.8896777207520905</t>
  </si>
  <si>
    <t>51.91300324275362</t>
  </si>
  <si>
    <t>23.872107163629543</t>
  </si>
  <si>
    <t>0.45984831684654615</t>
  </si>
  <si>
    <t>166.1748844375963</t>
  </si>
  <si>
    <t>28.994928094504367</t>
  </si>
  <si>
    <t>0.17448441858488453</t>
  </si>
  <si>
    <t>97.81954291250165</t>
  </si>
  <si>
    <t>29.029151437755957</t>
  </si>
  <si>
    <t>0.29676228873531096</t>
  </si>
  <si>
    <t>16.459718254134316</t>
  </si>
  <si>
    <t>25.511201737800587</t>
  </si>
  <si>
    <t>1.5499172795009868</t>
  </si>
  <si>
    <t>15.483345045678146</t>
  </si>
  <si>
    <t>2.1918618789008675</t>
  </si>
  <si>
    <t>25.014995541865932</t>
  </si>
  <si>
    <t>11.412669649791058</t>
  </si>
  <si>
    <t>29.170592450655075</t>
  </si>
  <si>
    <t>99.73470505874475</t>
  </si>
  <si>
    <t>41.049674316673766</t>
  </si>
  <si>
    <t>0.41158866707927894</t>
  </si>
  <si>
    <t>101.57618115739446</t>
  </si>
  <si>
    <t>35.62218494703818</t>
  </si>
  <si>
    <t>0.3506942724283052</t>
  </si>
  <si>
    <t>14.246775083751556</t>
  </si>
  <si>
    <t>32.66823687464435</t>
  </si>
  <si>
    <t>2.2930267855426782</t>
  </si>
  <si>
    <t>32.940056435417034</t>
  </si>
  <si>
    <t>60.56485594461126</t>
  </si>
  <si>
    <t>34.77813898470523</t>
  </si>
  <si>
    <t>0.5742296987631093</t>
  </si>
  <si>
    <t>132.7901667160998</t>
  </si>
  <si>
    <t>32.736540968567425</t>
  </si>
  <si>
    <t>0.2465283520470072</t>
  </si>
  <si>
    <t>35.48211362396168</t>
  </si>
  <si>
    <t>33.31866327771899</t>
  </si>
  <si>
    <t>19.597905899165777</t>
  </si>
  <si>
    <t>31.95787907082769</t>
  </si>
  <si>
    <t>1.6306782589556181</t>
  </si>
  <si>
    <t>529.5621720282911</t>
  </si>
  <si>
    <t>27.655030800821354</t>
  </si>
  <si>
    <t>140.51641067673995</t>
  </si>
  <si>
    <t>30.16244966323367</t>
  </si>
  <si>
    <t>0.2146542849904046</t>
  </si>
  <si>
    <t>Oregon Tel - Reconnect 3</t>
  </si>
  <si>
    <t>ATT - A05DPEL - Oakland</t>
  </si>
  <si>
    <t>Zayo - TTN- 0009953995</t>
  </si>
  <si>
    <t>Zayo - Jasper to Franklin</t>
  </si>
  <si>
    <t>Zayo - Washington St to Cedar Hills Blvd</t>
  </si>
  <si>
    <t>North Sky Manager Review - P&amp;L by Project - June FY27 through Week 2.</t>
  </si>
  <si>
    <t>% Achieved for  June to date  (target 50+%)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</si>
</sst>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_);\(0\)"/>
    <numFmt numFmtId="166" formatCode="0.00_);[Red]\(0.00\)"/>
    <numFmt numFmtId="167" formatCode="0_);[Red]\(0\)"/>
    <numFmt numFmtId="168" formatCode="0.0%"/>
    <numFmt numFmtId="169" formatCode="0.0"/>
    <numFmt numFmtId="170" formatCode="#,##0.0"/>
    <numFmt numFmtId="171" formatCode="#,##0.00_);\-#,##0.00"/>
    <numFmt numFmtId="172" formatCode="mm/dd/yyyy"/>
    <numFmt numFmtId="173" formatCode="* #,##0.00_0_0_0\ &quot;USD&quot;;* \-\ #,##0.00_0_0_0\ &quot;USD&quot;"/>
    <numFmt numFmtId="174" formatCode="_(&quot;$&quot;* #,##0_);_(&quot;$&quot;* \(#,##0\);_(&quot;$&quot;* &quot;-&quot;??_);_(@_)"/>
  </numFmts>
  <fonts count="63" x14ac:knownFonts="1">
    <font>
      <sz val="12"/>
      <color theme="1"/>
      <name val="Roboto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00FF"/>
      <name val="Arial"/>
      <family val="2"/>
    </font>
    <font>
      <b/>
      <i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2"/>
      <name val="Roboto"/>
      <family val="2"/>
    </font>
    <font>
      <sz val="12"/>
      <name val="Roboto"/>
      <family val="2"/>
    </font>
    <font>
      <sz val="8"/>
      <name val="Roboto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Roboto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rgb="FF9900FF"/>
      <name val="Calibri"/>
      <family val="2"/>
    </font>
    <font>
      <b/>
      <i/>
      <sz val="11"/>
      <color rgb="FF9900FF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1"/>
      <color rgb="FF0000FF"/>
      <name val="Arial"/>
      <family val="2"/>
    </font>
    <font>
      <sz val="10"/>
      <color rgb="FF0000FF"/>
      <name val="Calibri"/>
      <family val="2"/>
    </font>
    <font>
      <sz val="10"/>
      <color rgb="FF0000FF"/>
      <name val="Arial"/>
      <family val="2"/>
    </font>
    <font>
      <sz val="10"/>
      <color indexed="8"/>
      <name val="MS Sans Serif"/>
    </font>
    <font>
      <sz val="8.0500000000000007"/>
      <color indexed="8"/>
      <name val="Tahoma"/>
      <family val="2"/>
    </font>
    <font>
      <sz val="8.0500000000000007"/>
      <color indexed="8"/>
      <name val="Tahoma"/>
      <family val="2"/>
    </font>
    <font>
      <b/>
      <sz val="10"/>
      <color theme="1"/>
      <name val="Roboto"/>
    </font>
    <font>
      <sz val="10"/>
      <color theme="1"/>
      <name val="Roboto"/>
    </font>
    <font>
      <b/>
      <i/>
      <sz val="10"/>
      <color rgb="FF0000FF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b/>
      <sz val="14"/>
      <color theme="1"/>
      <name val="Arial"/>
      <family val="2"/>
    </font>
    <font>
      <sz val="9.9499999999999993"/>
      <color indexed="8"/>
      <name val="Tahoma"/>
      <family val="2"/>
    </font>
    <font>
      <b/>
      <sz val="15.85"/>
      <color indexed="8"/>
      <name val="Tahoma"/>
      <family val="2"/>
    </font>
    <font>
      <b/>
      <sz val="9.9499999999999993"/>
      <color indexed="8"/>
      <name val="Tahoma"/>
      <family val="2"/>
    </font>
    <font>
      <sz val="8.9"/>
      <color indexed="8"/>
      <name val="Tahoma"/>
      <family val="2"/>
    </font>
    <font>
      <sz val="8.0500000000000007"/>
      <color indexed="8"/>
      <name val="Tahoma"/>
      <family val="2"/>
    </font>
    <font>
      <sz val="6.95"/>
      <color indexed="8"/>
      <name val="Tahoma"/>
      <family val="2"/>
    </font>
    <font>
      <b/>
      <sz val="8.9"/>
      <color indexed="8"/>
      <name val="Tahoma"/>
      <family val="2"/>
    </font>
    <font>
      <b/>
      <sz val="9.9499999999999993"/>
      <color indexed="8"/>
      <name val="Arial"/>
      <family val="2"/>
    </font>
    <font>
      <b/>
      <sz val="11.05"/>
      <color indexed="8"/>
      <name val="Arial"/>
      <family val="2"/>
    </font>
    <font>
      <b/>
      <i/>
      <sz val="10"/>
      <color rgb="FF9900FF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0"/>
      <color indexed="8"/>
      <name val="Calibri"/>
      <family val="2"/>
    </font>
    <font>
      <b/>
      <u val="singleAccounting"/>
      <sz val="10"/>
      <color indexed="8"/>
      <name val="Calibri"/>
      <family val="2"/>
    </font>
    <font>
      <b/>
      <sz val="10"/>
      <color indexed="8"/>
      <name val="Calibri"/>
      <family val="2"/>
    </font>
    <font>
      <b/>
      <u val="singleAccounting"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F5FCF"/>
        <bgColor theme="6"/>
      </patternFill>
    </fill>
    <fill>
      <patternFill patternType="solid">
        <fgColor rgb="FF9F5FC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indexed="64"/>
      </patternFill>
    </fill>
    <fill>
      <patternFill patternType="solid">
        <fgColor rgb="FFE7E7E7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double">
        <color indexed="22"/>
      </top>
      <bottom/>
      <diagonal/>
    </border>
    <border>
      <left/>
      <right/>
      <top style="thick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3">
    <xf numFmtId="0" fontId="0" fillId="0" borderId="0"/>
    <xf numFmtId="0" fontId="1" fillId="0" borderId="0">
      <alignment vertical="top"/>
    </xf>
    <xf numFmtId="9" fontId="1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>
      <alignment vertical="top"/>
    </xf>
    <xf numFmtId="0" fontId="7" fillId="0" borderId="0">
      <alignment vertical="top"/>
    </xf>
    <xf numFmtId="9" fontId="13" fillId="0" borderId="0" applyFont="0" applyFill="0" applyBorder="0" applyAlignment="0" applyProtection="0"/>
    <xf numFmtId="0" fontId="14" fillId="0" borderId="0"/>
    <xf numFmtId="0" fontId="15" fillId="0" borderId="0"/>
    <xf numFmtId="0" fontId="16" fillId="0" borderId="0">
      <alignment vertical="top"/>
    </xf>
    <xf numFmtId="0" fontId="17" fillId="0" borderId="0"/>
    <xf numFmtId="0" fontId="18" fillId="0" borderId="0"/>
    <xf numFmtId="0" fontId="27" fillId="0" borderId="0"/>
    <xf numFmtId="43" fontId="13" fillId="0" borderId="0" applyFont="0" applyFill="0" applyBorder="0" applyAlignment="0" applyProtection="0"/>
    <xf numFmtId="0" fontId="1" fillId="0" borderId="0">
      <alignment vertical="top"/>
    </xf>
    <xf numFmtId="0" fontId="14" fillId="0" borderId="0"/>
    <xf numFmtId="0" fontId="1" fillId="0" borderId="0">
      <alignment vertical="top"/>
    </xf>
    <xf numFmtId="0" fontId="14" fillId="0" borderId="0"/>
    <xf numFmtId="0" fontId="14" fillId="0" borderId="0"/>
    <xf numFmtId="0" fontId="31" fillId="0" borderId="0"/>
    <xf numFmtId="0" fontId="51" fillId="0" borderId="0"/>
    <xf numFmtId="0" fontId="22" fillId="0" borderId="0"/>
    <xf numFmtId="0" fontId="55" fillId="18" borderId="0" applyNumberFormat="0" applyBorder="0" applyProtection="0">
      <alignment horizontal="left"/>
    </xf>
    <xf numFmtId="0" fontId="55" fillId="19" borderId="0" applyNumberFormat="0" applyBorder="0" applyProtection="0">
      <alignment horizontal="right"/>
    </xf>
  </cellStyleXfs>
  <cellXfs count="255">
    <xf numFmtId="0" fontId="0" fillId="0" borderId="0" xfId="0"/>
    <xf numFmtId="166" fontId="0" fillId="0" borderId="0" xfId="0" applyNumberFormat="1"/>
    <xf numFmtId="167" fontId="0" fillId="0" borderId="0" xfId="0" applyNumberFormat="1"/>
    <xf numFmtId="0" fontId="9" fillId="0" borderId="0" xfId="0" applyFont="1" applyAlignment="1">
      <alignment vertical="center" wrapText="1"/>
    </xf>
    <xf numFmtId="1" fontId="0" fillId="0" borderId="0" xfId="0" applyNumberFormat="1"/>
    <xf numFmtId="1" fontId="8" fillId="4" borderId="0" xfId="0" applyNumberFormat="1" applyFont="1" applyFill="1" applyAlignment="1">
      <alignment horizontal="center" vertical="center" wrapText="1"/>
    </xf>
    <xf numFmtId="0" fontId="0" fillId="5" borderId="0" xfId="0" applyFill="1"/>
    <xf numFmtId="167" fontId="0" fillId="5" borderId="0" xfId="0" applyNumberFormat="1" applyFill="1"/>
    <xf numFmtId="0" fontId="9" fillId="6" borderId="0" xfId="0" applyFont="1" applyFill="1" applyAlignment="1">
      <alignment vertical="center" wrapText="1"/>
    </xf>
    <xf numFmtId="0" fontId="0" fillId="0" borderId="0" xfId="0" pivotButton="1"/>
    <xf numFmtId="0" fontId="8" fillId="7" borderId="4" xfId="0" applyFont="1" applyFill="1" applyBorder="1" applyAlignment="1">
      <alignment horizontal="center" vertical="center" wrapText="1"/>
    </xf>
    <xf numFmtId="167" fontId="8" fillId="8" borderId="4" xfId="0" applyNumberFormat="1" applyFont="1" applyFill="1" applyBorder="1" applyAlignment="1">
      <alignment horizontal="center" vertical="center" wrapText="1"/>
    </xf>
    <xf numFmtId="166" fontId="8" fillId="8" borderId="4" xfId="0" applyNumberFormat="1" applyFont="1" applyFill="1" applyBorder="1" applyAlignment="1">
      <alignment horizontal="center" vertical="center" wrapText="1"/>
    </xf>
    <xf numFmtId="167" fontId="8" fillId="7" borderId="4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horizontal="right" vertical="center" wrapText="1"/>
    </xf>
    <xf numFmtId="41" fontId="20" fillId="0" borderId="0" xfId="0" applyNumberFormat="1" applyFont="1" applyAlignment="1">
      <alignment vertical="center" wrapText="1"/>
    </xf>
    <xf numFmtId="41" fontId="24" fillId="0" borderId="0" xfId="0" applyNumberFormat="1" applyFont="1" applyAlignment="1">
      <alignment horizontal="right" vertical="center" wrapText="1"/>
    </xf>
    <xf numFmtId="0" fontId="2" fillId="2" borderId="2" xfId="1" applyFont="1" applyFill="1" applyBorder="1" applyAlignment="1">
      <alignment horizontal="center" wrapText="1"/>
    </xf>
    <xf numFmtId="44" fontId="2" fillId="2" borderId="2" xfId="1" applyNumberFormat="1" applyFont="1" applyFill="1" applyBorder="1" applyAlignment="1">
      <alignment horizontal="center" wrapText="1"/>
    </xf>
    <xf numFmtId="41" fontId="2" fillId="4" borderId="2" xfId="1" applyNumberFormat="1" applyFont="1" applyFill="1" applyBorder="1" applyAlignment="1">
      <alignment horizontal="center" wrapText="1"/>
    </xf>
    <xf numFmtId="41" fontId="2" fillId="2" borderId="2" xfId="1" applyNumberFormat="1" applyFont="1" applyFill="1" applyBorder="1" applyAlignment="1">
      <alignment horizontal="center" wrapText="1"/>
    </xf>
    <xf numFmtId="41" fontId="2" fillId="3" borderId="2" xfId="1" applyNumberFormat="1" applyFont="1" applyFill="1" applyBorder="1" applyAlignment="1">
      <alignment horizontal="center" wrapText="1"/>
    </xf>
    <xf numFmtId="9" fontId="2" fillId="3" borderId="2" xfId="5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1" fillId="0" borderId="0" xfId="1" applyAlignment="1"/>
    <xf numFmtId="168" fontId="24" fillId="0" borderId="0" xfId="0" applyNumberFormat="1" applyFont="1" applyAlignment="1">
      <alignment horizontal="right" vertical="center" wrapText="1"/>
    </xf>
    <xf numFmtId="41" fontId="21" fillId="9" borderId="0" xfId="0" applyNumberFormat="1" applyFont="1" applyFill="1" applyAlignment="1">
      <alignment horizontal="right" vertical="center" wrapText="1"/>
    </xf>
    <xf numFmtId="9" fontId="19" fillId="9" borderId="0" xfId="0" applyNumberFormat="1" applyFont="1" applyFill="1" applyAlignment="1">
      <alignment horizontal="right" vertical="center" wrapText="1"/>
    </xf>
    <xf numFmtId="9" fontId="24" fillId="0" borderId="0" xfId="5" applyFont="1" applyBorder="1" applyAlignment="1">
      <alignment horizontal="right" vertical="center" wrapText="1"/>
    </xf>
    <xf numFmtId="9" fontId="20" fillId="0" borderId="0" xfId="5" applyFont="1" applyBorder="1" applyAlignment="1">
      <alignment vertical="center" wrapText="1"/>
    </xf>
    <xf numFmtId="0" fontId="19" fillId="9" borderId="0" xfId="0" applyFont="1" applyFill="1" applyAlignment="1">
      <alignment vertical="center" wrapText="1"/>
    </xf>
    <xf numFmtId="169" fontId="0" fillId="0" borderId="0" xfId="0" applyNumberFormat="1" applyAlignment="1">
      <alignment vertical="top"/>
    </xf>
    <xf numFmtId="170" fontId="0" fillId="0" borderId="0" xfId="0" applyNumberFormat="1" applyAlignment="1">
      <alignment vertical="top"/>
    </xf>
    <xf numFmtId="164" fontId="24" fillId="0" borderId="0" xfId="12" applyNumberFormat="1" applyFont="1" applyAlignment="1">
      <alignment horizontal="right" vertical="center" wrapText="1"/>
    </xf>
    <xf numFmtId="0" fontId="28" fillId="10" borderId="3" xfId="0" applyFont="1" applyFill="1" applyBorder="1" applyAlignment="1">
      <alignment vertical="center"/>
    </xf>
    <xf numFmtId="0" fontId="29" fillId="10" borderId="9" xfId="0" applyFont="1" applyFill="1" applyBorder="1" applyAlignment="1">
      <alignment vertical="center" wrapText="1"/>
    </xf>
    <xf numFmtId="41" fontId="29" fillId="10" borderId="9" xfId="0" applyNumberFormat="1" applyFont="1" applyFill="1" applyBorder="1" applyAlignment="1">
      <alignment vertical="center" wrapText="1"/>
    </xf>
    <xf numFmtId="3" fontId="22" fillId="0" borderId="0" xfId="0" applyNumberFormat="1" applyFont="1" applyAlignment="1">
      <alignment horizontal="right" vertical="center" wrapText="1"/>
    </xf>
    <xf numFmtId="41" fontId="20" fillId="0" borderId="0" xfId="0" applyNumberFormat="1" applyFont="1" applyAlignment="1">
      <alignment horizontal="right" vertical="center" wrapText="1"/>
    </xf>
    <xf numFmtId="0" fontId="20" fillId="0" borderId="6" xfId="0" applyFont="1" applyBorder="1" applyAlignment="1">
      <alignment vertical="center" wrapText="1"/>
    </xf>
    <xf numFmtId="3" fontId="26" fillId="0" borderId="10" xfId="0" applyNumberFormat="1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3" fontId="20" fillId="9" borderId="10" xfId="0" applyNumberFormat="1" applyFont="1" applyFill="1" applyBorder="1" applyAlignment="1">
      <alignment horizontal="right" vertical="center" wrapText="1"/>
    </xf>
    <xf numFmtId="0" fontId="20" fillId="9" borderId="10" xfId="0" applyFont="1" applyFill="1" applyBorder="1" applyAlignment="1">
      <alignment vertical="center" wrapText="1"/>
    </xf>
    <xf numFmtId="0" fontId="32" fillId="0" borderId="0" xfId="18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/>
    <xf numFmtId="0" fontId="33" fillId="0" borderId="0" xfId="0" quotePrefix="1" applyFont="1" applyAlignment="1">
      <alignment vertical="center"/>
    </xf>
    <xf numFmtId="0" fontId="35" fillId="0" borderId="0" xfId="0" applyFont="1"/>
    <xf numFmtId="0" fontId="29" fillId="0" borderId="0" xfId="0" applyFont="1" applyAlignment="1">
      <alignment vertical="center" wrapText="1"/>
    </xf>
    <xf numFmtId="41" fontId="29" fillId="0" borderId="0" xfId="0" applyNumberFormat="1" applyFont="1" applyAlignment="1">
      <alignment vertical="center" wrapText="1"/>
    </xf>
    <xf numFmtId="0" fontId="1" fillId="0" borderId="0" xfId="1" applyAlignment="1">
      <alignment vertical="center"/>
    </xf>
    <xf numFmtId="41" fontId="1" fillId="0" borderId="0" xfId="1" applyNumberFormat="1" applyAlignment="1">
      <alignment vertical="center"/>
    </xf>
    <xf numFmtId="9" fontId="12" fillId="0" borderId="0" xfId="5" applyFont="1" applyAlignment="1">
      <alignment vertical="center"/>
    </xf>
    <xf numFmtId="0" fontId="30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1" fillId="0" borderId="6" xfId="1" applyBorder="1" applyAlignment="1">
      <alignment vertical="center"/>
    </xf>
    <xf numFmtId="41" fontId="1" fillId="0" borderId="6" xfId="1" applyNumberFormat="1" applyBorder="1" applyAlignment="1">
      <alignment vertical="center"/>
    </xf>
    <xf numFmtId="41" fontId="11" fillId="0" borderId="6" xfId="1" applyNumberFormat="1" applyFont="1" applyBorder="1" applyAlignment="1">
      <alignment vertical="center"/>
    </xf>
    <xf numFmtId="9" fontId="11" fillId="0" borderId="6" xfId="5" applyFont="1" applyBorder="1" applyAlignment="1">
      <alignment vertical="center"/>
    </xf>
    <xf numFmtId="3" fontId="1" fillId="0" borderId="6" xfId="1" applyNumberFormat="1" applyBorder="1" applyAlignment="1">
      <alignment vertical="center"/>
    </xf>
    <xf numFmtId="41" fontId="15" fillId="0" borderId="0" xfId="1" applyNumberFormat="1" applyFont="1" applyAlignment="1">
      <alignment vertical="center"/>
    </xf>
    <xf numFmtId="9" fontId="15" fillId="0" borderId="0" xfId="5" applyFont="1" applyBorder="1" applyAlignment="1">
      <alignment vertical="center"/>
    </xf>
    <xf numFmtId="3" fontId="1" fillId="0" borderId="0" xfId="1" applyNumberFormat="1" applyAlignment="1">
      <alignment vertical="center"/>
    </xf>
    <xf numFmtId="0" fontId="4" fillId="0" borderId="7" xfId="1" applyFont="1" applyBorder="1" applyAlignment="1">
      <alignment vertical="center"/>
    </xf>
    <xf numFmtId="41" fontId="5" fillId="0" borderId="7" xfId="3" applyNumberFormat="1" applyFont="1" applyBorder="1" applyAlignment="1">
      <alignment vertical="center"/>
    </xf>
    <xf numFmtId="9" fontId="5" fillId="0" borderId="7" xfId="5" applyFont="1" applyBorder="1" applyAlignment="1">
      <alignment vertical="center"/>
    </xf>
    <xf numFmtId="0" fontId="6" fillId="4" borderId="8" xfId="1" applyFont="1" applyFill="1" applyBorder="1" applyAlignment="1">
      <alignment vertical="center"/>
    </xf>
    <xf numFmtId="41" fontId="6" fillId="4" borderId="8" xfId="3" applyNumberFormat="1" applyFont="1" applyFill="1" applyBorder="1" applyAlignment="1">
      <alignment vertical="center"/>
    </xf>
    <xf numFmtId="9" fontId="6" fillId="4" borderId="8" xfId="5" applyFont="1" applyFill="1" applyBorder="1" applyAlignment="1">
      <alignment vertical="center"/>
    </xf>
    <xf numFmtId="41" fontId="11" fillId="0" borderId="0" xfId="1" applyNumberFormat="1" applyFont="1" applyAlignment="1">
      <alignment vertical="center"/>
    </xf>
    <xf numFmtId="9" fontId="11" fillId="0" borderId="0" xfId="5" applyFont="1" applyBorder="1" applyAlignment="1">
      <alignment vertical="center"/>
    </xf>
    <xf numFmtId="0" fontId="5" fillId="0" borderId="7" xfId="4" applyFont="1" applyBorder="1" applyAlignment="1">
      <alignment vertical="center"/>
    </xf>
    <xf numFmtId="41" fontId="5" fillId="0" borderId="0" xfId="3" applyNumberFormat="1" applyFont="1" applyBorder="1" applyAlignment="1">
      <alignment vertical="center"/>
    </xf>
    <xf numFmtId="9" fontId="5" fillId="0" borderId="0" xfId="5" applyFont="1" applyBorder="1" applyAlignment="1">
      <alignment vertical="center"/>
    </xf>
    <xf numFmtId="164" fontId="5" fillId="0" borderId="0" xfId="3" applyNumberFormat="1" applyFont="1" applyBorder="1" applyAlignment="1">
      <alignment vertical="center"/>
    </xf>
    <xf numFmtId="9" fontId="37" fillId="4" borderId="0" xfId="5" applyFont="1" applyFill="1" applyBorder="1" applyAlignment="1">
      <alignment vertical="center"/>
    </xf>
    <xf numFmtId="3" fontId="24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vertical="center" wrapText="1"/>
    </xf>
    <xf numFmtId="9" fontId="11" fillId="0" borderId="0" xfId="5" applyFont="1" applyAlignment="1">
      <alignment vertical="center"/>
    </xf>
    <xf numFmtId="41" fontId="1" fillId="0" borderId="0" xfId="1" applyNumberFormat="1" applyAlignment="1">
      <alignment horizontal="center" vertical="center"/>
    </xf>
    <xf numFmtId="9" fontId="12" fillId="0" borderId="0" xfId="5" applyFont="1" applyAlignment="1">
      <alignment horizontal="center" vertical="center"/>
    </xf>
    <xf numFmtId="0" fontId="0" fillId="0" borderId="0" xfId="0" applyAlignment="1">
      <alignment vertical="center"/>
    </xf>
    <xf numFmtId="0" fontId="39" fillId="0" borderId="0" xfId="0" applyFont="1" applyAlignment="1">
      <alignment vertical="center"/>
    </xf>
    <xf numFmtId="0" fontId="5" fillId="0" borderId="0" xfId="4" applyFont="1" applyAlignment="1">
      <alignment vertical="center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right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171" fontId="46" fillId="0" borderId="0" xfId="0" applyNumberFormat="1" applyFont="1" applyAlignment="1">
      <alignment horizontal="right" vertical="center"/>
    </xf>
    <xf numFmtId="171" fontId="43" fillId="0" borderId="0" xfId="0" applyNumberFormat="1" applyFont="1" applyAlignment="1">
      <alignment horizontal="right" vertical="center"/>
    </xf>
    <xf numFmtId="171" fontId="42" fillId="0" borderId="0" xfId="0" applyNumberFormat="1" applyFont="1" applyAlignment="1">
      <alignment horizontal="right" vertical="center"/>
    </xf>
    <xf numFmtId="171" fontId="47" fillId="0" borderId="0" xfId="0" applyNumberFormat="1" applyFont="1" applyAlignment="1">
      <alignment horizontal="right" vertical="center"/>
    </xf>
    <xf numFmtId="0" fontId="46" fillId="0" borderId="0" xfId="0" applyFont="1" applyAlignment="1">
      <alignment horizontal="right" vertical="center"/>
    </xf>
    <xf numFmtId="171" fontId="48" fillId="0" borderId="11" xfId="0" applyNumberFormat="1" applyFont="1" applyBorder="1" applyAlignment="1">
      <alignment horizontal="right" vertical="center"/>
    </xf>
    <xf numFmtId="171" fontId="47" fillId="0" borderId="11" xfId="0" applyNumberFormat="1" applyFont="1" applyBorder="1" applyAlignment="1">
      <alignment horizontal="right" vertical="center"/>
    </xf>
    <xf numFmtId="0" fontId="40" fillId="0" borderId="0" xfId="0" applyFont="1" applyAlignment="1">
      <alignment horizontal="right" vertical="center"/>
    </xf>
    <xf numFmtId="167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4" fillId="0" borderId="12" xfId="1" applyFont="1" applyBorder="1" applyAlignment="1">
      <alignment vertical="center"/>
    </xf>
    <xf numFmtId="49" fontId="1" fillId="0" borderId="0" xfId="1" quotePrefix="1" applyNumberFormat="1" applyAlignment="1">
      <alignment vertical="center"/>
    </xf>
    <xf numFmtId="49" fontId="1" fillId="0" borderId="0" xfId="1" applyNumberFormat="1" applyAlignment="1">
      <alignment vertical="center"/>
    </xf>
    <xf numFmtId="0" fontId="4" fillId="0" borderId="0" xfId="1" applyFont="1" applyAlignment="1">
      <alignment vertical="center"/>
    </xf>
    <xf numFmtId="0" fontId="28" fillId="10" borderId="0" xfId="0" applyFont="1" applyFill="1" applyAlignment="1">
      <alignment vertical="center"/>
    </xf>
    <xf numFmtId="0" fontId="36" fillId="0" borderId="0" xfId="4" applyFont="1" applyAlignment="1">
      <alignment vertical="center"/>
    </xf>
    <xf numFmtId="165" fontId="4" fillId="0" borderId="0" xfId="4" applyNumberFormat="1" applyFont="1" applyAlignment="1">
      <alignment horizontal="center" vertical="center" wrapText="1"/>
    </xf>
    <xf numFmtId="0" fontId="4" fillId="0" borderId="0" xfId="4" applyFont="1" applyAlignment="1">
      <alignment vertical="center"/>
    </xf>
    <xf numFmtId="0" fontId="28" fillId="0" borderId="0" xfId="4" applyFont="1" applyAlignment="1">
      <alignment vertical="center"/>
    </xf>
    <xf numFmtId="0" fontId="38" fillId="0" borderId="0" xfId="0" applyFont="1" applyAlignment="1">
      <alignment vertical="center"/>
    </xf>
    <xf numFmtId="49" fontId="25" fillId="0" borderId="0" xfId="0" applyNumberFormat="1" applyFont="1" applyAlignment="1">
      <alignment vertical="center"/>
    </xf>
    <xf numFmtId="49" fontId="26" fillId="0" borderId="0" xfId="0" quotePrefix="1" applyNumberFormat="1" applyFont="1" applyAlignment="1">
      <alignment horizontal="right" vertical="center" wrapText="1"/>
    </xf>
    <xf numFmtId="0" fontId="1" fillId="0" borderId="0" xfId="1" applyAlignment="1">
      <alignment horizontal="right" vertical="center"/>
    </xf>
    <xf numFmtId="0" fontId="25" fillId="0" borderId="0" xfId="0" applyFont="1" applyAlignment="1">
      <alignment vertical="center"/>
    </xf>
    <xf numFmtId="0" fontId="26" fillId="0" borderId="0" xfId="0" quotePrefix="1" applyFont="1" applyAlignment="1">
      <alignment horizontal="right" vertical="center" wrapText="1"/>
    </xf>
    <xf numFmtId="0" fontId="1" fillId="0" borderId="0" xfId="1" quotePrefix="1" applyAlignment="1">
      <alignment horizontal="right" vertical="center"/>
    </xf>
    <xf numFmtId="49" fontId="1" fillId="0" borderId="0" xfId="1" quotePrefix="1" applyNumberFormat="1" applyAlignment="1">
      <alignment horizontal="right" vertical="center"/>
    </xf>
    <xf numFmtId="0" fontId="20" fillId="0" borderId="0" xfId="0" applyFont="1" applyAlignment="1">
      <alignment horizontal="right" vertical="center" wrapText="1"/>
    </xf>
    <xf numFmtId="0" fontId="6" fillId="4" borderId="0" xfId="1" applyFont="1" applyFill="1" applyAlignment="1">
      <alignment vertical="center"/>
    </xf>
    <xf numFmtId="0" fontId="49" fillId="0" borderId="0" xfId="0" applyFont="1" applyAlignment="1">
      <alignment horizontal="right" vertical="center" wrapText="1"/>
    </xf>
    <xf numFmtId="165" fontId="4" fillId="4" borderId="0" xfId="4" applyNumberFormat="1" applyFont="1" applyFill="1" applyAlignment="1">
      <alignment horizontal="center" vertical="center" wrapText="1"/>
    </xf>
    <xf numFmtId="0" fontId="28" fillId="10" borderId="13" xfId="0" applyFont="1" applyFill="1" applyBorder="1" applyAlignment="1">
      <alignment vertical="center"/>
    </xf>
    <xf numFmtId="41" fontId="29" fillId="10" borderId="14" xfId="0" applyNumberFormat="1" applyFont="1" applyFill="1" applyBorder="1" applyAlignment="1">
      <alignment vertical="center" wrapText="1"/>
    </xf>
    <xf numFmtId="0" fontId="29" fillId="10" borderId="14" xfId="0" applyFont="1" applyFill="1" applyBorder="1" applyAlignment="1">
      <alignment vertical="center" wrapText="1"/>
    </xf>
    <xf numFmtId="0" fontId="25" fillId="10" borderId="13" xfId="0" applyFont="1" applyFill="1" applyBorder="1" applyAlignment="1">
      <alignment vertical="center"/>
    </xf>
    <xf numFmtId="41" fontId="29" fillId="10" borderId="0" xfId="0" applyNumberFormat="1" applyFont="1" applyFill="1" applyAlignment="1">
      <alignment vertical="center" wrapText="1"/>
    </xf>
    <xf numFmtId="0" fontId="29" fillId="10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right" vertical="center" wrapText="1"/>
    </xf>
    <xf numFmtId="0" fontId="20" fillId="4" borderId="0" xfId="0" applyFont="1" applyFill="1" applyAlignment="1">
      <alignment vertical="center" wrapText="1"/>
    </xf>
    <xf numFmtId="0" fontId="4" fillId="0" borderId="8" xfId="1" applyFont="1" applyBorder="1" applyAlignment="1">
      <alignment vertical="center"/>
    </xf>
    <xf numFmtId="41" fontId="5" fillId="0" borderId="8" xfId="3" applyNumberFormat="1" applyFont="1" applyBorder="1" applyAlignment="1">
      <alignment vertical="center"/>
    </xf>
    <xf numFmtId="9" fontId="5" fillId="0" borderId="8" xfId="5" applyFont="1" applyBorder="1" applyAlignment="1">
      <alignment vertical="center"/>
    </xf>
    <xf numFmtId="41" fontId="6" fillId="4" borderId="0" xfId="3" applyNumberFormat="1" applyFont="1" applyFill="1" applyBorder="1" applyAlignment="1">
      <alignment vertical="center"/>
    </xf>
    <xf numFmtId="9" fontId="6" fillId="4" borderId="0" xfId="5" applyFont="1" applyFill="1" applyBorder="1" applyAlignment="1">
      <alignment vertical="center"/>
    </xf>
    <xf numFmtId="41" fontId="6" fillId="0" borderId="0" xfId="3" applyNumberFormat="1" applyFont="1" applyFill="1" applyBorder="1" applyAlignment="1">
      <alignment vertical="center"/>
    </xf>
    <xf numFmtId="0" fontId="2" fillId="4" borderId="2" xfId="1" applyFont="1" applyFill="1" applyBorder="1" applyAlignment="1">
      <alignment horizontal="left" wrapText="1"/>
    </xf>
    <xf numFmtId="49" fontId="52" fillId="11" borderId="0" xfId="19" applyNumberFormat="1" applyFont="1" applyFill="1" applyAlignment="1">
      <alignment horizontal="center" vertical="center"/>
    </xf>
    <xf numFmtId="0" fontId="52" fillId="11" borderId="0" xfId="19" applyFont="1" applyFill="1" applyAlignment="1">
      <alignment horizontal="center" vertical="center"/>
    </xf>
    <xf numFmtId="49" fontId="53" fillId="12" borderId="0" xfId="19" applyNumberFormat="1" applyFont="1" applyFill="1" applyAlignment="1">
      <alignment horizontal="center"/>
    </xf>
    <xf numFmtId="49" fontId="54" fillId="13" borderId="0" xfId="19" applyNumberFormat="1" applyFont="1" applyFill="1" applyAlignment="1">
      <alignment horizontal="center"/>
    </xf>
    <xf numFmtId="49" fontId="54" fillId="0" borderId="0" xfId="19" applyNumberFormat="1" applyFont="1" applyAlignment="1">
      <alignment horizontal="center"/>
    </xf>
    <xf numFmtId="0" fontId="51" fillId="0" borderId="0" xfId="19"/>
    <xf numFmtId="49" fontId="54" fillId="14" borderId="0" xfId="19" applyNumberFormat="1" applyFont="1" applyFill="1" applyAlignment="1">
      <alignment vertical="center"/>
    </xf>
    <xf numFmtId="0" fontId="54" fillId="14" borderId="0" xfId="19" applyFont="1" applyFill="1" applyAlignment="1">
      <alignment vertical="center"/>
    </xf>
    <xf numFmtId="0" fontId="51" fillId="14" borderId="0" xfId="19" applyFill="1"/>
    <xf numFmtId="14" fontId="54" fillId="14" borderId="0" xfId="19" applyNumberFormat="1" applyFont="1" applyFill="1" applyAlignment="1">
      <alignment vertical="center"/>
    </xf>
    <xf numFmtId="0" fontId="51" fillId="13" borderId="0" xfId="19" applyFill="1"/>
    <xf numFmtId="49" fontId="54" fillId="15" borderId="0" xfId="19" applyNumberFormat="1" applyFont="1" applyFill="1" applyAlignment="1">
      <alignment vertical="center"/>
    </xf>
    <xf numFmtId="0" fontId="54" fillId="15" borderId="0" xfId="19" applyFont="1" applyFill="1" applyAlignment="1">
      <alignment vertical="center"/>
    </xf>
    <xf numFmtId="0" fontId="51" fillId="15" borderId="0" xfId="19" applyFill="1"/>
    <xf numFmtId="14" fontId="54" fillId="15" borderId="0" xfId="19" applyNumberFormat="1" applyFont="1" applyFill="1" applyAlignment="1">
      <alignment vertical="center"/>
    </xf>
    <xf numFmtId="0" fontId="54" fillId="16" borderId="0" xfId="19" applyFont="1" applyFill="1" applyAlignment="1">
      <alignment vertical="center"/>
    </xf>
    <xf numFmtId="49" fontId="54" fillId="0" borderId="0" xfId="19" applyNumberFormat="1" applyFont="1"/>
    <xf numFmtId="0" fontId="54" fillId="0" borderId="0" xfId="19" applyFont="1"/>
    <xf numFmtId="14" fontId="54" fillId="0" borderId="0" xfId="19" applyNumberFormat="1" applyFont="1"/>
    <xf numFmtId="0" fontId="21" fillId="17" borderId="0" xfId="20" applyFont="1" applyFill="1"/>
    <xf numFmtId="0" fontId="22" fillId="0" borderId="0" xfId="20" applyAlignment="1">
      <alignment horizontal="left"/>
    </xf>
    <xf numFmtId="172" fontId="22" fillId="0" borderId="0" xfId="20" applyNumberFormat="1" applyAlignment="1">
      <alignment horizontal="right"/>
    </xf>
    <xf numFmtId="173" fontId="22" fillId="0" borderId="0" xfId="20" applyNumberFormat="1"/>
    <xf numFmtId="0" fontId="22" fillId="0" borderId="0" xfId="20"/>
    <xf numFmtId="0" fontId="9" fillId="4" borderId="0" xfId="0" applyFont="1" applyFill="1"/>
    <xf numFmtId="0" fontId="0" fillId="20" borderId="0" xfId="0" applyFill="1"/>
    <xf numFmtId="9" fontId="5" fillId="0" borderId="0" xfId="3" applyNumberFormat="1" applyFont="1" applyBorder="1" applyAlignment="1">
      <alignment vertical="center"/>
    </xf>
    <xf numFmtId="0" fontId="21" fillId="0" borderId="0" xfId="0" applyFont="1"/>
    <xf numFmtId="0" fontId="50" fillId="0" borderId="0" xfId="0" applyFont="1" applyAlignment="1">
      <alignment vertical="center" wrapText="1"/>
    </xf>
    <xf numFmtId="41" fontId="15" fillId="0" borderId="15" xfId="1" applyNumberFormat="1" applyFont="1" applyBorder="1" applyAlignment="1">
      <alignment vertical="center"/>
    </xf>
    <xf numFmtId="164" fontId="57" fillId="21" borderId="0" xfId="12" applyNumberFormat="1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vertical="center"/>
    </xf>
    <xf numFmtId="164" fontId="56" fillId="0" borderId="0" xfId="12" applyNumberFormat="1" applyFont="1" applyAlignment="1">
      <alignment horizontal="center" vertical="center"/>
    </xf>
    <xf numFmtId="164" fontId="58" fillId="0" borderId="0" xfId="12" applyNumberFormat="1" applyFont="1" applyAlignment="1">
      <alignment horizontal="right" vertical="center"/>
    </xf>
    <xf numFmtId="164" fontId="56" fillId="0" borderId="0" xfId="12" applyNumberFormat="1" applyFont="1" applyAlignment="1">
      <alignment horizontal="right" vertical="center"/>
    </xf>
    <xf numFmtId="164" fontId="56" fillId="21" borderId="0" xfId="12" applyNumberFormat="1" applyFont="1" applyFill="1" applyAlignment="1">
      <alignment horizontal="right" vertical="center"/>
    </xf>
    <xf numFmtId="164" fontId="56" fillId="0" borderId="0" xfId="12" applyNumberFormat="1" applyFont="1" applyBorder="1" applyAlignment="1">
      <alignment horizontal="center" vertical="center"/>
    </xf>
    <xf numFmtId="164" fontId="58" fillId="0" borderId="0" xfId="12" applyNumberFormat="1" applyFont="1" applyBorder="1" applyAlignment="1">
      <alignment horizontal="right" vertical="center"/>
    </xf>
    <xf numFmtId="164" fontId="56" fillId="0" borderId="0" xfId="12" quotePrefix="1" applyNumberFormat="1" applyFont="1" applyAlignment="1">
      <alignment horizontal="center" vertical="center"/>
    </xf>
    <xf numFmtId="164" fontId="56" fillId="0" borderId="0" xfId="12" quotePrefix="1" applyNumberFormat="1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164" fontId="59" fillId="0" borderId="0" xfId="12" applyNumberFormat="1" applyFont="1" applyFill="1" applyAlignment="1">
      <alignment horizontal="center" vertical="center"/>
    </xf>
    <xf numFmtId="164" fontId="0" fillId="0" borderId="0" xfId="0" applyNumberFormat="1"/>
    <xf numFmtId="44" fontId="0" fillId="0" borderId="0" xfId="0" applyNumberFormat="1"/>
    <xf numFmtId="49" fontId="1" fillId="0" borderId="0" xfId="1" applyNumberFormat="1" applyAlignment="1">
      <alignment horizontal="right" vertical="center"/>
    </xf>
    <xf numFmtId="3" fontId="1" fillId="0" borderId="0" xfId="1" applyNumberFormat="1" applyAlignment="1">
      <alignment horizontal="right" vertical="center"/>
    </xf>
    <xf numFmtId="0" fontId="19" fillId="2" borderId="2" xfId="1" applyFont="1" applyFill="1" applyBorder="1" applyAlignment="1">
      <alignment horizontal="center" wrapText="1"/>
    </xf>
    <xf numFmtId="0" fontId="19" fillId="4" borderId="2" xfId="1" applyFont="1" applyFill="1" applyBorder="1" applyAlignment="1">
      <alignment horizontal="center" wrapText="1"/>
    </xf>
    <xf numFmtId="0" fontId="2" fillId="4" borderId="1" xfId="1" applyFont="1" applyFill="1" applyBorder="1" applyAlignment="1">
      <alignment horizontal="center" wrapText="1"/>
    </xf>
    <xf numFmtId="9" fontId="1" fillId="0" borderId="0" xfId="5" applyFont="1" applyAlignment="1">
      <alignment horizontal="right" vertical="center"/>
    </xf>
    <xf numFmtId="164" fontId="12" fillId="0" borderId="0" xfId="5" applyNumberFormat="1" applyFont="1" applyAlignment="1">
      <alignment vertical="center"/>
    </xf>
    <xf numFmtId="164" fontId="2" fillId="4" borderId="2" xfId="1" applyNumberFormat="1" applyFont="1" applyFill="1" applyBorder="1" applyAlignment="1">
      <alignment horizontal="center" wrapText="1"/>
    </xf>
    <xf numFmtId="164" fontId="29" fillId="10" borderId="9" xfId="0" applyNumberFormat="1" applyFont="1" applyFill="1" applyBorder="1" applyAlignment="1">
      <alignment vertical="center" wrapText="1"/>
    </xf>
    <xf numFmtId="164" fontId="11" fillId="0" borderId="6" xfId="5" applyNumberFormat="1" applyFont="1" applyBorder="1" applyAlignment="1">
      <alignment vertical="center"/>
    </xf>
    <xf numFmtId="164" fontId="15" fillId="0" borderId="0" xfId="5" applyNumberFormat="1" applyFont="1" applyBorder="1" applyAlignment="1">
      <alignment vertical="center"/>
    </xf>
    <xf numFmtId="164" fontId="5" fillId="0" borderId="7" xfId="5" applyNumberFormat="1" applyFont="1" applyBorder="1" applyAlignment="1">
      <alignment vertical="center"/>
    </xf>
    <xf numFmtId="164" fontId="5" fillId="0" borderId="8" xfId="3" applyNumberFormat="1" applyFont="1" applyBorder="1" applyAlignment="1">
      <alignment vertical="center"/>
    </xf>
    <xf numFmtId="164" fontId="6" fillId="4" borderId="0" xfId="3" applyNumberFormat="1" applyFont="1" applyFill="1" applyBorder="1" applyAlignment="1">
      <alignment vertical="center"/>
    </xf>
    <xf numFmtId="164" fontId="24" fillId="0" borderId="0" xfId="0" applyNumberFormat="1" applyFont="1" applyAlignment="1">
      <alignment horizontal="right" vertical="center" wrapText="1"/>
    </xf>
    <xf numFmtId="164" fontId="20" fillId="0" borderId="0" xfId="0" applyNumberFormat="1" applyFont="1" applyAlignment="1">
      <alignment vertical="center" wrapText="1"/>
    </xf>
    <xf numFmtId="164" fontId="29" fillId="10" borderId="14" xfId="0" applyNumberFormat="1" applyFont="1" applyFill="1" applyBorder="1" applyAlignment="1">
      <alignment vertical="center" wrapText="1"/>
    </xf>
    <xf numFmtId="164" fontId="11" fillId="0" borderId="0" xfId="5" applyNumberFormat="1" applyFont="1" applyBorder="1" applyAlignment="1">
      <alignment vertical="center"/>
    </xf>
    <xf numFmtId="164" fontId="5" fillId="0" borderId="7" xfId="3" applyNumberFormat="1" applyFont="1" applyBorder="1" applyAlignment="1">
      <alignment vertical="center"/>
    </xf>
    <xf numFmtId="164" fontId="5" fillId="0" borderId="0" xfId="5" applyNumberFormat="1" applyFont="1" applyBorder="1" applyAlignment="1">
      <alignment vertical="center"/>
    </xf>
    <xf numFmtId="164" fontId="21" fillId="9" borderId="0" xfId="0" applyNumberFormat="1" applyFont="1" applyFill="1" applyAlignment="1">
      <alignment horizontal="right" vertical="center" wrapText="1"/>
    </xf>
    <xf numFmtId="164" fontId="29" fillId="10" borderId="0" xfId="0" applyNumberFormat="1" applyFont="1" applyFill="1" applyAlignment="1">
      <alignment vertical="center" wrapText="1"/>
    </xf>
    <xf numFmtId="164" fontId="29" fillId="0" borderId="0" xfId="0" applyNumberFormat="1" applyFont="1" applyAlignment="1">
      <alignment vertical="center" wrapText="1"/>
    </xf>
    <xf numFmtId="164" fontId="6" fillId="4" borderId="8" xfId="3" applyNumberFormat="1" applyFont="1" applyFill="1" applyBorder="1" applyAlignment="1">
      <alignment vertical="center"/>
    </xf>
    <xf numFmtId="164" fontId="15" fillId="0" borderId="0" xfId="1" applyNumberFormat="1" applyFont="1" applyAlignment="1">
      <alignment vertical="center"/>
    </xf>
    <xf numFmtId="164" fontId="11" fillId="0" borderId="0" xfId="5" applyNumberFormat="1" applyFont="1" applyAlignment="1">
      <alignment vertical="center"/>
    </xf>
    <xf numFmtId="164" fontId="1" fillId="0" borderId="0" xfId="1" applyNumberFormat="1" applyAlignment="1">
      <alignment horizontal="center" vertical="center"/>
    </xf>
    <xf numFmtId="164" fontId="20" fillId="0" borderId="10" xfId="0" applyNumberFormat="1" applyFont="1" applyBorder="1" applyAlignment="1">
      <alignment horizontal="right" vertical="center" wrapText="1"/>
    </xf>
    <xf numFmtId="164" fontId="26" fillId="0" borderId="10" xfId="0" applyNumberFormat="1" applyFont="1" applyBorder="1" applyAlignment="1">
      <alignment horizontal="right" vertical="center" wrapText="1"/>
    </xf>
    <xf numFmtId="164" fontId="20" fillId="9" borderId="10" xfId="0" applyNumberFormat="1" applyFont="1" applyFill="1" applyBorder="1" applyAlignment="1">
      <alignment horizontal="right" vertical="center" wrapText="1"/>
    </xf>
    <xf numFmtId="164" fontId="20" fillId="9" borderId="10" xfId="0" applyNumberFormat="1" applyFont="1" applyFill="1" applyBorder="1" applyAlignment="1">
      <alignment vertical="center" wrapText="1"/>
    </xf>
    <xf numFmtId="0" fontId="1" fillId="0" borderId="0" xfId="1" applyAlignment="1">
      <alignment horizontal="left" vertical="center"/>
    </xf>
    <xf numFmtId="0" fontId="0" fillId="0" borderId="0" xfId="0" quotePrefix="1"/>
    <xf numFmtId="1" fontId="39" fillId="0" borderId="0" xfId="0" applyNumberFormat="1" applyFont="1" applyAlignment="1">
      <alignment vertical="center"/>
    </xf>
    <xf numFmtId="1" fontId="2" fillId="4" borderId="16" xfId="1" applyNumberFormat="1" applyFont="1" applyFill="1" applyBorder="1" applyAlignment="1">
      <alignment horizontal="center" wrapText="1"/>
    </xf>
    <xf numFmtId="1" fontId="28" fillId="10" borderId="9" xfId="0" applyNumberFormat="1" applyFont="1" applyFill="1" applyBorder="1" applyAlignment="1">
      <alignment vertical="center"/>
    </xf>
    <xf numFmtId="1" fontId="4" fillId="0" borderId="0" xfId="1" applyNumberFormat="1" applyFont="1" applyAlignment="1">
      <alignment vertical="center"/>
    </xf>
    <xf numFmtId="1" fontId="1" fillId="0" borderId="0" xfId="1" applyNumberFormat="1" applyAlignment="1">
      <alignment vertical="center"/>
    </xf>
    <xf numFmtId="1" fontId="5" fillId="0" borderId="7" xfId="3" applyNumberFormat="1" applyFont="1" applyBorder="1" applyAlignment="1">
      <alignment vertical="center"/>
    </xf>
    <xf numFmtId="1" fontId="5" fillId="0" borderId="8" xfId="3" applyNumberFormat="1" applyFont="1" applyBorder="1" applyAlignment="1">
      <alignment vertical="center"/>
    </xf>
    <xf numFmtId="1" fontId="6" fillId="4" borderId="0" xfId="3" applyNumberFormat="1" applyFont="1" applyFill="1" applyBorder="1" applyAlignment="1">
      <alignment vertical="center"/>
    </xf>
    <xf numFmtId="1" fontId="20" fillId="0" borderId="0" xfId="0" applyNumberFormat="1" applyFont="1" applyAlignment="1">
      <alignment vertical="center" wrapText="1"/>
    </xf>
    <xf numFmtId="1" fontId="28" fillId="10" borderId="14" xfId="0" applyNumberFormat="1" applyFont="1" applyFill="1" applyBorder="1" applyAlignment="1">
      <alignment vertical="center"/>
    </xf>
    <xf numFmtId="1" fontId="36" fillId="0" borderId="0" xfId="4" applyNumberFormat="1" applyFont="1" applyAlignment="1">
      <alignment vertical="center"/>
    </xf>
    <xf numFmtId="1" fontId="4" fillId="0" borderId="0" xfId="4" applyNumberFormat="1" applyFont="1" applyAlignment="1">
      <alignment horizontal="center" vertical="center" wrapText="1"/>
    </xf>
    <xf numFmtId="1" fontId="4" fillId="4" borderId="0" xfId="4" applyNumberFormat="1" applyFont="1" applyFill="1" applyAlignment="1">
      <alignment horizontal="center" vertical="center" wrapText="1"/>
    </xf>
    <xf numFmtId="1" fontId="4" fillId="0" borderId="0" xfId="4" applyNumberFormat="1" applyFont="1" applyAlignment="1">
      <alignment vertical="center"/>
    </xf>
    <xf numFmtId="1" fontId="28" fillId="0" borderId="0" xfId="4" applyNumberFormat="1" applyFont="1" applyAlignment="1">
      <alignment vertical="center"/>
    </xf>
    <xf numFmtId="1" fontId="28" fillId="10" borderId="0" xfId="0" applyNumberFormat="1" applyFont="1" applyFill="1" applyAlignment="1">
      <alignment vertical="center"/>
    </xf>
    <xf numFmtId="1" fontId="5" fillId="0" borderId="0" xfId="3" applyNumberFormat="1" applyFont="1" applyBorder="1" applyAlignment="1">
      <alignment vertical="center"/>
    </xf>
    <xf numFmtId="1" fontId="38" fillId="0" borderId="0" xfId="0" applyNumberFormat="1" applyFont="1" applyAlignment="1">
      <alignment vertical="center"/>
    </xf>
    <xf numFmtId="1" fontId="25" fillId="0" borderId="0" xfId="0" applyNumberFormat="1" applyFont="1" applyAlignment="1">
      <alignment vertical="center"/>
    </xf>
    <xf numFmtId="1" fontId="1" fillId="0" borderId="0" xfId="1" quotePrefix="1" applyNumberFormat="1" applyAlignment="1">
      <alignment horizontal="right" vertical="center"/>
    </xf>
    <xf numFmtId="1" fontId="19" fillId="0" borderId="0" xfId="0" applyNumberFormat="1" applyFont="1" applyAlignment="1">
      <alignment vertical="center" wrapText="1"/>
    </xf>
    <xf numFmtId="1" fontId="20" fillId="4" borderId="0" xfId="0" applyNumberFormat="1" applyFont="1" applyFill="1" applyAlignment="1">
      <alignment vertical="center" wrapText="1"/>
    </xf>
    <xf numFmtId="1" fontId="26" fillId="0" borderId="0" xfId="0" quotePrefix="1" applyNumberFormat="1" applyFont="1" applyAlignment="1">
      <alignment horizontal="right" vertical="center" wrapText="1"/>
    </xf>
    <xf numFmtId="1" fontId="6" fillId="4" borderId="8" xfId="3" applyNumberFormat="1" applyFont="1" applyFill="1" applyBorder="1" applyAlignment="1">
      <alignment vertical="center"/>
    </xf>
    <xf numFmtId="44" fontId="1" fillId="0" borderId="0" xfId="1" applyNumberFormat="1" applyAlignment="1">
      <alignment vertical="center"/>
    </xf>
    <xf numFmtId="41" fontId="62" fillId="0" borderId="0" xfId="1" applyNumberFormat="1" applyFont="1" applyAlignment="1">
      <alignment vertical="center"/>
    </xf>
    <xf numFmtId="9" fontId="62" fillId="0" borderId="0" xfId="5" applyFont="1" applyBorder="1" applyAlignment="1">
      <alignment vertical="center"/>
    </xf>
    <xf numFmtId="164" fontId="62" fillId="0" borderId="0" xfId="5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22" fillId="0" borderId="0" xfId="0" applyFont="1"/>
    <xf numFmtId="174" fontId="15" fillId="0" borderId="0" xfId="1" applyNumberFormat="1" applyFont="1" applyAlignment="1">
      <alignment vertical="center"/>
    </xf>
    <xf numFmtId="0" fontId="0" fillId="0" borderId="0" xfId="0" applyNumberFormat="1"/>
    <xf numFmtId="0" fontId="1" fillId="0" borderId="0" xfId="1" applyNumberFormat="1" applyAlignment="1">
      <alignment vertical="center"/>
    </xf>
    <xf numFmtId="167" fontId="0" fillId="5" borderId="0" xfId="0" applyNumberFormat="1" applyFill="1" applyAlignment="1">
      <alignment horizontal="center"/>
    </xf>
  </cellXfs>
  <cellStyles count="23">
    <cellStyle name="Comma" xfId="12" builtinId="3"/>
    <cellStyle name="Comma 2" xfId="3" xr:uid="{D6CE9E4E-DB83-45AC-A3FF-4A7758B2FEA3}"/>
    <cellStyle name="Normal" xfId="0" builtinId="0"/>
    <cellStyle name="Normal 10" xfId="19" xr:uid="{BFA0E8AF-544A-4AE1-924B-B6F8C7AB3A3F}"/>
    <cellStyle name="Normal 11" xfId="20" xr:uid="{11FBB143-04A4-4F51-B979-F183783AC1E6}"/>
    <cellStyle name="Normal 2" xfId="1" xr:uid="{30A840FA-C504-44C7-9198-65D35E064482}"/>
    <cellStyle name="Normal 2 2" xfId="4" xr:uid="{42C7A97E-7CF2-499E-AD56-214FC6160C81}"/>
    <cellStyle name="Normal 2 2 2" xfId="13" xr:uid="{96049E12-CC48-45DF-B4FC-21A48888D1EF}"/>
    <cellStyle name="Normal 3" xfId="6" xr:uid="{64726E42-118B-4959-9624-702D080EE3CE}"/>
    <cellStyle name="Normal 4" xfId="7" xr:uid="{DBA48269-96D7-4C99-A226-98C4B65996FF}"/>
    <cellStyle name="Normal 4 2" xfId="14" xr:uid="{897F4667-8975-4BE7-8D17-56E588B02F47}"/>
    <cellStyle name="Normal 5" xfId="8" xr:uid="{BC008025-3D3E-485E-AE5E-1AFF49032002}"/>
    <cellStyle name="Normal 5 2" xfId="15" xr:uid="{59E16821-0360-4A1C-9416-1D7AB3261F83}"/>
    <cellStyle name="Normal 6" xfId="9" xr:uid="{4EE4B93C-B426-436C-BD69-E470641FCD27}"/>
    <cellStyle name="Normal 6 2" xfId="16" xr:uid="{7444944D-343D-4AA4-8553-A2298D084712}"/>
    <cellStyle name="Normal 7" xfId="10" xr:uid="{2675DB41-08CA-40A8-A7BF-D7894368A15C}"/>
    <cellStyle name="Normal 7 2" xfId="17" xr:uid="{54BB035F-DDE4-4337-819E-33A82C0DFCB1}"/>
    <cellStyle name="Normal 8" xfId="11" xr:uid="{A1433756-6E97-4285-8B79-09E02C66D221}"/>
    <cellStyle name="Normal 9" xfId="18" xr:uid="{9BD6A9FD-DE0C-4611-9728-307028353EDA}"/>
    <cellStyle name="Percent" xfId="5" builtinId="5"/>
    <cellStyle name="Percent 2" xfId="2" xr:uid="{84215FF7-2C36-40B5-AF4B-64A003575A71}"/>
    <cellStyle name="SACDataCell" xfId="22" xr:uid="{D5AE05E5-B371-417E-BDFC-588FD6400941}"/>
    <cellStyle name="SACMemberCell" xfId="21" xr:uid="{7BAC64A7-538B-4F51-A714-53D21815144E}"/>
  </cellStyles>
  <dxfs count="107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9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9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9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9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9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9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rgb="FFFFFF99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singleAccounting"/>
        <vertAlign val="baseline"/>
        <sz val="10"/>
        <color indexed="8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1" formatCode="0"/>
    </dxf>
    <dxf>
      <numFmt numFmtId="166" formatCode="0.00_);[Red]\(0.00\)"/>
    </dxf>
    <dxf>
      <numFmt numFmtId="167" formatCode="0_);[Red]\(0\)"/>
    </dxf>
    <dxf>
      <numFmt numFmtId="3" formatCode="#,##0"/>
      <alignment horizontal="general" vertical="top" textRotation="0" wrapText="0" indent="0" justifyLastLine="0" shrinkToFit="0" readingOrder="0"/>
    </dxf>
    <dxf>
      <numFmt numFmtId="167" formatCode="0_);[Red]\(0\)"/>
    </dxf>
    <dxf>
      <numFmt numFmtId="167" formatCode="0_);[Red]\(0\)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166" formatCode="0.00_);[Red]\(0.00\)"/>
    </dxf>
    <dxf>
      <numFmt numFmtId="3" formatCode="#,##0"/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numFmt numFmtId="167" formatCode="0_);[Red]\(0\)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family val="2"/>
        <scheme val="none"/>
      </font>
      <numFmt numFmtId="167" formatCode="0_);[Red]\(0\)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  <color rgb="FFFFCCCC"/>
      <color rgb="FFFF9999"/>
      <color rgb="FFFF5050"/>
      <color rgb="FFFF7C80"/>
      <color rgb="FFFF33CC"/>
      <color rgb="FF9F5FC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0054\Downloads\North%20Sky%20-%20Active%20Projects%20SL%20to%20SAP%20(1).xlsx" TargetMode="External"/><Relationship Id="rId1" Type="http://schemas.openxmlformats.org/officeDocument/2006/relationships/externalLinkPath" Target="file:///C:\Users\LN0054\Downloads\North%20Sky%20-%20Active%20Projects%20SL%20to%20SAP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North Sky Projects"/>
      <sheetName val="SAP SubVendor IDs"/>
      <sheetName val="SAP Contract #s"/>
      <sheetName val="New Area Codes"/>
    </sheetNames>
    <sheetDataSet>
      <sheetData sheetId="0"/>
      <sheetData sheetId="1"/>
      <sheetData sheetId="2">
        <row r="1">
          <cell r="A1" t="str">
            <v>Legacy Project Number</v>
          </cell>
          <cell r="B1" t="str">
            <v>Contract SAP Id</v>
          </cell>
        </row>
        <row r="2">
          <cell r="A2" t="str">
            <v>11101</v>
          </cell>
          <cell r="B2">
            <v>21030</v>
          </cell>
        </row>
        <row r="3">
          <cell r="A3" t="str">
            <v>1385165</v>
          </cell>
          <cell r="B3">
            <v>21031</v>
          </cell>
        </row>
        <row r="4">
          <cell r="A4" t="str">
            <v>1135248</v>
          </cell>
          <cell r="B4">
            <v>21032</v>
          </cell>
        </row>
        <row r="5">
          <cell r="A5" t="str">
            <v>1485245</v>
          </cell>
          <cell r="B5">
            <v>21033</v>
          </cell>
        </row>
        <row r="6">
          <cell r="A6" t="str">
            <v>1485186</v>
          </cell>
          <cell r="B6">
            <v>21034</v>
          </cell>
        </row>
        <row r="7">
          <cell r="A7" t="str">
            <v>1385241</v>
          </cell>
          <cell r="B7">
            <v>21035</v>
          </cell>
        </row>
        <row r="8">
          <cell r="A8" t="str">
            <v>2484105</v>
          </cell>
          <cell r="B8">
            <v>21036</v>
          </cell>
        </row>
        <row r="9">
          <cell r="A9" t="str">
            <v>1384181</v>
          </cell>
          <cell r="B9">
            <v>21037</v>
          </cell>
        </row>
        <row r="10">
          <cell r="A10" t="str">
            <v>1484180</v>
          </cell>
          <cell r="B10">
            <v>21038</v>
          </cell>
        </row>
        <row r="11">
          <cell r="A11" t="str">
            <v>2133010</v>
          </cell>
          <cell r="B11">
            <v>21039</v>
          </cell>
        </row>
        <row r="12">
          <cell r="A12" t="str">
            <v>2442001</v>
          </cell>
          <cell r="B12">
            <v>21040</v>
          </cell>
        </row>
        <row r="13">
          <cell r="A13" t="str">
            <v>1056251</v>
          </cell>
          <cell r="B13">
            <v>21041</v>
          </cell>
        </row>
        <row r="14">
          <cell r="A14" t="str">
            <v>2486023</v>
          </cell>
          <cell r="B14">
            <v>21042</v>
          </cell>
        </row>
        <row r="15">
          <cell r="A15" t="str">
            <v>2384100</v>
          </cell>
          <cell r="B15">
            <v>21043</v>
          </cell>
        </row>
        <row r="16">
          <cell r="A16" t="str">
            <v>2036022</v>
          </cell>
          <cell r="B16">
            <v>21044</v>
          </cell>
        </row>
        <row r="17">
          <cell r="A17" t="str">
            <v>1056168</v>
          </cell>
          <cell r="B17">
            <v>21045</v>
          </cell>
        </row>
        <row r="18">
          <cell r="A18" t="str">
            <v>1296213</v>
          </cell>
          <cell r="B18">
            <v>21046</v>
          </cell>
        </row>
        <row r="19">
          <cell r="A19" t="str">
            <v>2134000</v>
          </cell>
          <cell r="B19">
            <v>21047</v>
          </cell>
        </row>
        <row r="20">
          <cell r="A20" t="str">
            <v>1384185</v>
          </cell>
          <cell r="B20">
            <v>21048</v>
          </cell>
        </row>
        <row r="21">
          <cell r="A21" t="str">
            <v>2445008</v>
          </cell>
          <cell r="B21">
            <v>21049</v>
          </cell>
        </row>
        <row r="22">
          <cell r="A22" t="str">
            <v>1385243</v>
          </cell>
          <cell r="B22">
            <v>21050</v>
          </cell>
        </row>
        <row r="23">
          <cell r="A23" t="str">
            <v>1484193</v>
          </cell>
          <cell r="B23">
            <v>21051</v>
          </cell>
        </row>
        <row r="24">
          <cell r="A24" t="str">
            <v>4052177</v>
          </cell>
          <cell r="B24">
            <v>21052</v>
          </cell>
        </row>
        <row r="25">
          <cell r="A25" t="str">
            <v>2486024</v>
          </cell>
          <cell r="B25">
            <v>21053</v>
          </cell>
        </row>
        <row r="26">
          <cell r="A26" t="str">
            <v>1486183</v>
          </cell>
          <cell r="B26">
            <v>21054</v>
          </cell>
        </row>
        <row r="27">
          <cell r="A27" t="str">
            <v>1385246</v>
          </cell>
          <cell r="B27">
            <v>21055</v>
          </cell>
        </row>
        <row r="28">
          <cell r="A28" t="str">
            <v>1056257</v>
          </cell>
          <cell r="B28">
            <v>21056</v>
          </cell>
        </row>
        <row r="29">
          <cell r="A29" t="str">
            <v>2486030</v>
          </cell>
          <cell r="B29">
            <v>21057</v>
          </cell>
        </row>
        <row r="30">
          <cell r="A30" t="str">
            <v>4052178</v>
          </cell>
          <cell r="B30">
            <v>21058</v>
          </cell>
        </row>
        <row r="31">
          <cell r="A31" t="str">
            <v>2445009</v>
          </cell>
          <cell r="B31">
            <v>21059</v>
          </cell>
        </row>
        <row r="32">
          <cell r="A32" t="str">
            <v>1056189</v>
          </cell>
          <cell r="B32">
            <v>21060</v>
          </cell>
        </row>
        <row r="33">
          <cell r="A33" t="str">
            <v>1296248</v>
          </cell>
          <cell r="B33">
            <v>21061</v>
          </cell>
        </row>
        <row r="34">
          <cell r="A34" t="str">
            <v>C80</v>
          </cell>
          <cell r="B34">
            <v>21062</v>
          </cell>
        </row>
        <row r="35">
          <cell r="A35" t="str">
            <v>2445011</v>
          </cell>
          <cell r="B35">
            <v>21063</v>
          </cell>
        </row>
        <row r="36">
          <cell r="A36" t="str">
            <v>1484211</v>
          </cell>
          <cell r="B36">
            <v>21064</v>
          </cell>
        </row>
        <row r="37">
          <cell r="A37" t="str">
            <v>1387065</v>
          </cell>
          <cell r="B37">
            <v>21065</v>
          </cell>
        </row>
        <row r="38">
          <cell r="A38" t="str">
            <v>1056262</v>
          </cell>
          <cell r="B38">
            <v>21066</v>
          </cell>
        </row>
        <row r="39">
          <cell r="A39" t="str">
            <v>1386152</v>
          </cell>
          <cell r="B39">
            <v>21067</v>
          </cell>
        </row>
        <row r="40">
          <cell r="A40" t="str">
            <v>1056191</v>
          </cell>
          <cell r="B40">
            <v>21068</v>
          </cell>
        </row>
        <row r="41">
          <cell r="A41" t="str">
            <v>1486185</v>
          </cell>
          <cell r="B41">
            <v>21069</v>
          </cell>
        </row>
        <row r="42">
          <cell r="A42" t="str">
            <v>1384188</v>
          </cell>
          <cell r="B42">
            <v>21070</v>
          </cell>
        </row>
        <row r="43">
          <cell r="A43" t="str">
            <v>1296267</v>
          </cell>
          <cell r="B43">
            <v>21071</v>
          </cell>
        </row>
        <row r="44">
          <cell r="A44" t="str">
            <v>2445021</v>
          </cell>
          <cell r="B44">
            <v>21072</v>
          </cell>
        </row>
        <row r="45">
          <cell r="A45" t="str">
            <v>1485257</v>
          </cell>
          <cell r="B45">
            <v>21073</v>
          </cell>
        </row>
        <row r="46">
          <cell r="A46" t="str">
            <v>1056263</v>
          </cell>
          <cell r="B46">
            <v>21074</v>
          </cell>
        </row>
        <row r="47">
          <cell r="A47" t="str">
            <v>1056196</v>
          </cell>
          <cell r="B47">
            <v>21075</v>
          </cell>
        </row>
        <row r="48">
          <cell r="A48" t="str">
            <v>1486186</v>
          </cell>
          <cell r="B48">
            <v>21076</v>
          </cell>
        </row>
        <row r="49">
          <cell r="A49" t="str">
            <v>1296277</v>
          </cell>
          <cell r="B49">
            <v>21077</v>
          </cell>
        </row>
        <row r="50">
          <cell r="A50" t="str">
            <v>2445022</v>
          </cell>
          <cell r="B50">
            <v>21078</v>
          </cell>
        </row>
        <row r="51">
          <cell r="A51" t="str">
            <v>1056270</v>
          </cell>
          <cell r="B51">
            <v>21079</v>
          </cell>
        </row>
        <row r="52">
          <cell r="A52" t="str">
            <v>1388026</v>
          </cell>
          <cell r="B52">
            <v>21080</v>
          </cell>
        </row>
        <row r="53">
          <cell r="A53" t="str">
            <v>1388072</v>
          </cell>
          <cell r="B53">
            <v>21081</v>
          </cell>
        </row>
        <row r="54">
          <cell r="A54" t="str">
            <v>1056197</v>
          </cell>
          <cell r="B54">
            <v>21082</v>
          </cell>
        </row>
        <row r="55">
          <cell r="A55" t="str">
            <v>1382035</v>
          </cell>
          <cell r="B55">
            <v>21083</v>
          </cell>
        </row>
        <row r="56">
          <cell r="A56" t="str">
            <v>1385167</v>
          </cell>
          <cell r="B56">
            <v>21084</v>
          </cell>
        </row>
        <row r="57">
          <cell r="A57" t="str">
            <v>1384199</v>
          </cell>
          <cell r="B57">
            <v>21085</v>
          </cell>
        </row>
        <row r="58">
          <cell r="A58" t="str">
            <v>1481125</v>
          </cell>
          <cell r="B58">
            <v>21086</v>
          </cell>
        </row>
        <row r="59">
          <cell r="A59" t="str">
            <v>1485117</v>
          </cell>
          <cell r="B59">
            <v>21087</v>
          </cell>
        </row>
        <row r="60">
          <cell r="A60" t="str">
            <v>1056275</v>
          </cell>
          <cell r="B60">
            <v>21088</v>
          </cell>
        </row>
        <row r="61">
          <cell r="A61" t="str">
            <v>2445023</v>
          </cell>
          <cell r="B61">
            <v>21089</v>
          </cell>
        </row>
        <row r="62">
          <cell r="A62" t="str">
            <v>1382115</v>
          </cell>
          <cell r="B62">
            <v>21090</v>
          </cell>
        </row>
        <row r="63">
          <cell r="A63" t="str">
            <v>1482008</v>
          </cell>
          <cell r="B63">
            <v>21091</v>
          </cell>
        </row>
        <row r="64">
          <cell r="A64" t="str">
            <v>1384210</v>
          </cell>
          <cell r="B64">
            <v>21092</v>
          </cell>
        </row>
        <row r="65">
          <cell r="A65" t="str">
            <v>1383014</v>
          </cell>
          <cell r="B65">
            <v>21093</v>
          </cell>
        </row>
        <row r="66">
          <cell r="A66" t="str">
            <v>1384213</v>
          </cell>
          <cell r="B66">
            <v>21094</v>
          </cell>
        </row>
        <row r="67">
          <cell r="A67" t="str">
            <v>1386155</v>
          </cell>
          <cell r="B67">
            <v>21095</v>
          </cell>
        </row>
        <row r="68">
          <cell r="A68" t="str">
            <v>1056276</v>
          </cell>
          <cell r="B68">
            <v>21096</v>
          </cell>
        </row>
        <row r="69">
          <cell r="A69" t="str">
            <v>1383090</v>
          </cell>
          <cell r="B69">
            <v>21097</v>
          </cell>
        </row>
        <row r="70">
          <cell r="A70" t="str">
            <v>1385121</v>
          </cell>
          <cell r="B70">
            <v>21098</v>
          </cell>
        </row>
        <row r="71">
          <cell r="A71" t="str">
            <v>2445024</v>
          </cell>
          <cell r="B71">
            <v>21099</v>
          </cell>
        </row>
        <row r="72">
          <cell r="A72" t="str">
            <v>1383108</v>
          </cell>
          <cell r="B72">
            <v>21100</v>
          </cell>
        </row>
        <row r="73">
          <cell r="A73" t="str">
            <v>1385126</v>
          </cell>
          <cell r="B73">
            <v>21101</v>
          </cell>
        </row>
        <row r="74">
          <cell r="A74" t="str">
            <v>1386156</v>
          </cell>
          <cell r="B74">
            <v>21102</v>
          </cell>
        </row>
        <row r="75">
          <cell r="A75" t="str">
            <v>1056286</v>
          </cell>
          <cell r="B75">
            <v>21103</v>
          </cell>
        </row>
        <row r="76">
          <cell r="A76" t="str">
            <v>1384000</v>
          </cell>
          <cell r="B76">
            <v>21104</v>
          </cell>
        </row>
        <row r="77">
          <cell r="A77" t="str">
            <v>1386166</v>
          </cell>
          <cell r="B77">
            <v>21105</v>
          </cell>
        </row>
        <row r="78">
          <cell r="A78" t="str">
            <v>1485118</v>
          </cell>
          <cell r="B78">
            <v>21106</v>
          </cell>
        </row>
        <row r="79">
          <cell r="A79" t="str">
            <v>1384151</v>
          </cell>
          <cell r="B79">
            <v>21107</v>
          </cell>
        </row>
        <row r="80">
          <cell r="A80" t="str">
            <v>NEDGSUFRS</v>
          </cell>
          <cell r="B80">
            <v>21108</v>
          </cell>
        </row>
        <row r="81">
          <cell r="A81" t="str">
            <v>1486113</v>
          </cell>
          <cell r="B81">
            <v>21109</v>
          </cell>
        </row>
        <row r="82">
          <cell r="A82" t="str">
            <v>1384156</v>
          </cell>
          <cell r="B82">
            <v>21110</v>
          </cell>
        </row>
        <row r="83">
          <cell r="A83" t="str">
            <v>1384173</v>
          </cell>
          <cell r="B83">
            <v>21111</v>
          </cell>
        </row>
        <row r="84">
          <cell r="A84" t="str">
            <v>1485124</v>
          </cell>
          <cell r="B84">
            <v>21112</v>
          </cell>
        </row>
        <row r="85">
          <cell r="A85" t="str">
            <v>1385127</v>
          </cell>
          <cell r="B85">
            <v>21113</v>
          </cell>
        </row>
        <row r="86">
          <cell r="A86" t="str">
            <v>1056117</v>
          </cell>
          <cell r="B86">
            <v>21114</v>
          </cell>
        </row>
        <row r="87">
          <cell r="A87" t="str">
            <v>1485188</v>
          </cell>
          <cell r="B87">
            <v>21115</v>
          </cell>
        </row>
        <row r="88">
          <cell r="A88" t="str">
            <v>1486116</v>
          </cell>
          <cell r="B88">
            <v>21116</v>
          </cell>
        </row>
        <row r="89">
          <cell r="A89" t="str">
            <v>1486123</v>
          </cell>
          <cell r="B89">
            <v>21117</v>
          </cell>
        </row>
        <row r="90">
          <cell r="A90" t="str">
            <v>1486140</v>
          </cell>
          <cell r="B90">
            <v>21118</v>
          </cell>
        </row>
        <row r="91">
          <cell r="A91" t="str">
            <v>1384180</v>
          </cell>
          <cell r="B91">
            <v>21119</v>
          </cell>
        </row>
        <row r="92">
          <cell r="A92" t="str">
            <v>1385144</v>
          </cell>
          <cell r="B92">
            <v>21120</v>
          </cell>
        </row>
        <row r="93">
          <cell r="A93" t="str">
            <v>2051013</v>
          </cell>
          <cell r="B93">
            <v>21121</v>
          </cell>
        </row>
        <row r="94">
          <cell r="A94" t="str">
            <v>1385146</v>
          </cell>
          <cell r="B94">
            <v>21122</v>
          </cell>
        </row>
        <row r="95">
          <cell r="A95" t="str">
            <v>1385249</v>
          </cell>
          <cell r="B95">
            <v>21123</v>
          </cell>
        </row>
        <row r="96">
          <cell r="A96" t="str">
            <v>1486174</v>
          </cell>
          <cell r="B96">
            <v>21124</v>
          </cell>
        </row>
        <row r="97">
          <cell r="A97" t="str">
            <v>1385148</v>
          </cell>
          <cell r="B97">
            <v>21125</v>
          </cell>
        </row>
        <row r="98">
          <cell r="A98" t="str">
            <v>1385162</v>
          </cell>
          <cell r="B98">
            <v>21126</v>
          </cell>
        </row>
        <row r="99">
          <cell r="A99" t="str">
            <v>1385163</v>
          </cell>
          <cell r="B99">
            <v>21127</v>
          </cell>
        </row>
        <row r="100">
          <cell r="A100" t="str">
            <v>ONEPAUPHX</v>
          </cell>
          <cell r="B100">
            <v>21128</v>
          </cell>
        </row>
        <row r="101">
          <cell r="A101" t="str">
            <v>2445099</v>
          </cell>
          <cell r="B101">
            <v>21129</v>
          </cell>
        </row>
        <row r="102">
          <cell r="A102" t="str">
            <v>1486175</v>
          </cell>
          <cell r="B102">
            <v>21130</v>
          </cell>
        </row>
        <row r="103">
          <cell r="A103" t="str">
            <v>1486192</v>
          </cell>
          <cell r="B103">
            <v>21131</v>
          </cell>
        </row>
        <row r="104">
          <cell r="A104" t="str">
            <v>1136201</v>
          </cell>
          <cell r="B104">
            <v>21132</v>
          </cell>
        </row>
        <row r="105">
          <cell r="A105" t="str">
            <v>1056129</v>
          </cell>
          <cell r="B105">
            <v>21133</v>
          </cell>
        </row>
        <row r="106">
          <cell r="A106" t="str">
            <v>1486176</v>
          </cell>
          <cell r="B106">
            <v>21134</v>
          </cell>
        </row>
        <row r="107">
          <cell r="A107" t="str">
            <v>2484111</v>
          </cell>
          <cell r="B107">
            <v>21135</v>
          </cell>
        </row>
        <row r="108">
          <cell r="A108" t="str">
            <v>1056130</v>
          </cell>
          <cell r="B108">
            <v>21136</v>
          </cell>
        </row>
        <row r="109">
          <cell r="A109" t="str">
            <v>1385175</v>
          </cell>
          <cell r="B109">
            <v>21137</v>
          </cell>
        </row>
        <row r="110">
          <cell r="A110" t="str">
            <v>1485194</v>
          </cell>
          <cell r="B110">
            <v>21138</v>
          </cell>
        </row>
        <row r="111">
          <cell r="A111" t="str">
            <v>1056133</v>
          </cell>
          <cell r="B111">
            <v>21139</v>
          </cell>
        </row>
        <row r="112">
          <cell r="A112" t="str">
            <v>1486177</v>
          </cell>
          <cell r="B112">
            <v>21140</v>
          </cell>
        </row>
        <row r="113">
          <cell r="A113" t="str">
            <v>1056134</v>
          </cell>
          <cell r="B113">
            <v>21141</v>
          </cell>
        </row>
        <row r="114">
          <cell r="A114" t="str">
            <v>2482134</v>
          </cell>
          <cell r="B114">
            <v>21142</v>
          </cell>
        </row>
        <row r="115">
          <cell r="A115" t="str">
            <v>1485141</v>
          </cell>
          <cell r="B115">
            <v>21143</v>
          </cell>
        </row>
        <row r="116">
          <cell r="A116" t="str">
            <v>2482142</v>
          </cell>
          <cell r="B116">
            <v>21144</v>
          </cell>
        </row>
        <row r="117">
          <cell r="A117" t="str">
            <v>2384111</v>
          </cell>
          <cell r="B117">
            <v>21145</v>
          </cell>
        </row>
        <row r="118">
          <cell r="A118" t="str">
            <v>2482150</v>
          </cell>
          <cell r="B118">
            <v>21146</v>
          </cell>
        </row>
        <row r="119">
          <cell r="A119" t="str">
            <v>2483001</v>
          </cell>
          <cell r="B119">
            <v>21147</v>
          </cell>
        </row>
        <row r="120">
          <cell r="A120" t="str">
            <v>2484101</v>
          </cell>
          <cell r="B120">
            <v>21148</v>
          </cell>
        </row>
        <row r="121">
          <cell r="A121" t="str">
            <v>1486178</v>
          </cell>
          <cell r="B121">
            <v>21149</v>
          </cell>
        </row>
        <row r="122">
          <cell r="A122" t="str">
            <v>1486247</v>
          </cell>
          <cell r="B122">
            <v>21150</v>
          </cell>
        </row>
        <row r="123">
          <cell r="A123" t="str">
            <v>1385176</v>
          </cell>
          <cell r="B123">
            <v>21151</v>
          </cell>
        </row>
        <row r="124">
          <cell r="A124" t="str">
            <v>1386187</v>
          </cell>
          <cell r="B124">
            <v>21152</v>
          </cell>
        </row>
        <row r="125">
          <cell r="A125" t="str">
            <v>1385178</v>
          </cell>
          <cell r="B125">
            <v>21153</v>
          </cell>
        </row>
        <row r="126">
          <cell r="A126" t="str">
            <v>1385193</v>
          </cell>
          <cell r="B126">
            <v>21154</v>
          </cell>
        </row>
        <row r="127">
          <cell r="A127" t="str">
            <v>1486180</v>
          </cell>
          <cell r="B127">
            <v>21155</v>
          </cell>
        </row>
        <row r="128">
          <cell r="A128" t="str">
            <v>1385195</v>
          </cell>
          <cell r="B128">
            <v>21156</v>
          </cell>
        </row>
        <row r="129">
          <cell r="A129" t="str">
            <v>1486265</v>
          </cell>
          <cell r="B129">
            <v>21157</v>
          </cell>
        </row>
        <row r="130">
          <cell r="A130" t="str">
            <v>1385198</v>
          </cell>
          <cell r="B130">
            <v>21158</v>
          </cell>
        </row>
        <row r="131">
          <cell r="A131" t="str">
            <v>2486051</v>
          </cell>
          <cell r="B131">
            <v>21159</v>
          </cell>
        </row>
        <row r="132">
          <cell r="A132" t="str">
            <v>1385201</v>
          </cell>
          <cell r="B132">
            <v>21160</v>
          </cell>
        </row>
        <row r="133">
          <cell r="A133" t="str">
            <v>2135000</v>
          </cell>
          <cell r="B133">
            <v>21161</v>
          </cell>
        </row>
        <row r="134">
          <cell r="A134" t="str">
            <v>1486181</v>
          </cell>
          <cell r="B134">
            <v>21162</v>
          </cell>
        </row>
        <row r="135">
          <cell r="A135" t="str">
            <v>1485150</v>
          </cell>
          <cell r="B135">
            <v>21163</v>
          </cell>
        </row>
        <row r="136">
          <cell r="A136" t="str">
            <v>1485200</v>
          </cell>
          <cell r="B136">
            <v>21164</v>
          </cell>
        </row>
        <row r="137">
          <cell r="A137" t="str">
            <v>1136238</v>
          </cell>
          <cell r="B137">
            <v>21165</v>
          </cell>
        </row>
        <row r="138">
          <cell r="A138" t="str">
            <v>1485158</v>
          </cell>
          <cell r="B138">
            <v>21166</v>
          </cell>
        </row>
        <row r="139">
          <cell r="A139" t="str">
            <v>1485159</v>
          </cell>
          <cell r="B139">
            <v>21167</v>
          </cell>
        </row>
        <row r="140">
          <cell r="A140" t="str">
            <v>1485161</v>
          </cell>
          <cell r="B140">
            <v>21168</v>
          </cell>
        </row>
        <row r="141">
          <cell r="A141" t="str">
            <v>1486182</v>
          </cell>
          <cell r="B141">
            <v>21169</v>
          </cell>
        </row>
        <row r="142">
          <cell r="A142" t="str">
            <v>1385251</v>
          </cell>
          <cell r="B142">
            <v>21170</v>
          </cell>
        </row>
        <row r="143">
          <cell r="A143" t="str">
            <v>2484115</v>
          </cell>
          <cell r="B143">
            <v>21171</v>
          </cell>
        </row>
        <row r="144">
          <cell r="A144" t="str">
            <v>1056136</v>
          </cell>
          <cell r="B144">
            <v>21172</v>
          </cell>
        </row>
        <row r="145">
          <cell r="A145" t="str">
            <v>1385203</v>
          </cell>
          <cell r="B145">
            <v>21173</v>
          </cell>
        </row>
        <row r="146">
          <cell r="A146" t="str">
            <v>2052069</v>
          </cell>
          <cell r="B146">
            <v>21174</v>
          </cell>
        </row>
        <row r="147">
          <cell r="A147" t="str">
            <v>1485209</v>
          </cell>
          <cell r="B147">
            <v>21175</v>
          </cell>
        </row>
        <row r="148">
          <cell r="A148" t="str">
            <v>2384112</v>
          </cell>
          <cell r="B148">
            <v>21176</v>
          </cell>
        </row>
        <row r="149">
          <cell r="A149" t="str">
            <v>2385006</v>
          </cell>
          <cell r="B149">
            <v>21177</v>
          </cell>
        </row>
        <row r="150">
          <cell r="A150" t="str">
            <v>1252080</v>
          </cell>
          <cell r="B150">
            <v>21178</v>
          </cell>
        </row>
        <row r="151">
          <cell r="A151" t="str">
            <v>1385208</v>
          </cell>
          <cell r="B151">
            <v>21179</v>
          </cell>
        </row>
        <row r="152">
          <cell r="A152" t="str">
            <v>1385211</v>
          </cell>
          <cell r="B152">
            <v>21180</v>
          </cell>
        </row>
        <row r="153">
          <cell r="A153" t="str">
            <v>1385218</v>
          </cell>
          <cell r="B153">
            <v>21181</v>
          </cell>
        </row>
        <row r="154">
          <cell r="A154" t="str">
            <v>1385240</v>
          </cell>
          <cell r="B154">
            <v>21182</v>
          </cell>
        </row>
        <row r="155">
          <cell r="A155" t="str">
            <v>1386198</v>
          </cell>
          <cell r="B155">
            <v>21183</v>
          </cell>
        </row>
        <row r="156">
          <cell r="A156" t="str">
            <v>2136007</v>
          </cell>
          <cell r="B156">
            <v>21184</v>
          </cell>
        </row>
        <row r="157">
          <cell r="A157" t="str">
            <v>2136010</v>
          </cell>
          <cell r="B157">
            <v>21185</v>
          </cell>
        </row>
        <row r="158">
          <cell r="A158" t="str">
            <v>1485173</v>
          </cell>
          <cell r="B158">
            <v>21186</v>
          </cell>
        </row>
        <row r="159">
          <cell r="A159" t="str">
            <v>2136011</v>
          </cell>
          <cell r="B159">
            <v>21187</v>
          </cell>
        </row>
        <row r="160">
          <cell r="A160" t="str">
            <v>1056140</v>
          </cell>
          <cell r="B160">
            <v>21188</v>
          </cell>
        </row>
        <row r="161">
          <cell r="A161" t="str">
            <v>2660000</v>
          </cell>
          <cell r="B161">
            <v>21189</v>
          </cell>
        </row>
        <row r="162">
          <cell r="A162" t="str">
            <v>1275170</v>
          </cell>
          <cell r="B162">
            <v>21190</v>
          </cell>
        </row>
        <row r="163">
          <cell r="A163" t="str">
            <v>2136014</v>
          </cell>
          <cell r="B163">
            <v>21191</v>
          </cell>
        </row>
        <row r="164">
          <cell r="A164" t="str">
            <v>1275199</v>
          </cell>
          <cell r="B164">
            <v>21192</v>
          </cell>
        </row>
        <row r="165">
          <cell r="A165" t="str">
            <v>1056141</v>
          </cell>
          <cell r="B165">
            <v>21193</v>
          </cell>
        </row>
        <row r="166">
          <cell r="A166" t="str">
            <v>1056146</v>
          </cell>
          <cell r="B166">
            <v>21194</v>
          </cell>
        </row>
        <row r="167">
          <cell r="A167" t="str">
            <v>2052107</v>
          </cell>
          <cell r="B167">
            <v>21195</v>
          </cell>
        </row>
        <row r="168">
          <cell r="A168" t="str">
            <v>2484116</v>
          </cell>
          <cell r="B168">
            <v>21196</v>
          </cell>
        </row>
        <row r="169">
          <cell r="A169" t="str">
            <v>1385252</v>
          </cell>
          <cell r="B169">
            <v>21197</v>
          </cell>
        </row>
        <row r="170">
          <cell r="A170" t="str">
            <v>1056153</v>
          </cell>
          <cell r="B170">
            <v>21198</v>
          </cell>
        </row>
        <row r="171">
          <cell r="A171" t="str">
            <v>1386206</v>
          </cell>
          <cell r="B171">
            <v>21199</v>
          </cell>
        </row>
        <row r="172">
          <cell r="A172" t="str">
            <v>1056160</v>
          </cell>
          <cell r="B172">
            <v>21200</v>
          </cell>
        </row>
        <row r="173">
          <cell r="A173" t="str">
            <v>1056208</v>
          </cell>
          <cell r="B173">
            <v>21201</v>
          </cell>
        </row>
        <row r="174">
          <cell r="A174" t="str">
            <v>2660001</v>
          </cell>
          <cell r="B174">
            <v>21202</v>
          </cell>
        </row>
        <row r="175">
          <cell r="A175" t="str">
            <v>1485214</v>
          </cell>
          <cell r="B175">
            <v>21203</v>
          </cell>
        </row>
        <row r="176">
          <cell r="A176" t="str">
            <v>1386207</v>
          </cell>
          <cell r="B176">
            <v>21204</v>
          </cell>
        </row>
        <row r="177">
          <cell r="A177" t="str">
            <v>1386211</v>
          </cell>
          <cell r="B177">
            <v>21205</v>
          </cell>
        </row>
        <row r="178">
          <cell r="A178" t="str">
            <v>1056163</v>
          </cell>
          <cell r="B178">
            <v>21206</v>
          </cell>
        </row>
        <row r="179">
          <cell r="A179" t="str">
            <v>1386226</v>
          </cell>
          <cell r="B179">
            <v>21207</v>
          </cell>
        </row>
        <row r="180">
          <cell r="A180" t="str">
            <v>2052144</v>
          </cell>
          <cell r="B180">
            <v>21208</v>
          </cell>
        </row>
        <row r="181">
          <cell r="A181" t="str">
            <v>1056165</v>
          </cell>
          <cell r="B181">
            <v>21209</v>
          </cell>
        </row>
        <row r="182">
          <cell r="A182" t="str">
            <v>1386233</v>
          </cell>
          <cell r="B182">
            <v>21210</v>
          </cell>
        </row>
        <row r="183">
          <cell r="A183" t="str">
            <v>2052148</v>
          </cell>
          <cell r="B183">
            <v>21211</v>
          </cell>
        </row>
        <row r="184">
          <cell r="A184" t="str">
            <v>1385259</v>
          </cell>
          <cell r="B184">
            <v>21212</v>
          </cell>
        </row>
        <row r="185">
          <cell r="A185" t="str">
            <v>1386239</v>
          </cell>
          <cell r="B185">
            <v>21213</v>
          </cell>
        </row>
        <row r="186">
          <cell r="A186" t="str">
            <v>1275216</v>
          </cell>
          <cell r="B186">
            <v>21214</v>
          </cell>
        </row>
        <row r="187">
          <cell r="A187" t="str">
            <v>1386105</v>
          </cell>
          <cell r="B187">
            <v>21215</v>
          </cell>
        </row>
        <row r="188">
          <cell r="A188" t="str">
            <v>1386107</v>
          </cell>
          <cell r="B188">
            <v>21216</v>
          </cell>
        </row>
        <row r="189">
          <cell r="A189" t="str">
            <v>1386111</v>
          </cell>
          <cell r="B189">
            <v>21217</v>
          </cell>
        </row>
        <row r="190">
          <cell r="A190" t="str">
            <v>1386124</v>
          </cell>
          <cell r="B190">
            <v>21218</v>
          </cell>
        </row>
        <row r="191">
          <cell r="A191" t="str">
            <v>1386274</v>
          </cell>
          <cell r="B191">
            <v>21219</v>
          </cell>
        </row>
        <row r="192">
          <cell r="A192" t="str">
            <v>1386287</v>
          </cell>
          <cell r="B192">
            <v>21220</v>
          </cell>
        </row>
        <row r="193">
          <cell r="A193" t="str">
            <v>1386138</v>
          </cell>
          <cell r="B193">
            <v>21221</v>
          </cell>
        </row>
        <row r="194">
          <cell r="A194" t="str">
            <v>2052149</v>
          </cell>
          <cell r="B194">
            <v>21222</v>
          </cell>
        </row>
        <row r="195">
          <cell r="A195" t="str">
            <v>2385009</v>
          </cell>
          <cell r="B195">
            <v>21223</v>
          </cell>
        </row>
        <row r="196">
          <cell r="A196" t="str">
            <v>2484119</v>
          </cell>
          <cell r="B196">
            <v>21224</v>
          </cell>
        </row>
        <row r="197">
          <cell r="A197" t="str">
            <v>1485224</v>
          </cell>
          <cell r="B197">
            <v>21225</v>
          </cell>
        </row>
        <row r="198">
          <cell r="A198" t="str">
            <v>1386148</v>
          </cell>
          <cell r="B198">
            <v>21226</v>
          </cell>
        </row>
        <row r="199">
          <cell r="A199" t="str">
            <v>1485228</v>
          </cell>
          <cell r="B199">
            <v>21227</v>
          </cell>
        </row>
        <row r="200">
          <cell r="A200" t="str">
            <v>1386149</v>
          </cell>
          <cell r="B200">
            <v>21228</v>
          </cell>
        </row>
        <row r="201">
          <cell r="A201" t="str">
            <v>1485229</v>
          </cell>
          <cell r="B201">
            <v>21229</v>
          </cell>
        </row>
        <row r="202">
          <cell r="A202" t="str">
            <v>2485000</v>
          </cell>
          <cell r="B202">
            <v>21230</v>
          </cell>
        </row>
        <row r="203">
          <cell r="A203" t="str">
            <v>2052156</v>
          </cell>
          <cell r="B203">
            <v>21231</v>
          </cell>
        </row>
        <row r="204">
          <cell r="A204" t="str">
            <v>1485230</v>
          </cell>
          <cell r="B204">
            <v>21232</v>
          </cell>
        </row>
        <row r="205">
          <cell r="A205" t="str">
            <v>2485005</v>
          </cell>
          <cell r="B205">
            <v>21233</v>
          </cell>
        </row>
        <row r="206">
          <cell r="A206" t="str">
            <v>2056000</v>
          </cell>
          <cell r="B206">
            <v>21234</v>
          </cell>
        </row>
        <row r="207">
          <cell r="A207" t="str">
            <v>1485233</v>
          </cell>
          <cell r="B207">
            <v>21235</v>
          </cell>
        </row>
        <row r="208">
          <cell r="A208" t="str">
            <v>2485007</v>
          </cell>
          <cell r="B208">
            <v>21236</v>
          </cell>
        </row>
        <row r="209">
          <cell r="A209" t="str">
            <v>2056003</v>
          </cell>
          <cell r="B209">
            <v>21237</v>
          </cell>
        </row>
        <row r="210">
          <cell r="A210" t="str">
            <v>1275223</v>
          </cell>
          <cell r="B210">
            <v>21238</v>
          </cell>
        </row>
        <row r="211">
          <cell r="A211" t="str">
            <v>2485009</v>
          </cell>
          <cell r="B211">
            <v>21239</v>
          </cell>
        </row>
        <row r="212">
          <cell r="A212" t="str">
            <v>2485011</v>
          </cell>
          <cell r="B212">
            <v>21240</v>
          </cell>
        </row>
        <row r="213">
          <cell r="A213" t="str">
            <v>2485012</v>
          </cell>
          <cell r="B213">
            <v>21241</v>
          </cell>
        </row>
        <row r="214">
          <cell r="A214" t="str">
            <v>2485013</v>
          </cell>
          <cell r="B214">
            <v>21242</v>
          </cell>
        </row>
        <row r="215">
          <cell r="A215" t="str">
            <v>2486013</v>
          </cell>
          <cell r="B215">
            <v>21243</v>
          </cell>
        </row>
        <row r="216">
          <cell r="A216" t="str">
            <v>1485235</v>
          </cell>
          <cell r="B216">
            <v>21244</v>
          </cell>
        </row>
        <row r="217">
          <cell r="A217" t="str">
            <v>1485174</v>
          </cell>
          <cell r="B217">
            <v>21245</v>
          </cell>
        </row>
        <row r="218">
          <cell r="A218" t="str">
            <v>2486016</v>
          </cell>
          <cell r="B218">
            <v>21246</v>
          </cell>
        </row>
        <row r="219">
          <cell r="A219" t="str">
            <v>2065000</v>
          </cell>
          <cell r="B219">
            <v>21247</v>
          </cell>
        </row>
        <row r="220">
          <cell r="A220" t="str">
            <v>1485237</v>
          </cell>
          <cell r="B220">
            <v>21248</v>
          </cell>
        </row>
        <row r="221">
          <cell r="A221" t="str">
            <v>2066100</v>
          </cell>
          <cell r="B221">
            <v>21249</v>
          </cell>
        </row>
        <row r="222">
          <cell r="A222" t="str">
            <v>2136060</v>
          </cell>
          <cell r="B222">
            <v>21250</v>
          </cell>
        </row>
        <row r="223">
          <cell r="A223" t="str">
            <v>2132003</v>
          </cell>
          <cell r="B223">
            <v>21251</v>
          </cell>
        </row>
        <row r="224">
          <cell r="A224" t="str">
            <v>1485238</v>
          </cell>
          <cell r="B224">
            <v>21252</v>
          </cell>
        </row>
        <row r="225">
          <cell r="A225" t="str">
            <v>2133000</v>
          </cell>
          <cell r="B225">
            <v>21253</v>
          </cell>
        </row>
        <row r="226">
          <cell r="A226" t="str">
            <v>1485180</v>
          </cell>
          <cell r="B226">
            <v>21254</v>
          </cell>
        </row>
        <row r="227">
          <cell r="A227" t="str">
            <v>1276153</v>
          </cell>
          <cell r="B227">
            <v>21255</v>
          </cell>
        </row>
        <row r="228">
          <cell r="A228" t="str">
            <v>2385015</v>
          </cell>
          <cell r="B228">
            <v>21256</v>
          </cell>
        </row>
        <row r="229">
          <cell r="A229" t="str">
            <v>2386000</v>
          </cell>
          <cell r="B229">
            <v>21257</v>
          </cell>
        </row>
        <row r="230">
          <cell r="A230" t="str">
            <v>2386010</v>
          </cell>
          <cell r="B230">
            <v>21258</v>
          </cell>
        </row>
        <row r="231">
          <cell r="A231" t="str">
            <v>2386020</v>
          </cell>
          <cell r="B231">
            <v>21259</v>
          </cell>
        </row>
        <row r="232">
          <cell r="A232" t="str">
            <v>2386021</v>
          </cell>
          <cell r="B232">
            <v>21260</v>
          </cell>
        </row>
        <row r="233">
          <cell r="A233" t="str">
            <v>1056212</v>
          </cell>
          <cell r="B233">
            <v>21261</v>
          </cell>
        </row>
        <row r="234">
          <cell r="A234" t="str">
            <v>1056216</v>
          </cell>
          <cell r="B234">
            <v>21262</v>
          </cell>
        </row>
        <row r="235">
          <cell r="A235" t="str">
            <v>1056218</v>
          </cell>
          <cell r="B235">
            <v>21263</v>
          </cell>
        </row>
        <row r="236">
          <cell r="A236" t="str">
            <v>1056229</v>
          </cell>
          <cell r="B236">
            <v>21264</v>
          </cell>
        </row>
        <row r="237">
          <cell r="A237" t="str">
            <v>1056231</v>
          </cell>
          <cell r="B237">
            <v>21265</v>
          </cell>
        </row>
        <row r="238">
          <cell r="A238" t="str">
            <v>2153001</v>
          </cell>
          <cell r="B238">
            <v>21266</v>
          </cell>
        </row>
        <row r="239">
          <cell r="A239" t="str">
            <v>1276157</v>
          </cell>
          <cell r="B239">
            <v>21267</v>
          </cell>
        </row>
        <row r="240">
          <cell r="A240" t="str">
            <v>2194000</v>
          </cell>
          <cell r="B240">
            <v>21268</v>
          </cell>
        </row>
        <row r="241">
          <cell r="A241" t="str">
            <v>1056232</v>
          </cell>
          <cell r="B241">
            <v>21269</v>
          </cell>
        </row>
        <row r="242">
          <cell r="A242" t="str">
            <v>2230000</v>
          </cell>
          <cell r="B242">
            <v>21270</v>
          </cell>
        </row>
        <row r="243">
          <cell r="A243" t="str">
            <v>1056237</v>
          </cell>
          <cell r="B243">
            <v>21271</v>
          </cell>
        </row>
        <row r="244">
          <cell r="A244" t="str">
            <v>1056242</v>
          </cell>
          <cell r="B244">
            <v>21272</v>
          </cell>
        </row>
        <row r="245">
          <cell r="A245" t="str">
            <v>2254000</v>
          </cell>
          <cell r="B245">
            <v>21273</v>
          </cell>
        </row>
        <row r="246">
          <cell r="A246" t="str">
            <v>2382148</v>
          </cell>
          <cell r="B246">
            <v>21274</v>
          </cell>
        </row>
        <row r="247">
          <cell r="A247" t="str">
            <v>2383008</v>
          </cell>
          <cell r="B247">
            <v>21275</v>
          </cell>
        </row>
        <row r="248">
          <cell r="A248" t="str">
            <v>1056289</v>
          </cell>
          <cell r="B248">
            <v>21276</v>
          </cell>
        </row>
        <row r="249">
          <cell r="A249" t="str">
            <v>2386050</v>
          </cell>
          <cell r="B249">
            <v>21277</v>
          </cell>
        </row>
        <row r="250">
          <cell r="A250" t="str">
            <v>1276199</v>
          </cell>
          <cell r="B250">
            <v>21278</v>
          </cell>
        </row>
        <row r="251">
          <cell r="A251" t="str">
            <v>1296001</v>
          </cell>
          <cell r="B251">
            <v>21279</v>
          </cell>
        </row>
        <row r="252">
          <cell r="A252" t="str">
            <v>1296002</v>
          </cell>
          <cell r="B252">
            <v>21280</v>
          </cell>
        </row>
        <row r="253">
          <cell r="A253" t="str">
            <v>1296171</v>
          </cell>
          <cell r="B253">
            <v>21281</v>
          </cell>
        </row>
        <row r="254">
          <cell r="A254" t="str">
            <v>1056291</v>
          </cell>
          <cell r="B254">
            <v>21282</v>
          </cell>
        </row>
        <row r="255">
          <cell r="A255" t="str">
            <v>1056292</v>
          </cell>
          <cell r="B255">
            <v>21283</v>
          </cell>
        </row>
        <row r="256">
          <cell r="A256" t="str">
            <v>1059121</v>
          </cell>
          <cell r="B256">
            <v>21284</v>
          </cell>
        </row>
        <row r="257">
          <cell r="A257" t="str">
            <v>1131127</v>
          </cell>
          <cell r="B257">
            <v>21285</v>
          </cell>
        </row>
        <row r="258">
          <cell r="A258" t="str">
            <v>1482096</v>
          </cell>
          <cell r="B258">
            <v>21286</v>
          </cell>
        </row>
        <row r="259">
          <cell r="A259" t="str">
            <v>1135184</v>
          </cell>
          <cell r="B259">
            <v>21287</v>
          </cell>
        </row>
        <row r="260">
          <cell r="A260" t="str">
            <v>2386051</v>
          </cell>
          <cell r="B260">
            <v>21288</v>
          </cell>
        </row>
        <row r="261">
          <cell r="A261" t="str">
            <v>4052154</v>
          </cell>
          <cell r="B261">
            <v>21289</v>
          </cell>
        </row>
        <row r="262">
          <cell r="A262" t="str">
            <v>2434000</v>
          </cell>
          <cell r="B262">
            <v>21290</v>
          </cell>
        </row>
        <row r="263">
          <cell r="A263" t="str">
            <v>2441000</v>
          </cell>
          <cell r="B263">
            <v>21291</v>
          </cell>
        </row>
        <row r="264">
          <cell r="A264" t="str">
            <v>1483071</v>
          </cell>
          <cell r="B264">
            <v>21292</v>
          </cell>
        </row>
        <row r="265">
          <cell r="A265" t="str">
            <v>4052155</v>
          </cell>
          <cell r="B265">
            <v>21293</v>
          </cell>
        </row>
        <row r="266">
          <cell r="A266" t="str">
            <v>4052162</v>
          </cell>
          <cell r="B266">
            <v>21294</v>
          </cell>
        </row>
        <row r="267">
          <cell r="A267" t="str">
            <v>4052165</v>
          </cell>
          <cell r="B267">
            <v>21295</v>
          </cell>
        </row>
        <row r="268">
          <cell r="A268" t="str">
            <v>4052166</v>
          </cell>
          <cell r="B268">
            <v>21296</v>
          </cell>
        </row>
        <row r="269">
          <cell r="A269" t="str">
            <v>4052167</v>
          </cell>
          <cell r="B269">
            <v>21297</v>
          </cell>
        </row>
        <row r="270">
          <cell r="A270" t="str">
            <v>4052170</v>
          </cell>
          <cell r="B270">
            <v>21298</v>
          </cell>
        </row>
        <row r="271">
          <cell r="A271" t="str">
            <v>4052175</v>
          </cell>
          <cell r="B271">
            <v>21299</v>
          </cell>
        </row>
        <row r="272">
          <cell r="A272" t="str">
            <v>1486278</v>
          </cell>
          <cell r="B272">
            <v>21300</v>
          </cell>
        </row>
        <row r="273">
          <cell r="A273" t="str">
            <v>1486281</v>
          </cell>
          <cell r="B273">
            <v>21301</v>
          </cell>
        </row>
        <row r="274">
          <cell r="A274" t="str">
            <v>1483096</v>
          </cell>
          <cell r="B274">
            <v>21302</v>
          </cell>
        </row>
        <row r="275">
          <cell r="A275" t="str">
            <v>1486293</v>
          </cell>
          <cell r="B275">
            <v>21303</v>
          </cell>
        </row>
        <row r="276">
          <cell r="A276" t="str">
            <v>1489168</v>
          </cell>
          <cell r="B276">
            <v>21304</v>
          </cell>
        </row>
        <row r="277">
          <cell r="A277" t="str">
            <v>18130</v>
          </cell>
          <cell r="B277">
            <v>21305</v>
          </cell>
        </row>
        <row r="278">
          <cell r="A278" t="str">
            <v>18131</v>
          </cell>
          <cell r="B278">
            <v>21306</v>
          </cell>
        </row>
        <row r="279">
          <cell r="A279" t="str">
            <v>2014000</v>
          </cell>
          <cell r="B279">
            <v>21307</v>
          </cell>
        </row>
        <row r="280">
          <cell r="A280" t="str">
            <v>2036020</v>
          </cell>
          <cell r="B280">
            <v>21308</v>
          </cell>
        </row>
        <row r="281">
          <cell r="A281" t="str">
            <v>1483098</v>
          </cell>
          <cell r="B281">
            <v>21309</v>
          </cell>
        </row>
        <row r="282">
          <cell r="A282" t="str">
            <v>1483099</v>
          </cell>
          <cell r="B282">
            <v>21310</v>
          </cell>
        </row>
        <row r="283">
          <cell r="A283" t="str">
            <v>1483102</v>
          </cell>
          <cell r="B283">
            <v>21311</v>
          </cell>
        </row>
        <row r="284">
          <cell r="A284" t="str">
            <v>1483110</v>
          </cell>
          <cell r="B284">
            <v>21312</v>
          </cell>
        </row>
        <row r="285">
          <cell r="A285" t="str">
            <v>1484142</v>
          </cell>
          <cell r="B285">
            <v>21313</v>
          </cell>
        </row>
        <row r="286">
          <cell r="A286" t="str">
            <v>1484169</v>
          </cell>
          <cell r="B286">
            <v>21314</v>
          </cell>
        </row>
        <row r="287">
          <cell r="A287" t="str">
            <v>03-5092</v>
          </cell>
          <cell r="B287">
            <v>21315</v>
          </cell>
        </row>
        <row r="288">
          <cell r="A288" t="str">
            <v>1135221</v>
          </cell>
          <cell r="B288">
            <v>21316</v>
          </cell>
        </row>
        <row r="289">
          <cell r="A289" t="str">
            <v>1385145</v>
          </cell>
          <cell r="B289">
            <v>21317</v>
          </cell>
        </row>
        <row r="290">
          <cell r="A290" t="str">
            <v>1276119</v>
          </cell>
          <cell r="B290">
            <v>21318</v>
          </cell>
        </row>
        <row r="291">
          <cell r="A291" t="str">
            <v>1485236</v>
          </cell>
          <cell r="B291">
            <v>21319</v>
          </cell>
        </row>
        <row r="292">
          <cell r="A292" t="str">
            <v>1482110</v>
          </cell>
          <cell r="B292">
            <v>21320</v>
          </cell>
        </row>
        <row r="293">
          <cell r="A293" t="str">
            <v>1386126</v>
          </cell>
          <cell r="B293">
            <v>21321</v>
          </cell>
        </row>
        <row r="294">
          <cell r="A294" t="str">
            <v>1385213</v>
          </cell>
          <cell r="B294">
            <v>21322</v>
          </cell>
        </row>
        <row r="295">
          <cell r="A295" t="str">
            <v>1485137</v>
          </cell>
          <cell r="B295">
            <v>21323</v>
          </cell>
        </row>
        <row r="296">
          <cell r="A296" t="str">
            <v>1056209</v>
          </cell>
          <cell r="B296">
            <v>21324</v>
          </cell>
        </row>
        <row r="297">
          <cell r="A297" t="str">
            <v>2385010</v>
          </cell>
          <cell r="B297">
            <v>21325</v>
          </cell>
        </row>
        <row r="298">
          <cell r="A298" t="str">
            <v>4052158</v>
          </cell>
          <cell r="B298">
            <v>21326</v>
          </cell>
        </row>
        <row r="299">
          <cell r="A299" t="str">
            <v>2486011</v>
          </cell>
          <cell r="B299">
            <v>21327</v>
          </cell>
        </row>
        <row r="300">
          <cell r="A300" t="str">
            <v>2483002</v>
          </cell>
          <cell r="B300">
            <v>21328</v>
          </cell>
        </row>
        <row r="301">
          <cell r="A301" t="str">
            <v>1135222</v>
          </cell>
          <cell r="B301">
            <v>21329</v>
          </cell>
        </row>
        <row r="302">
          <cell r="A302" t="str">
            <v>1055129</v>
          </cell>
          <cell r="B302">
            <v>21330</v>
          </cell>
        </row>
        <row r="303">
          <cell r="A303" t="str">
            <v>1056258</v>
          </cell>
          <cell r="B303">
            <v>21331</v>
          </cell>
        </row>
        <row r="304">
          <cell r="A304" t="str">
            <v>1486224</v>
          </cell>
          <cell r="B304">
            <v>21332</v>
          </cell>
        </row>
        <row r="305">
          <cell r="A305" t="str">
            <v>1385147</v>
          </cell>
          <cell r="B305">
            <v>21333</v>
          </cell>
        </row>
        <row r="306">
          <cell r="A306" t="str">
            <v>1386128</v>
          </cell>
          <cell r="B306">
            <v>21334</v>
          </cell>
        </row>
        <row r="307">
          <cell r="A307" t="str">
            <v>1483005</v>
          </cell>
          <cell r="B307">
            <v>21335</v>
          </cell>
        </row>
        <row r="308">
          <cell r="A308" t="str">
            <v>1276120</v>
          </cell>
          <cell r="B308">
            <v>21336</v>
          </cell>
        </row>
        <row r="309">
          <cell r="A309" t="str">
            <v>1485153</v>
          </cell>
          <cell r="B309">
            <v>21337</v>
          </cell>
        </row>
        <row r="310">
          <cell r="A310" t="str">
            <v>4052161</v>
          </cell>
          <cell r="B310">
            <v>21338</v>
          </cell>
        </row>
        <row r="311">
          <cell r="A311" t="str">
            <v>2486012</v>
          </cell>
          <cell r="B311">
            <v>21339</v>
          </cell>
        </row>
        <row r="312">
          <cell r="A312" t="str">
            <v>2385011</v>
          </cell>
          <cell r="B312">
            <v>21340</v>
          </cell>
        </row>
        <row r="313">
          <cell r="A313" t="str">
            <v>2483004</v>
          </cell>
          <cell r="B313">
            <v>21341</v>
          </cell>
        </row>
        <row r="314">
          <cell r="A314" t="str">
            <v>1055133</v>
          </cell>
          <cell r="B314">
            <v>21342</v>
          </cell>
        </row>
        <row r="315">
          <cell r="A315" t="str">
            <v>1056152</v>
          </cell>
          <cell r="B315">
            <v>21343</v>
          </cell>
        </row>
        <row r="316">
          <cell r="A316" t="str">
            <v>1385149</v>
          </cell>
          <cell r="B316">
            <v>21344</v>
          </cell>
        </row>
        <row r="317">
          <cell r="A317" t="str">
            <v>1386139</v>
          </cell>
          <cell r="B317">
            <v>21345</v>
          </cell>
        </row>
        <row r="318">
          <cell r="A318" t="str">
            <v>1483009</v>
          </cell>
          <cell r="B318">
            <v>21346</v>
          </cell>
        </row>
        <row r="319">
          <cell r="A319" t="str">
            <v>1485160</v>
          </cell>
          <cell r="B319">
            <v>21347</v>
          </cell>
        </row>
        <row r="320">
          <cell r="A320" t="str">
            <v>1276222</v>
          </cell>
          <cell r="B320">
            <v>21348</v>
          </cell>
        </row>
        <row r="321">
          <cell r="A321" t="str">
            <v>2486014</v>
          </cell>
          <cell r="B321">
            <v>21349</v>
          </cell>
        </row>
        <row r="322">
          <cell r="A322" t="str">
            <v>4052163</v>
          </cell>
          <cell r="B322">
            <v>21350</v>
          </cell>
        </row>
        <row r="323">
          <cell r="A323" t="str">
            <v>2385012</v>
          </cell>
          <cell r="B323">
            <v>21351</v>
          </cell>
        </row>
        <row r="324">
          <cell r="A324" t="str">
            <v>2484107</v>
          </cell>
          <cell r="B324">
            <v>21352</v>
          </cell>
        </row>
        <row r="325">
          <cell r="A325" t="str">
            <v>1055134</v>
          </cell>
          <cell r="B325">
            <v>21353</v>
          </cell>
        </row>
        <row r="326">
          <cell r="A326" t="str">
            <v>1386159</v>
          </cell>
          <cell r="B326">
            <v>21354</v>
          </cell>
        </row>
        <row r="327">
          <cell r="A327" t="str">
            <v>1485171</v>
          </cell>
          <cell r="B327">
            <v>21355</v>
          </cell>
        </row>
        <row r="328">
          <cell r="A328" t="str">
            <v>1385151</v>
          </cell>
          <cell r="B328">
            <v>21356</v>
          </cell>
        </row>
        <row r="329">
          <cell r="A329" t="str">
            <v>1483021</v>
          </cell>
          <cell r="B329">
            <v>21357</v>
          </cell>
        </row>
        <row r="330">
          <cell r="A330" t="str">
            <v>2486015</v>
          </cell>
          <cell r="B330">
            <v>21358</v>
          </cell>
        </row>
        <row r="331">
          <cell r="A331" t="str">
            <v>4052168</v>
          </cell>
          <cell r="B331">
            <v>21359</v>
          </cell>
        </row>
        <row r="332">
          <cell r="A332" t="str">
            <v>1276223</v>
          </cell>
          <cell r="B332">
            <v>21360</v>
          </cell>
        </row>
        <row r="333">
          <cell r="A333" t="str">
            <v>2385013</v>
          </cell>
          <cell r="B333">
            <v>21361</v>
          </cell>
        </row>
        <row r="334">
          <cell r="A334" t="str">
            <v>2484110</v>
          </cell>
          <cell r="B334">
            <v>21362</v>
          </cell>
        </row>
        <row r="335">
          <cell r="A335" t="str">
            <v>1055187</v>
          </cell>
          <cell r="B335">
            <v>21363</v>
          </cell>
        </row>
        <row r="336">
          <cell r="A336" t="str">
            <v>1486225</v>
          </cell>
          <cell r="B336">
            <v>21364</v>
          </cell>
        </row>
        <row r="337">
          <cell r="A337" t="str">
            <v>1485179</v>
          </cell>
          <cell r="B337">
            <v>21365</v>
          </cell>
        </row>
        <row r="338">
          <cell r="A338" t="str">
            <v>1386161</v>
          </cell>
          <cell r="B338">
            <v>21366</v>
          </cell>
        </row>
        <row r="339">
          <cell r="A339" t="str">
            <v>1385154</v>
          </cell>
          <cell r="B339">
            <v>21367</v>
          </cell>
        </row>
        <row r="340">
          <cell r="A340" t="str">
            <v>1483024</v>
          </cell>
          <cell r="B340">
            <v>21368</v>
          </cell>
        </row>
        <row r="341">
          <cell r="A341" t="str">
            <v>2486018</v>
          </cell>
          <cell r="B341">
            <v>21369</v>
          </cell>
        </row>
        <row r="342">
          <cell r="A342" t="str">
            <v>1056259</v>
          </cell>
          <cell r="B342">
            <v>21370</v>
          </cell>
        </row>
        <row r="343">
          <cell r="A343" t="str">
            <v>2385014</v>
          </cell>
          <cell r="B343">
            <v>21371</v>
          </cell>
        </row>
        <row r="344">
          <cell r="A344" t="str">
            <v>2484112</v>
          </cell>
          <cell r="B344">
            <v>21372</v>
          </cell>
        </row>
        <row r="345">
          <cell r="A345" t="str">
            <v>4052171</v>
          </cell>
          <cell r="B345">
            <v>21373</v>
          </cell>
        </row>
        <row r="346">
          <cell r="A346" t="str">
            <v>1055196</v>
          </cell>
          <cell r="B346">
            <v>21374</v>
          </cell>
        </row>
        <row r="347">
          <cell r="A347" t="str">
            <v>1384161</v>
          </cell>
          <cell r="B347">
            <v>21375</v>
          </cell>
        </row>
        <row r="348">
          <cell r="A348" t="str">
            <v>1485182</v>
          </cell>
          <cell r="B348">
            <v>21376</v>
          </cell>
        </row>
        <row r="349">
          <cell r="A349" t="str">
            <v>1385155</v>
          </cell>
          <cell r="B349">
            <v>21377</v>
          </cell>
        </row>
        <row r="350">
          <cell r="A350" t="str">
            <v>1483040</v>
          </cell>
          <cell r="B350">
            <v>21378</v>
          </cell>
        </row>
        <row r="351">
          <cell r="A351" t="str">
            <v>2486019</v>
          </cell>
          <cell r="B351">
            <v>21379</v>
          </cell>
        </row>
        <row r="352">
          <cell r="A352" t="str">
            <v>2484113</v>
          </cell>
          <cell r="B352">
            <v>21380</v>
          </cell>
        </row>
        <row r="353">
          <cell r="A353" t="str">
            <v>2445007</v>
          </cell>
          <cell r="B353">
            <v>21381</v>
          </cell>
        </row>
        <row r="354">
          <cell r="A354" t="str">
            <v>1485190</v>
          </cell>
          <cell r="B354">
            <v>21382</v>
          </cell>
        </row>
        <row r="355">
          <cell r="A355" t="str">
            <v>1056154</v>
          </cell>
          <cell r="B355">
            <v>21383</v>
          </cell>
        </row>
        <row r="356">
          <cell r="A356" t="str">
            <v>1385156</v>
          </cell>
          <cell r="B356">
            <v>21384</v>
          </cell>
        </row>
        <row r="357">
          <cell r="A357" t="str">
            <v>1483072</v>
          </cell>
          <cell r="B357">
            <v>21385</v>
          </cell>
        </row>
        <row r="358">
          <cell r="A358" t="str">
            <v>4052172</v>
          </cell>
          <cell r="B358">
            <v>21386</v>
          </cell>
        </row>
        <row r="359">
          <cell r="A359" t="str">
            <v>2486021</v>
          </cell>
          <cell r="B359">
            <v>21387</v>
          </cell>
        </row>
        <row r="360">
          <cell r="A360" t="str">
            <v>1485239</v>
          </cell>
          <cell r="B360">
            <v>21388</v>
          </cell>
        </row>
        <row r="361">
          <cell r="A361" t="str">
            <v>2484114</v>
          </cell>
          <cell r="B361">
            <v>21389</v>
          </cell>
        </row>
        <row r="362">
          <cell r="A362" t="str">
            <v>1485191</v>
          </cell>
          <cell r="B362">
            <v>21390</v>
          </cell>
        </row>
        <row r="363">
          <cell r="A363" t="str">
            <v>1486246</v>
          </cell>
          <cell r="B363">
            <v>21391</v>
          </cell>
        </row>
        <row r="364">
          <cell r="A364" t="str">
            <v>1385157</v>
          </cell>
          <cell r="B364">
            <v>21392</v>
          </cell>
        </row>
        <row r="365">
          <cell r="A365" t="str">
            <v>4052173</v>
          </cell>
          <cell r="B365">
            <v>21393</v>
          </cell>
        </row>
        <row r="366">
          <cell r="A366" t="str">
            <v>1056214</v>
          </cell>
          <cell r="B366">
            <v>21394</v>
          </cell>
        </row>
        <row r="367">
          <cell r="A367" t="str">
            <v>2486022</v>
          </cell>
          <cell r="B367">
            <v>21395</v>
          </cell>
        </row>
        <row r="368">
          <cell r="A368" t="str">
            <v>1385164</v>
          </cell>
          <cell r="B368">
            <v>21396</v>
          </cell>
        </row>
        <row r="369">
          <cell r="A369" t="str">
            <v>4052174</v>
          </cell>
          <cell r="B369">
            <v>21397</v>
          </cell>
        </row>
        <row r="370">
          <cell r="A370" t="str">
            <v>2484117</v>
          </cell>
          <cell r="B370">
            <v>21398</v>
          </cell>
        </row>
        <row r="371">
          <cell r="A371" t="str">
            <v>1056260</v>
          </cell>
          <cell r="B371">
            <v>21399</v>
          </cell>
        </row>
        <row r="372">
          <cell r="A372" t="str">
            <v>1385168</v>
          </cell>
          <cell r="B372">
            <v>21400</v>
          </cell>
        </row>
        <row r="373">
          <cell r="A373" t="str">
            <v>4052176</v>
          </cell>
          <cell r="B373">
            <v>21401</v>
          </cell>
        </row>
        <row r="374">
          <cell r="A374" t="str">
            <v>1486266</v>
          </cell>
          <cell r="B374">
            <v>21402</v>
          </cell>
        </row>
        <row r="375">
          <cell r="A375" t="str">
            <v>2484118</v>
          </cell>
          <cell r="B375">
            <v>21403</v>
          </cell>
        </row>
        <row r="376">
          <cell r="A376" t="str">
            <v>4052179</v>
          </cell>
          <cell r="B376">
            <v>21404</v>
          </cell>
        </row>
        <row r="377">
          <cell r="A377" t="str">
            <v>1385169</v>
          </cell>
          <cell r="B377">
            <v>21405</v>
          </cell>
        </row>
        <row r="378">
          <cell r="A378" t="str">
            <v>2386011</v>
          </cell>
          <cell r="B378">
            <v>21406</v>
          </cell>
        </row>
        <row r="379">
          <cell r="A379" t="str">
            <v>2486025</v>
          </cell>
          <cell r="B379">
            <v>21407</v>
          </cell>
        </row>
        <row r="380">
          <cell r="A380" t="str">
            <v>2445010</v>
          </cell>
          <cell r="B380">
            <v>21408</v>
          </cell>
        </row>
        <row r="381">
          <cell r="A381" t="str">
            <v>1384182</v>
          </cell>
          <cell r="B381">
            <v>21409</v>
          </cell>
        </row>
        <row r="382">
          <cell r="A382" t="str">
            <v>5052057</v>
          </cell>
          <cell r="B382">
            <v>21410</v>
          </cell>
        </row>
        <row r="383">
          <cell r="A383" t="str">
            <v>2445013</v>
          </cell>
          <cell r="B383">
            <v>21411</v>
          </cell>
        </row>
        <row r="384">
          <cell r="A384" t="str">
            <v>2484120</v>
          </cell>
          <cell r="B384">
            <v>21412</v>
          </cell>
        </row>
        <row r="385">
          <cell r="A385" t="str">
            <v>1384192</v>
          </cell>
          <cell r="B385">
            <v>21413</v>
          </cell>
        </row>
        <row r="386">
          <cell r="A386" t="str">
            <v>COMNAOR008</v>
          </cell>
          <cell r="B386">
            <v>21414</v>
          </cell>
        </row>
        <row r="387">
          <cell r="A387" t="str">
            <v>2486026</v>
          </cell>
          <cell r="B387">
            <v>21415</v>
          </cell>
        </row>
        <row r="388">
          <cell r="A388" t="str">
            <v>2445014</v>
          </cell>
          <cell r="B388">
            <v>21416</v>
          </cell>
        </row>
        <row r="389">
          <cell r="A389" t="str">
            <v>1384198</v>
          </cell>
          <cell r="B389">
            <v>21417</v>
          </cell>
        </row>
        <row r="390">
          <cell r="A390" t="str">
            <v>2485002</v>
          </cell>
          <cell r="B390">
            <v>21418</v>
          </cell>
        </row>
        <row r="391">
          <cell r="A391" t="str">
            <v>CONVERSION</v>
          </cell>
          <cell r="B391">
            <v>21419</v>
          </cell>
        </row>
        <row r="392">
          <cell r="A392" t="str">
            <v>2445015</v>
          </cell>
          <cell r="B392">
            <v>21420</v>
          </cell>
        </row>
        <row r="393">
          <cell r="A393" t="str">
            <v>1055210</v>
          </cell>
          <cell r="B393">
            <v>21421</v>
          </cell>
        </row>
        <row r="394">
          <cell r="A394" t="str">
            <v>1056261</v>
          </cell>
          <cell r="B394">
            <v>21422</v>
          </cell>
        </row>
        <row r="395">
          <cell r="A395" t="str">
            <v>1384200</v>
          </cell>
          <cell r="B395">
            <v>21423</v>
          </cell>
        </row>
        <row r="396">
          <cell r="A396" t="str">
            <v>2486050</v>
          </cell>
          <cell r="B396">
            <v>21424</v>
          </cell>
        </row>
        <row r="397">
          <cell r="A397" t="str">
            <v>2485003</v>
          </cell>
          <cell r="B397">
            <v>21425</v>
          </cell>
        </row>
        <row r="398">
          <cell r="A398" t="str">
            <v>2445016</v>
          </cell>
          <cell r="B398">
            <v>21426</v>
          </cell>
        </row>
        <row r="399">
          <cell r="A399" t="str">
            <v>1384201</v>
          </cell>
          <cell r="B399">
            <v>21427</v>
          </cell>
        </row>
        <row r="400">
          <cell r="A400" t="str">
            <v>2485004</v>
          </cell>
          <cell r="B400">
            <v>21428</v>
          </cell>
        </row>
        <row r="401">
          <cell r="A401" t="str">
            <v>2386023</v>
          </cell>
          <cell r="B401">
            <v>21429</v>
          </cell>
        </row>
        <row r="402">
          <cell r="A402" t="str">
            <v>2445017</v>
          </cell>
          <cell r="B402">
            <v>21430</v>
          </cell>
        </row>
        <row r="403">
          <cell r="A403" t="str">
            <v>1485247</v>
          </cell>
          <cell r="B403">
            <v>21431</v>
          </cell>
        </row>
        <row r="404">
          <cell r="A404" t="str">
            <v>1056215</v>
          </cell>
          <cell r="B404">
            <v>21432</v>
          </cell>
        </row>
        <row r="405">
          <cell r="A405" t="str">
            <v>1056155</v>
          </cell>
          <cell r="B405">
            <v>21433</v>
          </cell>
        </row>
        <row r="406">
          <cell r="A406" t="str">
            <v>1384202</v>
          </cell>
          <cell r="B406">
            <v>21434</v>
          </cell>
        </row>
        <row r="407">
          <cell r="A407" t="str">
            <v>2485006</v>
          </cell>
          <cell r="B407">
            <v>21435</v>
          </cell>
        </row>
        <row r="408">
          <cell r="A408" t="str">
            <v>2445018</v>
          </cell>
          <cell r="B408">
            <v>21436</v>
          </cell>
        </row>
        <row r="409">
          <cell r="A409" t="str">
            <v>1384209</v>
          </cell>
          <cell r="B409">
            <v>21437</v>
          </cell>
        </row>
        <row r="410">
          <cell r="A410" t="str">
            <v>2485008</v>
          </cell>
          <cell r="B410">
            <v>21438</v>
          </cell>
        </row>
        <row r="411">
          <cell r="A411" t="str">
            <v>2445019</v>
          </cell>
          <cell r="B411">
            <v>21439</v>
          </cell>
        </row>
        <row r="412">
          <cell r="A412" t="str">
            <v>1056268</v>
          </cell>
          <cell r="B412">
            <v>21440</v>
          </cell>
        </row>
        <row r="413">
          <cell r="A413" t="str">
            <v>1384212</v>
          </cell>
          <cell r="B413">
            <v>21441</v>
          </cell>
        </row>
        <row r="414">
          <cell r="A414" t="str">
            <v>2485010</v>
          </cell>
          <cell r="B414">
            <v>21442</v>
          </cell>
        </row>
        <row r="415">
          <cell r="A415" t="str">
            <v>2445020</v>
          </cell>
          <cell r="B415">
            <v>21443</v>
          </cell>
        </row>
        <row r="416">
          <cell r="A416" t="str">
            <v>1056217</v>
          </cell>
          <cell r="B416">
            <v>21444</v>
          </cell>
        </row>
        <row r="417">
          <cell r="A417" t="str">
            <v>1385120</v>
          </cell>
          <cell r="B417">
            <v>21445</v>
          </cell>
        </row>
        <row r="418">
          <cell r="A418" t="str">
            <v>2446100</v>
          </cell>
          <cell r="B418">
            <v>21446</v>
          </cell>
        </row>
        <row r="419">
          <cell r="A419" t="str">
            <v>2485014</v>
          </cell>
          <cell r="B419">
            <v>21447</v>
          </cell>
        </row>
        <row r="420">
          <cell r="A420" t="str">
            <v>1385122</v>
          </cell>
          <cell r="B420">
            <v>21448</v>
          </cell>
        </row>
        <row r="421">
          <cell r="A421" t="str">
            <v>1385123</v>
          </cell>
          <cell r="B421">
            <v>21449</v>
          </cell>
        </row>
        <row r="422">
          <cell r="A422" t="str">
            <v>1056269</v>
          </cell>
          <cell r="B422">
            <v>21450</v>
          </cell>
        </row>
        <row r="423">
          <cell r="A423" t="str">
            <v>2486010</v>
          </cell>
          <cell r="B423">
            <v>21451</v>
          </cell>
        </row>
        <row r="424">
          <cell r="A424" t="str">
            <v>1385125</v>
          </cell>
          <cell r="B424">
            <v>21452</v>
          </cell>
        </row>
        <row r="425">
          <cell r="A425" t="str">
            <v>1486271</v>
          </cell>
          <cell r="B425">
            <v>21453</v>
          </cell>
        </row>
        <row r="426">
          <cell r="A426" t="str">
            <v>1056219</v>
          </cell>
          <cell r="B426">
            <v>21454</v>
          </cell>
        </row>
        <row r="427">
          <cell r="A427" t="str">
            <v>1056156</v>
          </cell>
          <cell r="B427">
            <v>21455</v>
          </cell>
        </row>
        <row r="428">
          <cell r="A428" t="str">
            <v>2446101</v>
          </cell>
          <cell r="B428">
            <v>21456</v>
          </cell>
        </row>
        <row r="429">
          <cell r="A429" t="str">
            <v>1385128</v>
          </cell>
          <cell r="B429">
            <v>21457</v>
          </cell>
        </row>
        <row r="430">
          <cell r="A430" t="str">
            <v>1385220</v>
          </cell>
          <cell r="B430">
            <v>21458</v>
          </cell>
        </row>
        <row r="431">
          <cell r="A431" t="str">
            <v>1056157</v>
          </cell>
          <cell r="B431">
            <v>21459</v>
          </cell>
        </row>
        <row r="432">
          <cell r="A432" t="str">
            <v>1056220</v>
          </cell>
          <cell r="B432">
            <v>21460</v>
          </cell>
        </row>
        <row r="433">
          <cell r="A433" t="str">
            <v>2446102</v>
          </cell>
          <cell r="B433">
            <v>21461</v>
          </cell>
        </row>
        <row r="434">
          <cell r="A434" t="str">
            <v>1056162</v>
          </cell>
          <cell r="B434">
            <v>21462</v>
          </cell>
        </row>
        <row r="435">
          <cell r="A435" t="str">
            <v>1385130</v>
          </cell>
          <cell r="B435">
            <v>21463</v>
          </cell>
        </row>
        <row r="436">
          <cell r="A436" t="str">
            <v>1056164</v>
          </cell>
          <cell r="B436">
            <v>21464</v>
          </cell>
        </row>
        <row r="437">
          <cell r="A437" t="str">
            <v>1056119</v>
          </cell>
          <cell r="B437">
            <v>21465</v>
          </cell>
        </row>
        <row r="438">
          <cell r="A438" t="str">
            <v>1056166</v>
          </cell>
          <cell r="B438">
            <v>21466</v>
          </cell>
        </row>
        <row r="439">
          <cell r="A439" t="str">
            <v>2446103</v>
          </cell>
          <cell r="B439">
            <v>21467</v>
          </cell>
        </row>
        <row r="440">
          <cell r="A440" t="str">
            <v>1056167</v>
          </cell>
          <cell r="B440">
            <v>21468</v>
          </cell>
        </row>
        <row r="441">
          <cell r="A441" t="str">
            <v>1386193</v>
          </cell>
          <cell r="B441">
            <v>21469</v>
          </cell>
        </row>
        <row r="442">
          <cell r="A442" t="str">
            <v>1056171</v>
          </cell>
          <cell r="B442">
            <v>21470</v>
          </cell>
        </row>
        <row r="443">
          <cell r="A443" t="str">
            <v>1485205</v>
          </cell>
          <cell r="B443">
            <v>21471</v>
          </cell>
        </row>
        <row r="444">
          <cell r="A444" t="str">
            <v>1385135</v>
          </cell>
          <cell r="B444">
            <v>21472</v>
          </cell>
        </row>
        <row r="445">
          <cell r="A445" t="str">
            <v>1056271</v>
          </cell>
          <cell r="B445">
            <v>21473</v>
          </cell>
        </row>
        <row r="446">
          <cell r="A446" t="str">
            <v>1056172</v>
          </cell>
          <cell r="B446">
            <v>21474</v>
          </cell>
        </row>
        <row r="447">
          <cell r="A447" t="str">
            <v>1385140</v>
          </cell>
          <cell r="B447">
            <v>21475</v>
          </cell>
        </row>
        <row r="448">
          <cell r="A448" t="str">
            <v>1056131</v>
          </cell>
          <cell r="B448">
            <v>21476</v>
          </cell>
        </row>
        <row r="449">
          <cell r="A449" t="str">
            <v>2446104</v>
          </cell>
          <cell r="B449">
            <v>21477</v>
          </cell>
        </row>
        <row r="450">
          <cell r="A450" t="str">
            <v>1136151</v>
          </cell>
          <cell r="B450">
            <v>21478</v>
          </cell>
        </row>
        <row r="451">
          <cell r="A451" t="str">
            <v>1056132</v>
          </cell>
          <cell r="B451">
            <v>21479</v>
          </cell>
        </row>
        <row r="452">
          <cell r="A452" t="str">
            <v>1056188</v>
          </cell>
          <cell r="B452">
            <v>21480</v>
          </cell>
        </row>
        <row r="453">
          <cell r="A453" t="str">
            <v>2481003</v>
          </cell>
          <cell r="B453">
            <v>21481</v>
          </cell>
        </row>
        <row r="454">
          <cell r="A454" t="str">
            <v>2481005</v>
          </cell>
          <cell r="B454">
            <v>21482</v>
          </cell>
        </row>
        <row r="455">
          <cell r="A455" t="str">
            <v>1056190</v>
          </cell>
          <cell r="B455">
            <v>21483</v>
          </cell>
        </row>
        <row r="456">
          <cell r="A456" t="str">
            <v>1056135</v>
          </cell>
          <cell r="B456">
            <v>21484</v>
          </cell>
        </row>
        <row r="457">
          <cell r="A457" t="str">
            <v>2482133</v>
          </cell>
          <cell r="B457">
            <v>21485</v>
          </cell>
        </row>
        <row r="458">
          <cell r="A458" t="str">
            <v>1056227</v>
          </cell>
          <cell r="B458">
            <v>21486</v>
          </cell>
        </row>
        <row r="459">
          <cell r="A459" t="str">
            <v>1385244</v>
          </cell>
          <cell r="B459">
            <v>21487</v>
          </cell>
        </row>
        <row r="460">
          <cell r="A460" t="str">
            <v>1385143</v>
          </cell>
          <cell r="B460">
            <v>21488</v>
          </cell>
        </row>
        <row r="461">
          <cell r="A461" t="str">
            <v>1385255</v>
          </cell>
          <cell r="B461">
            <v>21489</v>
          </cell>
        </row>
        <row r="462">
          <cell r="A462" t="str">
            <v>1056195</v>
          </cell>
          <cell r="B462">
            <v>21490</v>
          </cell>
        </row>
        <row r="463">
          <cell r="A463" t="str">
            <v>1485250</v>
          </cell>
          <cell r="B463">
            <v>21491</v>
          </cell>
        </row>
        <row r="464">
          <cell r="A464" t="str">
            <v>1056202</v>
          </cell>
          <cell r="B464">
            <v>21492</v>
          </cell>
        </row>
        <row r="465">
          <cell r="A465" t="str">
            <v>1056272</v>
          </cell>
          <cell r="B465">
            <v>21493</v>
          </cell>
        </row>
        <row r="466">
          <cell r="A466" t="str">
            <v>1385256</v>
          </cell>
          <cell r="B466">
            <v>21494</v>
          </cell>
        </row>
        <row r="467">
          <cell r="A467" t="str">
            <v>1386210</v>
          </cell>
          <cell r="B467">
            <v>21495</v>
          </cell>
        </row>
        <row r="468">
          <cell r="A468" t="str">
            <v>1056203</v>
          </cell>
          <cell r="B468">
            <v>21496</v>
          </cell>
        </row>
        <row r="469">
          <cell r="A469" t="str">
            <v>1056142</v>
          </cell>
          <cell r="B469">
            <v>21497</v>
          </cell>
        </row>
        <row r="470">
          <cell r="A470" t="str">
            <v>1385172</v>
          </cell>
          <cell r="B470">
            <v>21498</v>
          </cell>
        </row>
        <row r="471">
          <cell r="A471" t="str">
            <v>1386234</v>
          </cell>
          <cell r="B471">
            <v>21499</v>
          </cell>
        </row>
        <row r="472">
          <cell r="A472" t="str">
            <v>1056282</v>
          </cell>
          <cell r="B472">
            <v>21500</v>
          </cell>
        </row>
        <row r="473">
          <cell r="A473" t="str">
            <v>1386253</v>
          </cell>
          <cell r="B473">
            <v>21501</v>
          </cell>
        </row>
        <row r="474">
          <cell r="A474" t="str">
            <v>1056283</v>
          </cell>
          <cell r="B474">
            <v>21502</v>
          </cell>
        </row>
        <row r="475">
          <cell r="A475" t="str">
            <v>1056204</v>
          </cell>
          <cell r="B475">
            <v>21503</v>
          </cell>
        </row>
        <row r="476">
          <cell r="A476" t="str">
            <v>1386254</v>
          </cell>
          <cell r="B476">
            <v>21504</v>
          </cell>
        </row>
        <row r="477">
          <cell r="A477" t="str">
            <v>1386273</v>
          </cell>
          <cell r="B477">
            <v>21505</v>
          </cell>
        </row>
        <row r="478">
          <cell r="A478" t="str">
            <v>1056284</v>
          </cell>
          <cell r="B478">
            <v>21506</v>
          </cell>
        </row>
        <row r="479">
          <cell r="A479" t="str">
            <v>1056205</v>
          </cell>
          <cell r="B479">
            <v>21507</v>
          </cell>
        </row>
        <row r="480">
          <cell r="A480" t="str">
            <v>1386288</v>
          </cell>
          <cell r="B480">
            <v>21508</v>
          </cell>
        </row>
        <row r="481">
          <cell r="A481" t="str">
            <v>1056294</v>
          </cell>
          <cell r="B481">
            <v>21509</v>
          </cell>
        </row>
        <row r="482">
          <cell r="A482" t="str">
            <v>1296172</v>
          </cell>
          <cell r="B482">
            <v>21510</v>
          </cell>
        </row>
        <row r="483">
          <cell r="A483" t="str">
            <v>1386290</v>
          </cell>
          <cell r="B483">
            <v>21511</v>
          </cell>
        </row>
        <row r="484">
          <cell r="A484" t="str">
            <v>1134140</v>
          </cell>
          <cell r="B484">
            <v>21512</v>
          </cell>
        </row>
        <row r="485">
          <cell r="A485" t="str">
            <v>2136050</v>
          </cell>
          <cell r="B485">
            <v>21513</v>
          </cell>
        </row>
        <row r="486">
          <cell r="A486" t="str">
            <v>1385258</v>
          </cell>
          <cell r="B486">
            <v>21514</v>
          </cell>
        </row>
        <row r="487">
          <cell r="A487" t="str">
            <v>1135138</v>
          </cell>
          <cell r="B487">
            <v>21515</v>
          </cell>
        </row>
        <row r="488">
          <cell r="A488" t="str">
            <v>1135139</v>
          </cell>
          <cell r="B488">
            <v>21516</v>
          </cell>
        </row>
        <row r="489">
          <cell r="A489" t="str">
            <v>1387009</v>
          </cell>
          <cell r="B489">
            <v>21517</v>
          </cell>
        </row>
        <row r="490">
          <cell r="A490" t="str">
            <v>1056228</v>
          </cell>
          <cell r="B490">
            <v>21518</v>
          </cell>
        </row>
        <row r="491">
          <cell r="A491" t="str">
            <v>1385260</v>
          </cell>
          <cell r="B491">
            <v>21519</v>
          </cell>
        </row>
        <row r="492">
          <cell r="A492" t="str">
            <v>1385261</v>
          </cell>
          <cell r="B492">
            <v>21520</v>
          </cell>
        </row>
        <row r="493">
          <cell r="A493" t="str">
            <v>1485253</v>
          </cell>
          <cell r="B493">
            <v>21521</v>
          </cell>
        </row>
        <row r="494">
          <cell r="A494" t="str">
            <v>1455142</v>
          </cell>
          <cell r="B494">
            <v>21522</v>
          </cell>
        </row>
        <row r="495">
          <cell r="A495" t="str">
            <v>1480162</v>
          </cell>
          <cell r="B495">
            <v>21523</v>
          </cell>
        </row>
        <row r="496">
          <cell r="A496" t="str">
            <v>1480164</v>
          </cell>
          <cell r="B496">
            <v>21524</v>
          </cell>
        </row>
        <row r="497">
          <cell r="A497" t="str">
            <v>1481057</v>
          </cell>
          <cell r="B497">
            <v>21525</v>
          </cell>
        </row>
        <row r="498">
          <cell r="A498" t="str">
            <v>1386100</v>
          </cell>
          <cell r="B498">
            <v>21526</v>
          </cell>
        </row>
        <row r="499">
          <cell r="A499" t="str">
            <v>1056230</v>
          </cell>
          <cell r="B499">
            <v>21527</v>
          </cell>
        </row>
        <row r="500">
          <cell r="A500" t="str">
            <v>1385181</v>
          </cell>
          <cell r="B500">
            <v>21528</v>
          </cell>
        </row>
        <row r="501">
          <cell r="A501" t="str">
            <v>2486061</v>
          </cell>
          <cell r="B501">
            <v>21529</v>
          </cell>
        </row>
        <row r="502">
          <cell r="A502" t="str">
            <v>1385183</v>
          </cell>
          <cell r="B502">
            <v>21530</v>
          </cell>
        </row>
        <row r="503">
          <cell r="A503" t="str">
            <v>2386060</v>
          </cell>
          <cell r="B503">
            <v>21531</v>
          </cell>
        </row>
        <row r="504">
          <cell r="A504" t="str">
            <v>1386102</v>
          </cell>
          <cell r="B504">
            <v>21532</v>
          </cell>
        </row>
        <row r="505">
          <cell r="A505" t="str">
            <v>1056236</v>
          </cell>
          <cell r="B505">
            <v>21533</v>
          </cell>
        </row>
        <row r="506">
          <cell r="A506" t="str">
            <v>1386103</v>
          </cell>
          <cell r="B506">
            <v>21534</v>
          </cell>
        </row>
        <row r="507">
          <cell r="A507" t="str">
            <v>1386104</v>
          </cell>
          <cell r="B507">
            <v>21535</v>
          </cell>
        </row>
        <row r="508">
          <cell r="A508" t="str">
            <v>1136194</v>
          </cell>
          <cell r="B508">
            <v>21536</v>
          </cell>
        </row>
        <row r="509">
          <cell r="A509" t="str">
            <v>1056240</v>
          </cell>
          <cell r="B509">
            <v>21537</v>
          </cell>
        </row>
        <row r="510">
          <cell r="A510" t="str">
            <v>1386109</v>
          </cell>
          <cell r="B510">
            <v>21538</v>
          </cell>
        </row>
        <row r="511">
          <cell r="A511" t="str">
            <v>1386110</v>
          </cell>
          <cell r="B511">
            <v>21539</v>
          </cell>
        </row>
        <row r="512">
          <cell r="A512" t="str">
            <v>1386112</v>
          </cell>
          <cell r="B512">
            <v>21540</v>
          </cell>
        </row>
        <row r="513">
          <cell r="A513" t="str">
            <v>1056143</v>
          </cell>
          <cell r="B513">
            <v>21541</v>
          </cell>
        </row>
        <row r="514">
          <cell r="A514" t="str">
            <v>1386115</v>
          </cell>
          <cell r="B514">
            <v>21542</v>
          </cell>
        </row>
        <row r="515">
          <cell r="A515" t="str">
            <v>1056241</v>
          </cell>
          <cell r="B515">
            <v>21543</v>
          </cell>
        </row>
        <row r="516">
          <cell r="A516" t="str">
            <v>1485212</v>
          </cell>
          <cell r="B516">
            <v>21544</v>
          </cell>
        </row>
        <row r="517">
          <cell r="A517" t="str">
            <v>1386118</v>
          </cell>
          <cell r="B517">
            <v>21545</v>
          </cell>
        </row>
        <row r="518">
          <cell r="A518" t="str">
            <v>1056244</v>
          </cell>
          <cell r="B518">
            <v>21546</v>
          </cell>
        </row>
        <row r="519">
          <cell r="A519" t="str">
            <v>1386122</v>
          </cell>
          <cell r="B519">
            <v>21547</v>
          </cell>
        </row>
        <row r="520">
          <cell r="A520" t="str">
            <v>1056245</v>
          </cell>
          <cell r="B520">
            <v>21548</v>
          </cell>
        </row>
        <row r="521">
          <cell r="A521" t="str">
            <v>1296243</v>
          </cell>
          <cell r="B521">
            <v>21549</v>
          </cell>
        </row>
        <row r="522">
          <cell r="A522" t="str">
            <v>1056250</v>
          </cell>
          <cell r="B522">
            <v>21550</v>
          </cell>
        </row>
        <row r="523">
          <cell r="A523" t="str">
            <v>2144001</v>
          </cell>
          <cell r="B523">
            <v>21551</v>
          </cell>
        </row>
        <row r="524">
          <cell r="A524" t="str">
            <v>1296249</v>
          </cell>
          <cell r="B524">
            <v>21552</v>
          </cell>
        </row>
        <row r="525">
          <cell r="A525" t="str">
            <v>1056252</v>
          </cell>
          <cell r="B525">
            <v>21553</v>
          </cell>
        </row>
        <row r="526">
          <cell r="A526" t="str">
            <v>2156000</v>
          </cell>
          <cell r="B526">
            <v>21554</v>
          </cell>
        </row>
        <row r="527">
          <cell r="A527" t="str">
            <v>1385189</v>
          </cell>
          <cell r="B527">
            <v>21555</v>
          </cell>
        </row>
        <row r="528">
          <cell r="A528" t="str">
            <v>1056255</v>
          </cell>
          <cell r="B528">
            <v>21556</v>
          </cell>
        </row>
        <row r="529">
          <cell r="A529" t="str">
            <v>2180000</v>
          </cell>
          <cell r="B529">
            <v>21557</v>
          </cell>
        </row>
        <row r="530">
          <cell r="A530" t="str">
            <v>1136235</v>
          </cell>
          <cell r="B530">
            <v>21558</v>
          </cell>
        </row>
        <row r="531">
          <cell r="A531" t="str">
            <v>1056256</v>
          </cell>
          <cell r="B531">
            <v>21559</v>
          </cell>
        </row>
        <row r="532">
          <cell r="A532" t="str">
            <v>2275000</v>
          </cell>
          <cell r="B532">
            <v>21560</v>
          </cell>
        </row>
        <row r="533">
          <cell r="A533" t="str">
            <v>2344000</v>
          </cell>
          <cell r="B533">
            <v>21561</v>
          </cell>
        </row>
        <row r="534">
          <cell r="A534" t="str">
            <v>2381004</v>
          </cell>
          <cell r="B534">
            <v>21562</v>
          </cell>
        </row>
        <row r="535">
          <cell r="A535" t="str">
            <v>2382131</v>
          </cell>
          <cell r="B535">
            <v>21563</v>
          </cell>
        </row>
        <row r="536">
          <cell r="A536" t="str">
            <v>2382141</v>
          </cell>
          <cell r="B536">
            <v>21564</v>
          </cell>
        </row>
        <row r="537">
          <cell r="A537" t="str">
            <v>1136264</v>
          </cell>
          <cell r="B537">
            <v>21565</v>
          </cell>
        </row>
        <row r="538">
          <cell r="A538" t="str">
            <v>2382142</v>
          </cell>
          <cell r="B538">
            <v>21566</v>
          </cell>
        </row>
        <row r="539">
          <cell r="A539" t="str">
            <v>2383005</v>
          </cell>
          <cell r="B539">
            <v>21567</v>
          </cell>
        </row>
        <row r="540">
          <cell r="A540" t="str">
            <v>1385192</v>
          </cell>
          <cell r="B540">
            <v>21568</v>
          </cell>
        </row>
        <row r="541">
          <cell r="A541" t="str">
            <v>1056144</v>
          </cell>
          <cell r="B541">
            <v>21569</v>
          </cell>
        </row>
        <row r="542">
          <cell r="A542" t="str">
            <v>1385202</v>
          </cell>
          <cell r="B542">
            <v>21570</v>
          </cell>
        </row>
        <row r="543">
          <cell r="A543" t="str">
            <v>35005</v>
          </cell>
          <cell r="B543">
            <v>21571</v>
          </cell>
        </row>
        <row r="544">
          <cell r="A544" t="str">
            <v>2383011</v>
          </cell>
          <cell r="B544">
            <v>21572</v>
          </cell>
        </row>
        <row r="545">
          <cell r="A545" t="str">
            <v>1385207</v>
          </cell>
          <cell r="B545">
            <v>21573</v>
          </cell>
        </row>
        <row r="546">
          <cell r="A546" t="str">
            <v>2386090</v>
          </cell>
          <cell r="B546">
            <v>21574</v>
          </cell>
        </row>
        <row r="547">
          <cell r="A547" t="str">
            <v>1380049</v>
          </cell>
          <cell r="B547">
            <v>21575</v>
          </cell>
        </row>
        <row r="548">
          <cell r="A548" t="str">
            <v>4052136</v>
          </cell>
          <cell r="B548">
            <v>21576</v>
          </cell>
        </row>
        <row r="549">
          <cell r="A549" t="str">
            <v>1056145</v>
          </cell>
          <cell r="B549">
            <v>21577</v>
          </cell>
        </row>
        <row r="550">
          <cell r="A550" t="str">
            <v>1056147</v>
          </cell>
          <cell r="B550">
            <v>21578</v>
          </cell>
        </row>
        <row r="551">
          <cell r="A551" t="str">
            <v>2384101</v>
          </cell>
          <cell r="B551">
            <v>21579</v>
          </cell>
        </row>
        <row r="552">
          <cell r="A552" t="str">
            <v>2384107</v>
          </cell>
          <cell r="B552">
            <v>21580</v>
          </cell>
        </row>
        <row r="553">
          <cell r="A553" t="str">
            <v>1056150</v>
          </cell>
          <cell r="B553">
            <v>21581</v>
          </cell>
        </row>
        <row r="554">
          <cell r="A554" t="str">
            <v>2384115</v>
          </cell>
          <cell r="B554">
            <v>21582</v>
          </cell>
        </row>
        <row r="555">
          <cell r="A555" t="str">
            <v>1252046</v>
          </cell>
          <cell r="B555">
            <v>21583</v>
          </cell>
        </row>
        <row r="556">
          <cell r="A556" t="str">
            <v>2384116</v>
          </cell>
          <cell r="B556">
            <v>21584</v>
          </cell>
        </row>
        <row r="557">
          <cell r="A557" t="str">
            <v>1056151</v>
          </cell>
          <cell r="B557">
            <v>21585</v>
          </cell>
        </row>
        <row r="558">
          <cell r="A558" t="str">
            <v>2385000</v>
          </cell>
          <cell r="B558">
            <v>21586</v>
          </cell>
        </row>
        <row r="559">
          <cell r="A559" t="str">
            <v>1485215</v>
          </cell>
          <cell r="B559">
            <v>21587</v>
          </cell>
        </row>
        <row r="560">
          <cell r="A560" t="str">
            <v>2385005</v>
          </cell>
          <cell r="B560">
            <v>21588</v>
          </cell>
        </row>
        <row r="561">
          <cell r="A561" t="str">
            <v>2052125</v>
          </cell>
          <cell r="B561">
            <v>21589</v>
          </cell>
        </row>
        <row r="562">
          <cell r="A562" t="str">
            <v>4052137</v>
          </cell>
          <cell r="B562">
            <v>21590</v>
          </cell>
        </row>
        <row r="563">
          <cell r="A563" t="str">
            <v>2413000</v>
          </cell>
          <cell r="B563">
            <v>21591</v>
          </cell>
        </row>
        <row r="564">
          <cell r="A564" t="str">
            <v>4052147</v>
          </cell>
          <cell r="B564">
            <v>21592</v>
          </cell>
        </row>
        <row r="565">
          <cell r="A565" t="str">
            <v>2442002</v>
          </cell>
          <cell r="B565">
            <v>21593</v>
          </cell>
        </row>
        <row r="566">
          <cell r="A566" t="str">
            <v>1380050</v>
          </cell>
          <cell r="B566">
            <v>21594</v>
          </cell>
        </row>
        <row r="567">
          <cell r="A567" t="str">
            <v>2443000</v>
          </cell>
          <cell r="B567">
            <v>21595</v>
          </cell>
        </row>
        <row r="568">
          <cell r="A568" t="str">
            <v>1252077</v>
          </cell>
          <cell r="B568">
            <v>21596</v>
          </cell>
        </row>
        <row r="569">
          <cell r="A569" t="str">
            <v>1485219</v>
          </cell>
          <cell r="B569">
            <v>21597</v>
          </cell>
        </row>
        <row r="570">
          <cell r="A570" t="str">
            <v>2445000</v>
          </cell>
          <cell r="B570">
            <v>21598</v>
          </cell>
        </row>
        <row r="571">
          <cell r="A571" t="str">
            <v>2445002</v>
          </cell>
          <cell r="B571">
            <v>21599</v>
          </cell>
        </row>
        <row r="572">
          <cell r="A572" t="str">
            <v>2445003</v>
          </cell>
          <cell r="B572">
            <v>21600</v>
          </cell>
        </row>
        <row r="573">
          <cell r="A573" t="str">
            <v>2445004</v>
          </cell>
          <cell r="B573">
            <v>21601</v>
          </cell>
        </row>
        <row r="574">
          <cell r="A574" t="str">
            <v>2445005</v>
          </cell>
          <cell r="B574">
            <v>21602</v>
          </cell>
        </row>
        <row r="575">
          <cell r="A575" t="str">
            <v>2445006</v>
          </cell>
          <cell r="B575">
            <v>21603</v>
          </cell>
        </row>
        <row r="576">
          <cell r="A576" t="str">
            <v>1380076</v>
          </cell>
          <cell r="B576">
            <v>21604</v>
          </cell>
        </row>
        <row r="577">
          <cell r="A577" t="str">
            <v>1485225</v>
          </cell>
          <cell r="B577">
            <v>21605</v>
          </cell>
        </row>
        <row r="578">
          <cell r="A578" t="str">
            <v>1485226</v>
          </cell>
          <cell r="B578">
            <v>21606</v>
          </cell>
        </row>
        <row r="579">
          <cell r="A579" t="str">
            <v>1485227</v>
          </cell>
          <cell r="B579">
            <v>21607</v>
          </cell>
        </row>
        <row r="580">
          <cell r="A580" t="str">
            <v>1381034</v>
          </cell>
          <cell r="B580">
            <v>21608</v>
          </cell>
        </row>
        <row r="581">
          <cell r="A581" t="str">
            <v>1381145</v>
          </cell>
          <cell r="B581">
            <v>21609</v>
          </cell>
        </row>
        <row r="582">
          <cell r="A582" t="str">
            <v>1382024</v>
          </cell>
          <cell r="B582">
            <v>21610</v>
          </cell>
        </row>
        <row r="583">
          <cell r="A583" t="str">
            <v>1383015</v>
          </cell>
          <cell r="B583">
            <v>21611</v>
          </cell>
        </row>
        <row r="584">
          <cell r="A584" t="str">
            <v>1485231</v>
          </cell>
          <cell r="B584">
            <v>21612</v>
          </cell>
        </row>
        <row r="585">
          <cell r="A585" t="str">
            <v>1383022</v>
          </cell>
          <cell r="B585">
            <v>21613</v>
          </cell>
        </row>
        <row r="586">
          <cell r="A586" t="str">
            <v>1252078</v>
          </cell>
          <cell r="B586">
            <v>21614</v>
          </cell>
        </row>
        <row r="587">
          <cell r="A587" t="str">
            <v>1383061</v>
          </cell>
          <cell r="B587">
            <v>21615</v>
          </cell>
        </row>
        <row r="588">
          <cell r="A588" t="str">
            <v>1384141</v>
          </cell>
          <cell r="B588">
            <v>21616</v>
          </cell>
        </row>
        <row r="589">
          <cell r="A589" t="str">
            <v>1384155</v>
          </cell>
          <cell r="B589">
            <v>21617</v>
          </cell>
        </row>
        <row r="590">
          <cell r="A590" t="str">
            <v>1485232</v>
          </cell>
          <cell r="B590">
            <v>21618</v>
          </cell>
        </row>
        <row r="591">
          <cell r="A591" t="str">
            <v>1485234</v>
          </cell>
          <cell r="B591">
            <v>21619</v>
          </cell>
        </row>
        <row r="592">
          <cell r="A592" t="str">
            <v>1252081</v>
          </cell>
          <cell r="B592">
            <v>21620</v>
          </cell>
        </row>
        <row r="593">
          <cell r="A593" t="str">
            <v>4052152</v>
          </cell>
          <cell r="B593">
            <v>21621</v>
          </cell>
        </row>
        <row r="594">
          <cell r="A594" t="str">
            <v>1252082</v>
          </cell>
          <cell r="B594">
            <v>21622</v>
          </cell>
        </row>
        <row r="595">
          <cell r="A595" t="str">
            <v>2052135</v>
          </cell>
          <cell r="B595">
            <v>21623</v>
          </cell>
        </row>
        <row r="596">
          <cell r="A596" t="str">
            <v>1252128</v>
          </cell>
          <cell r="B596">
            <v>21624</v>
          </cell>
        </row>
        <row r="597">
          <cell r="A597" t="str">
            <v>2052150</v>
          </cell>
          <cell r="B597">
            <v>21625</v>
          </cell>
        </row>
        <row r="598">
          <cell r="A598" t="str">
            <v>2052151</v>
          </cell>
          <cell r="B598">
            <v>21626</v>
          </cell>
        </row>
        <row r="599">
          <cell r="A599" t="str">
            <v>2052154</v>
          </cell>
          <cell r="B599">
            <v>21627</v>
          </cell>
        </row>
        <row r="600">
          <cell r="A600" t="str">
            <v>2065002</v>
          </cell>
          <cell r="B600">
            <v>21628</v>
          </cell>
        </row>
        <row r="601">
          <cell r="A601" t="str">
            <v>1274195</v>
          </cell>
          <cell r="B601">
            <v>21629</v>
          </cell>
        </row>
        <row r="602">
          <cell r="A602" t="str">
            <v>1275152</v>
          </cell>
          <cell r="B602">
            <v>21630</v>
          </cell>
        </row>
        <row r="603">
          <cell r="A603" t="str">
            <v>4052156</v>
          </cell>
          <cell r="B603">
            <v>21631</v>
          </cell>
        </row>
        <row r="604">
          <cell r="A604" t="str">
            <v>1275166</v>
          </cell>
          <cell r="B604">
            <v>21632</v>
          </cell>
        </row>
        <row r="605">
          <cell r="A605" t="str">
            <v>1275177</v>
          </cell>
          <cell r="B605">
            <v>21633</v>
          </cell>
        </row>
        <row r="606">
          <cell r="A606" t="str">
            <v>1276101</v>
          </cell>
          <cell r="B606">
            <v>21634</v>
          </cell>
        </row>
        <row r="607">
          <cell r="A607" t="str">
            <v>2065003</v>
          </cell>
          <cell r="B607">
            <v>21635</v>
          </cell>
        </row>
        <row r="608">
          <cell r="A608" t="str">
            <v>1276114</v>
          </cell>
          <cell r="B608">
            <v>21636</v>
          </cell>
        </row>
        <row r="609">
          <cell r="A609" t="str">
            <v>2104000</v>
          </cell>
          <cell r="B609">
            <v>21637</v>
          </cell>
        </row>
        <row r="610">
          <cell r="A610" t="str">
            <v>2113000</v>
          </cell>
          <cell r="B610">
            <v>21638</v>
          </cell>
        </row>
        <row r="611">
          <cell r="A611" t="str">
            <v>2133005</v>
          </cell>
          <cell r="B611">
            <v>21639</v>
          </cell>
        </row>
        <row r="612">
          <cell r="A612" t="str">
            <v>1135158</v>
          </cell>
          <cell r="B612">
            <v>21640</v>
          </cell>
        </row>
        <row r="613">
          <cell r="A613" t="str">
            <v>1485254</v>
          </cell>
          <cell r="B613">
            <v>21641</v>
          </cell>
        </row>
        <row r="614">
          <cell r="A614" t="str">
            <v>1486279</v>
          </cell>
          <cell r="B614">
            <v>21642</v>
          </cell>
        </row>
        <row r="615">
          <cell r="A615" t="str">
            <v>2135002</v>
          </cell>
          <cell r="B615">
            <v>21643</v>
          </cell>
        </row>
        <row r="616">
          <cell r="A616" t="str">
            <v>2136000</v>
          </cell>
          <cell r="B616">
            <v>21644</v>
          </cell>
        </row>
        <row r="617">
          <cell r="A617" t="str">
            <v>2136005</v>
          </cell>
          <cell r="B617">
            <v>21645</v>
          </cell>
        </row>
        <row r="618">
          <cell r="A618" t="str">
            <v>2136006</v>
          </cell>
          <cell r="B618">
            <v>21646</v>
          </cell>
        </row>
        <row r="619">
          <cell r="A619" t="str">
            <v>2136008</v>
          </cell>
          <cell r="B619">
            <v>21647</v>
          </cell>
        </row>
        <row r="620">
          <cell r="A620" t="str">
            <v>2136012</v>
          </cell>
          <cell r="B620">
            <v>21648</v>
          </cell>
        </row>
        <row r="621">
          <cell r="A621" t="str">
            <v>2136013</v>
          </cell>
          <cell r="B621">
            <v>21649</v>
          </cell>
        </row>
        <row r="622">
          <cell r="A622" t="str">
            <v>2136015</v>
          </cell>
          <cell r="B622">
            <v>21650</v>
          </cell>
        </row>
        <row r="623">
          <cell r="A623" t="str">
            <v>1483077</v>
          </cell>
          <cell r="B623">
            <v>21651</v>
          </cell>
        </row>
        <row r="624">
          <cell r="A624" t="str">
            <v>1135185</v>
          </cell>
          <cell r="B624">
            <v>21652</v>
          </cell>
        </row>
        <row r="625">
          <cell r="A625" t="str">
            <v>1135204</v>
          </cell>
          <cell r="B625">
            <v>21653</v>
          </cell>
        </row>
        <row r="626">
          <cell r="A626" t="str">
            <v>1485262</v>
          </cell>
          <cell r="B626">
            <v>21654</v>
          </cell>
        </row>
        <row r="627">
          <cell r="A627" t="str">
            <v>1485263</v>
          </cell>
          <cell r="B627">
            <v>21655</v>
          </cell>
        </row>
        <row r="628">
          <cell r="A628" t="str">
            <v>1483111</v>
          </cell>
          <cell r="B628">
            <v>21656</v>
          </cell>
        </row>
        <row r="629">
          <cell r="A629" t="str">
            <v>1484149</v>
          </cell>
          <cell r="B629">
            <v>21657</v>
          </cell>
        </row>
        <row r="630">
          <cell r="A630" t="str">
            <v>1484186</v>
          </cell>
          <cell r="B630">
            <v>21658</v>
          </cell>
        </row>
        <row r="631">
          <cell r="A631" t="str">
            <v>1484187</v>
          </cell>
          <cell r="B631">
            <v>21659</v>
          </cell>
        </row>
        <row r="632">
          <cell r="A632" t="str">
            <v>1484190</v>
          </cell>
          <cell r="B632">
            <v>21660</v>
          </cell>
        </row>
        <row r="633">
          <cell r="A633" t="str">
            <v>1484203</v>
          </cell>
          <cell r="B633">
            <v>21661</v>
          </cell>
        </row>
        <row r="634">
          <cell r="A634" t="str">
            <v>1485119</v>
          </cell>
          <cell r="B634">
            <v>21662</v>
          </cell>
        </row>
        <row r="635">
          <cell r="A635" t="str">
            <v>1485131</v>
          </cell>
          <cell r="B635">
            <v>21663</v>
          </cell>
        </row>
        <row r="636">
          <cell r="A636" t="str">
            <v>1485132</v>
          </cell>
          <cell r="B636">
            <v>21664</v>
          </cell>
        </row>
        <row r="637">
          <cell r="A637" t="str">
            <v>1485136</v>
          </cell>
          <cell r="B637">
            <v>21665</v>
          </cell>
        </row>
        <row r="638">
          <cell r="A638" t="str">
            <v>1486280</v>
          </cell>
          <cell r="B638">
            <v>21666</v>
          </cell>
        </row>
        <row r="639">
          <cell r="A639" t="str">
            <v>1486108</v>
          </cell>
          <cell r="B639">
            <v>21667</v>
          </cell>
        </row>
        <row r="640">
          <cell r="A640" t="str">
            <v>1486285</v>
          </cell>
          <cell r="B640">
            <v>21668</v>
          </cell>
        </row>
        <row r="641">
          <cell r="A641" t="str">
            <v>1487026</v>
          </cell>
          <cell r="B641">
            <v>21669</v>
          </cell>
        </row>
        <row r="642">
          <cell r="A642" t="str">
            <v>148704401</v>
          </cell>
          <cell r="B642">
            <v>21670</v>
          </cell>
        </row>
        <row r="643">
          <cell r="A643" t="str">
            <v>1507352</v>
          </cell>
          <cell r="B643">
            <v>21671</v>
          </cell>
        </row>
        <row r="644">
          <cell r="A644" t="str">
            <v>2036000</v>
          </cell>
          <cell r="B644">
            <v>21672</v>
          </cell>
        </row>
        <row r="645">
          <cell r="A645" t="str">
            <v>2036019</v>
          </cell>
          <cell r="B645">
            <v>21673</v>
          </cell>
        </row>
        <row r="646">
          <cell r="A646" t="str">
            <v>2036021</v>
          </cell>
          <cell r="B646">
            <v>21674</v>
          </cell>
        </row>
        <row r="647">
          <cell r="A647" t="str">
            <v>1486121</v>
          </cell>
          <cell r="B647">
            <v>21675</v>
          </cell>
        </row>
        <row r="648">
          <cell r="A648" t="str">
            <v>2052056</v>
          </cell>
          <cell r="B648">
            <v>21676</v>
          </cell>
        </row>
        <row r="649">
          <cell r="A649" t="str">
            <v>1486125</v>
          </cell>
          <cell r="B649">
            <v>21677</v>
          </cell>
        </row>
        <row r="650">
          <cell r="A650" t="str">
            <v>1486158</v>
          </cell>
          <cell r="B650">
            <v>21678</v>
          </cell>
        </row>
        <row r="651">
          <cell r="A651" t="str">
            <v>1486159</v>
          </cell>
          <cell r="B651">
            <v>21679</v>
          </cell>
        </row>
        <row r="652">
          <cell r="A652" t="str">
            <v>1486173</v>
          </cell>
          <cell r="B652">
            <v>21680</v>
          </cell>
        </row>
        <row r="653">
          <cell r="A653" t="str">
            <v>2052070</v>
          </cell>
          <cell r="B653">
            <v>21681</v>
          </cell>
        </row>
        <row r="654">
          <cell r="A654" t="str">
            <v>1486179</v>
          </cell>
          <cell r="B654">
            <v>21682</v>
          </cell>
        </row>
        <row r="655">
          <cell r="A655" t="str">
            <v>1486184</v>
          </cell>
          <cell r="B655">
            <v>21683</v>
          </cell>
        </row>
        <row r="656">
          <cell r="A656" t="str">
            <v>2052108</v>
          </cell>
          <cell r="B656">
            <v>21684</v>
          </cell>
        </row>
        <row r="657">
          <cell r="A657" t="str">
            <v>2052121</v>
          </cell>
          <cell r="B657">
            <v>21685</v>
          </cell>
        </row>
        <row r="658">
          <cell r="A658" t="str">
            <v>1486200</v>
          </cell>
          <cell r="B658">
            <v>21686</v>
          </cell>
        </row>
        <row r="659">
          <cell r="A659" t="str">
            <v>1486221</v>
          </cell>
          <cell r="B659">
            <v>21687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rry Zheng" refreshedDate="45748.698058101851" createdVersion="8" refreshedVersion="8" minRefreshableVersion="3" recordCount="1671" xr:uid="{984EAABE-054F-4567-A858-23916B5156EE}">
  <cacheSource type="worksheet">
    <worksheetSource name="Table3"/>
  </cacheSource>
  <cacheFields count="15">
    <cacheField name="Job No" numFmtId="0">
      <sharedItems count="547">
        <e v="#VALUE!"/>
        <s v="00INDOH"/>
        <s v="1384161"/>
        <s v="1385127"/>
        <s v="1385130"/>
        <s v="1385165"/>
        <s v="1385167"/>
        <s v="1385169"/>
        <s v="1385175"/>
        <s v="1385183"/>
        <s v="1385256"/>
        <s v="1385259"/>
        <s v="1386102"/>
        <s v="1386103"/>
        <s v="1386105"/>
        <s v="1386107"/>
        <s v="1386111"/>
        <s v="1386112"/>
        <s v="1386115"/>
        <s v="1485205"/>
        <s v="148704401"/>
        <s v="1380076"/>
        <s v="1384180"/>
        <s v="1385143"/>
        <s v="1385144"/>
        <s v="1385240"/>
        <s v="1385258"/>
        <s v="1386100"/>
        <s v="1387065"/>
        <s v="1380049"/>
        <s v="1380050"/>
        <s v="1384188"/>
        <s v="2065000"/>
        <s v="2065002"/>
        <s v="2441000"/>
        <s v="2442001"/>
        <s v="2442002"/>
        <s v="2443000"/>
        <s v="2445003"/>
        <s v="2445004"/>
        <s v="2445005"/>
        <s v="2445013"/>
        <s v="2445016"/>
        <s v="2445099"/>
        <s v="1385172"/>
        <s v="1385189"/>
        <s v="1484211"/>
        <s v="1485173"/>
        <s v="1485200"/>
        <s v="1485247"/>
        <s v="1385193"/>
        <s v="1385203"/>
        <s v="1385218"/>
        <s v="1385252"/>
        <s v="1385261"/>
        <s v="1387009"/>
        <s v="2135000"/>
        <s v="2135002"/>
        <s v="2384101"/>
        <s v="2384111"/>
        <s v="2385000"/>
        <s v="2385009"/>
        <s v="2385010"/>
        <s v="2385012"/>
        <s v="2484111"/>
        <s v="2484112"/>
        <s v="2484115"/>
        <s v="2484116"/>
        <s v="2484117"/>
        <s v="2484120"/>
        <s v="2485004"/>
        <s v="2485005"/>
        <s v="2485006"/>
        <s v="2485012"/>
        <s v="2014000"/>
        <s v="2104000"/>
        <s v="2113000"/>
        <s v="2136000"/>
        <s v="2136005"/>
        <s v="2136006"/>
        <s v="2136007"/>
        <s v="2136008"/>
        <s v="2344000"/>
        <s v="2383011"/>
        <s v="2386090"/>
        <s v="2413000"/>
        <s v="2434000"/>
        <s v="1055129"/>
        <s v="1055133"/>
        <s v="1055134"/>
        <s v="1055196"/>
        <s v="1056117"/>
        <s v="1383090"/>
        <s v="1385198"/>
        <s v="1385220"/>
        <s v="1385249"/>
        <s v="1385251"/>
        <s v="1485219"/>
        <s v="1485250"/>
        <s v="00EQUIP"/>
        <s v="1480162"/>
        <s v="1480164"/>
        <s v="1481057"/>
        <s v="1482096"/>
        <s v="1482110"/>
        <s v="1483024"/>
        <s v="1483096"/>
        <s v="1483098"/>
        <s v="1483099"/>
        <s v="1485131"/>
        <s v="1485158"/>
        <s v="1485160"/>
        <s v="1485174"/>
        <s v="1485180"/>
        <s v="1485190"/>
        <s v="1485191"/>
        <s v="1485194"/>
        <s v="1485214"/>
        <s v="1485229"/>
        <s v="1485230"/>
        <s v="1485253"/>
        <s v="1485254"/>
        <s v="1486113"/>
        <s v="1487026"/>
        <s v="1055210"/>
        <s v="1275152"/>
        <s v="1386118"/>
        <s v="1484142"/>
        <s v="1484169"/>
        <s v="1484190"/>
        <s v="1485117"/>
        <s v="1485118"/>
        <s v="1485119"/>
        <s v="1485141"/>
        <s v="1485153"/>
        <s v="1485159"/>
        <s v="1485262"/>
        <s v="1485263"/>
        <s v="1484193"/>
        <s v="1485188"/>
        <s v="1485212"/>
        <s v="1485224"/>
        <s v="1485225"/>
        <s v="1485227"/>
        <s v="1485245"/>
        <s v="1486116"/>
        <s v="1489168"/>
        <s v="1134140"/>
        <s v="1135184"/>
        <s v="1135204"/>
        <s v="1135248"/>
        <s v="1275216"/>
        <s v="1276101"/>
        <s v="1483005"/>
        <s v="1483009"/>
        <s v="1483077"/>
        <s v="1483102"/>
        <s v="1485171"/>
        <s v="1485257"/>
        <s v="1486108"/>
        <s v="2385005" u="1"/>
        <s v="2385011" u="1"/>
        <s v="2482142" u="1"/>
        <s v="2485000" u="1"/>
        <s v="1385244" u="1"/>
        <s v="1385246" u="1"/>
        <s v="1385255" u="1"/>
        <s v="1384185" u="1"/>
        <s v="1385145" u="1"/>
        <s v="1385162" u="1"/>
        <s v="1385201" u="1"/>
        <s v="1385202" u="1"/>
        <s v="1385208" u="1"/>
        <s v="1385213" u="1"/>
        <s v="1385241" u="1"/>
        <s v="1385243" u="1"/>
        <s v="2385015" u="1"/>
        <s v="1485228" u="1"/>
        <s v="1485226" u="1"/>
        <s v="1133079" u="1"/>
        <s v="1275199" u="1"/>
        <s v="2485011" u="1"/>
        <s v="2445006" u="1"/>
        <s v="2445015" u="1"/>
        <s v="2385006" u="1"/>
        <s v="2230000" u="1"/>
        <s v="1385148" u="1"/>
        <s v="1385195" u="1"/>
        <s v="1385211" u="1"/>
        <s v="1385135" u="1"/>
        <s v="1384141" u="1"/>
        <s v="1385156" u="1"/>
        <s v="1385163" u="1"/>
        <s v="1385164" u="1"/>
        <s v="1385176" u="1"/>
        <s v="1385178" u="1"/>
        <s v="1385181" u="1"/>
        <s v="1385207" u="1"/>
        <s v="2483002" u="1"/>
        <s v="2180000" u="1"/>
        <s v="1055187" u="1"/>
        <s v="1385146" u="1"/>
        <s v="1385147" u="1"/>
        <s v="1480163" u="1"/>
        <s v="1482008" u="1"/>
        <s v="1483072" u="1"/>
        <s v="1484147" u="1"/>
        <s v="1485132" u="1"/>
        <s v="1485150" u="1"/>
        <s v="1485161" u="1"/>
        <s v="1485179" u="1"/>
        <s v="1486140" u="1"/>
        <s v="1135138" u="1"/>
        <s v="1135139" u="1"/>
        <s v="1135221" u="1"/>
        <s v="1135222" u="1"/>
        <s v="1275177" u="1"/>
        <s v="1275223" u="1"/>
        <s v="1485136" u="1"/>
        <s v="1485137" u="1"/>
        <s v="1485182" u="1"/>
        <s v="1485209" u="1"/>
        <s v="2445010" u="1"/>
        <s v="2445002" u="1"/>
        <s v="2445011" u="1"/>
        <s v="2445014" u="1"/>
        <s v="2134000" u="1"/>
        <s v="2485009" u="1"/>
        <s v="2133000" u="1"/>
        <s v="1385242" u="1"/>
        <s v="2275000" u="1"/>
        <s v="1384201" u="1"/>
        <s v="1385149" u="1"/>
        <s v="1385157" u="1"/>
        <s v="1383015" u="1"/>
        <s v="1482057" u="1"/>
        <s v="1135185" u="1"/>
        <s v="1275166" u="1"/>
        <s v="1275170" u="1"/>
        <s v="1455142" u="1"/>
        <s v="1483040" u="1"/>
        <s v="2445000" u="1"/>
        <s v="2485007" u="1"/>
        <s v="1384209" u="1"/>
        <s v="1385125" u="1"/>
        <s v="1385151" u="1"/>
        <s v="1385155" u="1"/>
        <s v="1385168" u="1"/>
        <s v="1385192" u="1"/>
        <s v="1388026" u="1"/>
        <s v="1485124" u="1"/>
        <s v="1384182" u="1"/>
        <s v="2385014" u="1"/>
        <s v="2482133" u="1"/>
        <s v="2484105" u="1"/>
        <s v="2485003" u="1"/>
        <s v="2485010" u="1"/>
        <s v="2484110" u="1"/>
        <s v="1383022" u="1"/>
        <s v="1383108" u="1"/>
        <s v="1384148" u="1"/>
        <s v="2484119" u="1"/>
        <s v="2385013" u="1"/>
        <s v="2485008" u="1"/>
        <s v="2194000" u="1"/>
        <s v="2482134" u="1"/>
        <s v="1483071" u="1"/>
        <s v="1483111" u="1"/>
        <s v="1484186" u="1"/>
        <s v="1383061" u="1"/>
        <s v="1384133" u="1"/>
        <s v="1384135" u="1"/>
        <s v="1384147" u="1"/>
        <s v="1384173" u="1"/>
        <s v="1384181" u="1"/>
        <s v="1384199" u="1"/>
        <s v="1384210" u="1"/>
        <s v="2382141" u="1"/>
        <s v="2485002" u="1"/>
        <s v="2382142" u="1"/>
        <s v="2481003" u="1"/>
        <s v="2144001" u="1"/>
        <s v="2153001" u="1"/>
        <s v="1384127" u="1"/>
        <s v="1384155" u="1"/>
        <s v="1384198" u="1"/>
        <s v="1384213" u="1"/>
        <s v="1385122" u="1"/>
        <s v="1385126" u="1"/>
        <s v="1388072" u="1"/>
        <s v="1484145" u="1"/>
        <s v="1484179" u="1"/>
        <s v="1484203" u="1"/>
        <s v="1382069" u="1"/>
        <s v="1384202" u="1"/>
        <s v="1385128" u="1"/>
        <s v="1385140" u="1"/>
        <s v="1385154" u="1"/>
        <s v="1382059" u="1"/>
        <s v="1385123" u="1"/>
        <s v="2052121" u="1"/>
        <s v="1483021" u="1"/>
        <s v="1484149" u="1"/>
        <s v="1484187" u="1"/>
        <s v="2130002" u="1"/>
        <s v="2381004" u="1"/>
        <s v="2384100" u="1"/>
        <s v="2384116" u="1"/>
        <s v="2133002" u="1"/>
        <s v="2484107" u="1"/>
        <s v="2384112" u="1"/>
        <s v="2384115" u="1"/>
        <s v="2483004" u="1"/>
        <s v="1384151" u="1"/>
        <s v="1384156" u="1"/>
        <s v="1384158" u="1"/>
        <s v="1384163" u="1"/>
        <s v="1384166" u="1"/>
        <s v="1384168" u="1"/>
        <s v="1384176" u="1"/>
        <s v="1384194" u="1"/>
        <s v="1384196" u="1"/>
        <s v="1384200" u="1"/>
        <s v="1384204" u="1"/>
        <s v="1384205" u="1"/>
        <s v="1384206" u="1"/>
        <s v="COMNAOR008" u="1"/>
        <s v="1382024" u="1"/>
        <s v="1382035" u="1"/>
        <s v="1481037" u="1"/>
        <s v="1381109" u="1"/>
        <s v="1382061" u="1"/>
        <s v="1383080" u="1"/>
        <s v="1383084" u="1"/>
        <s v="1383093" u="1"/>
        <s v="1384177" u="1"/>
        <s v="1384183" u="1"/>
        <s v="1384191" u="1"/>
        <s v="1384192" u="1"/>
        <s v="1602090" u="1"/>
        <s v="5052057" u="1"/>
        <s v="C80" u="1"/>
        <s v="1381034" u="1"/>
        <s v="1382068" u="1"/>
        <s v="1480070" u="1"/>
        <s v="1482076" u="1"/>
        <s v="1482094" u="1"/>
        <s v="1482100" u="1"/>
        <s v="1483059" u="1"/>
        <s v="1059121" u="1"/>
        <s v="1274195" u="1"/>
        <s v="1483110" u="1"/>
        <s v="1383083" u="1"/>
        <s v="1384000" u="1"/>
        <s v="1384207" u="1"/>
        <s v="1385120" u="1"/>
        <s v="1381031" u="1"/>
        <s v="1381036" u="1"/>
        <s v="1381041" u="1"/>
        <s v="1382027" u="1"/>
        <s v="1481038" u="1"/>
        <s v="1384212" u="1"/>
        <s v="1381126" u="1"/>
        <s v="1481125" u="1"/>
        <s v="1131127" u="1"/>
        <s v="1131141" u="1"/>
        <s v="1132070" u="1"/>
        <s v="1484180" u="1"/>
        <s v="1385121" u="1"/>
        <s v="2382148" u="1"/>
        <s v="2384114" u="1"/>
        <s v="2482150" u="1"/>
        <s v="2484118" u="1"/>
        <s v="2144000" u="1"/>
        <s v="2153000" u="1"/>
        <s v="2254000" u="1"/>
        <s v="1484165" u="1"/>
        <s v="1381030" u="1"/>
        <s v="1132071" u="1"/>
        <s v="1252075" u="1"/>
        <s v="1382072" u="1"/>
        <s v="1481048" u="1"/>
        <s v="1481134" u="1"/>
        <s v="1482074" u="1"/>
        <s v="1482077" u="1"/>
        <s v="1482109" u="1"/>
        <s v="2484114" u="1"/>
        <s v="2383005" u="1"/>
        <s v="1381032" u="1"/>
        <s v="1381033" u="1"/>
        <s v="1381035" u="1"/>
        <s v="2133005" u="1"/>
        <s v="2481005" u="1"/>
        <s v="2383008" u="1"/>
        <s v="2384107" u="1"/>
        <s v="2482139" u="1"/>
        <s v="1382022" u="1"/>
        <s v="1482037" u="1"/>
        <s v="1482073" u="1"/>
        <s v="1483000" u="1"/>
        <s v="1484197" u="1"/>
        <s v="1384171" u="1"/>
        <s v="2134001" u="1"/>
        <s v="2483001" u="1"/>
        <s v="2484108" u="1"/>
        <s v="2484113" u="1"/>
        <s v="1484144" u="1"/>
        <s v="1484178" u="1"/>
        <s v="1484148" u="1"/>
        <s v="1383063" u="1"/>
        <s v="2384103" u="1"/>
        <s v="1384123" u="1"/>
        <s v="1384174" u="1"/>
        <s v="1384150" u="1"/>
        <s v="1384164" u="1"/>
        <s v="1384167" u="1"/>
        <s v="1384184" u="1"/>
        <s v="2341000" u="1"/>
        <s v="2384102" u="1"/>
        <s v="2384108" u="1"/>
        <s v="2482154" u="1"/>
        <s v="1274181" u="1"/>
        <s v="1383069" u="1"/>
        <s v="1383103" u="1"/>
        <s v="1384157" u="1"/>
        <s v="1384172" u="1"/>
        <s v="1454139" u="1"/>
        <s v="1133092" u="1"/>
        <s v="1273076" u="1"/>
        <s v="1274170" u="1"/>
        <s v="1274189" u="1"/>
        <s v="2384104" u="1"/>
        <s v="2482148" u="1"/>
        <s v="2484101" u="1"/>
        <s v="2484102" u="1"/>
        <s v="2384105" u="1"/>
        <s v="2482121" u="1"/>
        <s v="1384149" u="1"/>
        <s v="1384154" u="1"/>
        <s v="1384160" u="1"/>
        <s v="1384175" u="1"/>
        <s v="2384106" u="1"/>
        <s v="2482136" u="1"/>
        <s v="1384124" u="1"/>
        <s v="1384134" u="1"/>
        <s v="1380071" u="1"/>
        <s v="1383073" u="1"/>
        <s v="1383076" u="1"/>
        <s v="1384125" u="1"/>
        <s v="1384128" u="1"/>
        <s v="1384132" u="1"/>
        <s v="1384162" u="1"/>
        <s v="2383009" u="1"/>
        <s v="1384126" u="1"/>
        <s v="1384136" u="1"/>
        <s v="1384143" u="1"/>
        <s v="1483017" u="1"/>
        <s v="1483023" u="1"/>
        <s v="1484115" u="1"/>
        <s v="1132056" u="1"/>
        <s v="1273006" u="1"/>
        <s v="1482065" u="1"/>
        <s v="2482122" u="1"/>
        <s v="2484100" u="1"/>
        <s v="2484109" u="1"/>
        <s v="" u="1"/>
        <s v="1484146" u="1"/>
        <s v="2383016" u="1"/>
        <s v="070938 " u="1"/>
        <s v="071071 " u="1"/>
        <s v="833677 " u="1"/>
        <s v="North" u="1"/>
        <s v="2484000" u="1"/>
        <s v="804720" u="1"/>
        <s v="1384130" u="1"/>
        <s v="070971 " u="1"/>
        <s v="North S" u="1"/>
        <s v="2484104" u="1"/>
        <s v="1483035" u="1"/>
        <s v="2382147" u="1"/>
        <s v="071100" u="1"/>
        <s v="Page  2" u="1"/>
        <s v="071075 " u="1"/>
        <s v="070938" u="1"/>
        <s v="071071" u="1"/>
        <s v="084941 " u="1"/>
        <s v="842683 " u="1"/>
        <s v="833677" u="1"/>
        <s v="Page  3" u="1"/>
        <s v="1384152" u="1"/>
        <s v="1483019" u="1"/>
        <s v="Page  4" u="1"/>
        <s v="This Pe" u="1"/>
        <s v="070971" u="1"/>
        <s v="Contrac" u="1"/>
        <s v="Job" u="1"/>
        <s v="2483003" u="1"/>
        <s v="1383105" u="1"/>
        <s v="1384153" u="1"/>
        <s v="Job - T" u="1"/>
        <s v="Page  5" u="1"/>
        <s v="071075" u="1"/>
        <s v="084941" u="1"/>
        <s v="842683" u="1"/>
        <s v="000000 " u="1"/>
        <s v="Page  6" u="1"/>
        <s v="Totals" u="1"/>
        <s v="1383050" u="1"/>
        <s v="Page  7" u="1"/>
        <s v="({xcomp" u="1"/>
        <s v="1384137" u="1"/>
        <s v="2133010" u="1"/>
        <s v="2482135" u="1"/>
        <s v="Page  8" u="1"/>
        <s v="1384138" u="1"/>
        <s v="2384000" u="1"/>
        <s v="({xcompany_job_cost.status_pa}" u="1"/>
        <s v="1383109" u="1"/>
        <s v="Page  9" u="1"/>
        <s v="000000" u="1"/>
        <s v="1381003" u="1"/>
        <s v="1382051" u="1"/>
        <s v="2481004" u="1"/>
        <s v="9999999" u="1"/>
        <s v="1384159" u="1"/>
        <s v="2133004" u="1"/>
        <s v="079702 " u="1"/>
        <s v="804890 " u="1"/>
        <s v="Revenue" u="1"/>
        <s v="1383046" u="1"/>
        <s v="Earned " u="1"/>
        <s v="1487044" u="1"/>
        <s v="071047 " u="1"/>
        <s v="Contract" u="1"/>
        <s v="1383094" u="1"/>
        <s v="1380034" u="1"/>
        <s v="Period:" u="1"/>
        <s v="STD_AA0" u="1"/>
        <s v="079702" u="1"/>
        <s v="804890" u="1"/>
        <s v="2384109" u="1"/>
        <s v="804720 " u="1"/>
        <s v="Earned" u="1"/>
        <s v="Page" u="1"/>
        <s v="This" u="1"/>
        <s v="071047" u="1"/>
        <s v="071100 " u="1"/>
      </sharedItems>
    </cacheField>
    <cacheField name="Description" numFmtId="0">
      <sharedItems count="983">
        <e v="#VALUE!"/>
        <s v=" 00 - Indirect Cost"/>
        <s v=" BCT-Hourly Maintenance"/>
        <s v=" City of Portland-Splicing Maintenance 31"/>
        <s v=" QLife-2024 Splicing and Aerial Maintenan"/>
        <s v=" Ziply-Corvallis 5517569-H4027 (FTTH)"/>
        <s v=" City of Portland-Aerial Maint &amp; Repair"/>
        <s v=" Ziply-Corvallis 5517564-H4022 (FTTH)"/>
        <s v=" Ziply - OR FTTP MSA (Cody)"/>
        <s v=" PGE-Tektronix Fiber Project"/>
        <s v=" Clackamas County-Marmot Road"/>
        <s v=" PGE-SW Arrow Street"/>
        <s v=" PGE - Lents Substation"/>
        <s v=" PGE - Glencoe Substation"/>
        <s v=" PGE - Glenoveer Substation"/>
        <s v=" Trimet - Green Line Splicing"/>
        <s v=" BCT - 23162 S Bluhm Rd"/>
        <s v=" Clackamas County - Boeckman Rd Splicing"/>
        <s v=" PGE - Waconda Fiber Materials"/>
        <s v=" Ziply - WA FTTP MSA (Cody)"/>
        <s v=" Clark PUD-Small Works Project"/>
        <s v=" Molalla-Maintenance Work Orders"/>
        <s v=" Clear Creek-FTTH P1 Project"/>
        <s v=" Clear Creek-FTTH Phase II"/>
        <s v=" Canby-DirectLink-Haines Rd Hwy 99E Ph II"/>
        <s v=" Canby-Directlink-S Pine St"/>
        <s v=" Clear Creek-2024 OSP Phase III"/>
        <s v=" Directlink - Mt Angel Town FTTH"/>
        <s v=" Canby-DirectLink-Hourly Work"/>
        <s v=" Stayton Telephone - Unit Rates"/>
        <s v=" Peoples Telephone - Unit Rates"/>
        <s v=" Scio Tel-Hourly Rate Projects"/>
        <s v=" Google-Fiber FTTH MDU CO"/>
        <s v=" Google-Fiber FTTH Greenfields CO"/>
        <s v=" NTS Communications-TX MSA"/>
        <s v=" NTS Communications-MDU Amarillo Lubbock"/>
        <s v=" NTS Communications-MDU Abilene"/>
        <s v=" Google-Google Fiber MSA (TX)"/>
        <s v=" Ezee Fiber Texas-Autumnwood Apts"/>
        <s v=" Ezee Fiber Texas (Willowbend Ph1 &amp; Ph2)"/>
        <s v=" Ezee Fiber Texas (Town Creek Village)"/>
        <s v=" Ubiquity Services LLC-Lost Spurs Ranch"/>
        <s v=" Ubiquity Services LLC-Grand Estates"/>
        <s v=" Google-Fiber Greenfield TX"/>
        <s v=" Ziply - OR BAU SSP (2024-27)"/>
        <s v=" Ziply - OR FTTP MSA (Alton)"/>
        <s v=" Port of Woodland-2023-12 Ariel to Cougar"/>
        <s v=" Ziply - WA BAU SSP (2024-27)"/>
        <s v=" Ziply - WA FTTP MSA (Alton)"/>
        <s v=" Port of Woodland-Fiber Optic On Call"/>
        <s v=" Ziply - OR FTTP MSA (Justin)"/>
        <s v=" Pioneer-Reconnect 3 - Phase 1"/>
        <s v=" Trimet-OMP Fiber Build"/>
        <s v=" Pioneer-Reconnect 3 - Phase 2"/>
        <s v=" City of Wilsonville -  WES Breakroom"/>
        <s v=" Data Vision-Gervais Splicing"/>
        <s v=" T-Mobile-Idaho Market"/>
        <s v=" VZ-Verizon Idaho Market (Msa)"/>
        <s v=" VZ-Verizon Or Mosser"/>
        <s v=" VZ-Verizon Or Market (MSA)"/>
        <s v=" Wave-Astound OR-Wave Broadband"/>
        <s v=" T-Mobile-Portland Market"/>
        <s v=" T-Mobile-Eastern OR Market"/>
        <s v=" VZ-Verizon Or Sundrop"/>
        <s v=" VZ-Verizon Spokane Market (Msa)"/>
        <s v=" VZ-Verizon Seattle Market (Msa)"/>
        <s v=" American Tower Corporation-WA"/>
        <s v=" VZ-Verizon Sw Wa Market (MSA)"/>
        <s v=" Wave-Astound WA-Wave Broadband"/>
        <s v=" Colville Confederated Tribe"/>
        <s v=" T-Mobile-Spokane Market"/>
        <s v=" T-Mobile-Seattle Market"/>
        <s v=" T-Mobile-SW WA Market"/>
        <s v=" VZ-Verizon Wa Keene Lake"/>
        <s v=" CommPro Services, LLC-AL"/>
        <s v=" CommPro Services, LLC - FL"/>
        <s v=" CommPro Services, LLC -GA"/>
        <s v=" Ubiquity Services LLC-Big Sky Patio Apts"/>
        <s v=" Ubiquity Services LLC-Hitt Rd Patio Apts"/>
        <s v=" Ubiquity Services LLC-Midwest Patio Apts"/>
        <s v=" Ubiquity Services LLC-Centennial Patio"/>
        <s v=" Ubiquity Services LLC-Valencia Apts"/>
        <s v=" CommPro Services, LLC -NC"/>
        <s v=" Consol Bus Svs-Canby dba Directlink Resi"/>
        <s v=" Sherwood Broadband-City of Sherwood"/>
        <s v=" CommPro Services, LLC -SC"/>
        <s v=" CommPro Services, LLC-TN"/>
        <s v=" ATT-Douglas City Bridge"/>
        <s v=" Siskiyou Tel-Mugginsville"/>
        <s v=" Siskiyou Tel-West Horse Creek"/>
        <s v=" Siskiyou Tel-Rattlesnake"/>
        <s v=" Siskiyou Tel-  OSP Routine Maintenance 2"/>
        <s v=" Wave-Newport FTTH"/>
        <s v=" Ziply-Softscape FTTP Springfield S201"/>
        <s v=" Ziply-Softscape Keizer FTTP"/>
        <s v=" Ziply-Softscape FTTP-Keizer6005282-H4014"/>
        <s v=" Ziply - Softscape FTTP OR MSA"/>
        <s v=" Ziply-Softscape Sammamish FTTP"/>
        <s v=" Ziply - Softscape FTTP-West WA MSA"/>
        <s v=" 00-Shop Equipment"/>
        <s v=" Lumen-LE MSA Extension for Seattle Marke"/>
        <s v=" Lumen-Kahna MSA Extension (FTTH)"/>
        <s v=" Crown Castle-2020 Fiber Maintenance and"/>
        <s v=" Lumen-Enterprise MSA Western WA"/>
        <s v=" Lumen-2022 GPON BF OVERBUILD-Seattle (FT"/>
        <s v=" Lumen-2022-2024 GPON OVERBUILD Seattle ("/>
        <s v=" Lumen-2023LE000081 Fiber Overbuild (FTTH"/>
        <s v=" Lumen-2023 San Juan Islands Consumer"/>
        <s v=" Lumen-2023 WA West Consumer"/>
        <s v=" LS Networks-Cran Site 8"/>
        <s v=" Ziply-Olympia 5521545-2 (FTTH)"/>
        <s v=" LS Networks-Cran Site 10"/>
        <s v=" Ziply-WA FTTP SSP (FTTH)"/>
        <s v=" LS Networks-Cran 006"/>
        <s v=" Zayo-Dexter Ave N"/>
        <s v=" LS Networks-Cran 002"/>
        <s v=" LS Networks-Cran 011"/>
        <s v=" Ziply-WA BAU SSP (James)"/>
        <s v=" LS Networks-USCC Centralia Alder Street"/>
        <s v=" Ziply-Hwy 530 WO 5513143 (FTTP PW)"/>
        <s v=" Astound-Furnish and Install 6 inch class"/>
        <s v=" Lumen-WA Enterprise"/>
        <s v=" ZAYO - Maintenance"/>
        <s v=" VZ-Verizon Business-Seattle Maintenance"/>
        <s v=" CAL-Ore 2024"/>
        <s v=" Ziply - Great Falls Build (FTTH)"/>
        <s v=" Alyrica - Webfoot"/>
        <s v=" Hood Canal Tel-Northern Hood Canal Fiber"/>
        <s v=" Hood Canal Tel-BSR Design"/>
        <s v=" Pacific PUD-ITB 2023-2 Fiber"/>
        <s v=" Pacific PUD-ITB 2023-2 Electrical"/>
        <s v=" Pacific PUD-ITB 2023-3 Splicing"/>
        <s v=" Jefferson PUD-Olympic Fiber Build"/>
        <s v=" Mason County PUD-Seal Rock Joint Bore"/>
        <s v=" Hood Canal Tel-Brinnon OLT"/>
        <s v=" Astound - Clallam County WSBO Phase"/>
        <s v=" Astound - Clallam County PWB Phase"/>
        <s v=" Douglas PUD-FOC and Cable Install"/>
        <s v=" Ziply - Eastern WA FTTP MSA"/>
        <s v=" Ziply - Eastern WA BAU SSP (Josh)"/>
        <s v=" LS Networks-CRAN 004"/>
        <s v=" LS Networks-CRAN 12"/>
        <s v=" LS Networks-CRAN 037"/>
        <s v=" IIG- PO 2464 South River Malaga"/>
        <s v=" IIG - PO 2665, Stark to Industrial build"/>
        <s v=" Grant PUD-Fiber Optic Design &amp; Construct"/>
        <s v=" Lumen-2022LE000008 Idaho"/>
        <s v=" Ziply - ID FTTP MSA (Rob)"/>
        <s v=" Avista - Poleline Substation"/>
        <s v=" Cogent-14428 Meyers Rd"/>
        <s v=" Ziply - MT FTTP MSA (Rob)"/>
        <s v=" Cogent - BNSF Bridge 0042 MRL Bridge 76"/>
        <s v=" Lumen-2022 GPON BF OVERBUILD Spokane (FT"/>
        <s v=" Lumen-Enterprise MSA Eastern WA"/>
        <s v=" Lumen-Consumer NE WA (2022-25)"/>
        <s v=" Lumen-2023LE000081 Fiber Overbuild Spoka"/>
        <s v=" IIG-Chelan PUD Pole"/>
        <s v=" Ziply - Cheney FTTP Bid (Rob)"/>
        <s v=" Lumen - Eastern WA Enterprise"/>
        <s v=" VZ-Verizon Or (Fish Eddy)" u="1"/>
        <s v=" Vertical Bridge-OR" u="1"/>
        <s v=" Spokane Tribe-Wellpinit Wireless" u="1"/>
        <s v=" Ziply-Hwy 530 Arlington 5513143 FTTP PW" u="1"/>
        <s v=" TriMet-Pole Violation J451934" u="1"/>
        <s v=" City of Oregon City-PGE Fiber Maintenanc" u="1"/>
        <s v=" PGE-209th and TV Highway CrossingProject" u="1"/>
        <s v=" Canby-DirectLink-Carus Peds" u="1"/>
        <s v=" Casc-Reliance Con-20241004 Longview Vint" u="1"/>
        <s v=" Casc-Reliance Con-20241005 Ash Valley" u="1"/>
        <s v=" City of Wilsonville-Memorial Park Projct" u="1"/>
        <s v=" City of Wilsonville-GSK Fiber Connection" u="1"/>
        <s v=" Sprint-Cogent -Foothill Rd Fiber Relocat" u="1"/>
        <s v=" Reliance Connects-Elkton RV Park" u="1"/>
        <s v=" City of Wilsonville-5th to Kinsman" u="1"/>
        <s v=" Pioneer-South Beach Fiber Install" u="1"/>
        <s v=" VZ-Verizon Or Hillsboro" u="1"/>
        <s v=" LS Networks-1741 Harrison Ave" u="1"/>
        <s v=" LS Networks-CRAN 005" u="1"/>
        <s v=" Lumen-2022-2025 2022LE000195 (Consumer)" u="1"/>
        <s v=" Ziply - MT FTTP SSP (Rob)" u="1"/>
        <s v=" Crown Castle-WA" u="1"/>
        <s v=" Ezee Fiber Texas-(Wildwood Lake)" u="1"/>
        <s v=" Ubiquity Services LLC-Mallard Run Apts" u="1"/>
        <s v=" VZ-OR (Hannah Bridge MW)" u="1"/>
        <s v=" American Tower Corporation-" u="1"/>
        <s v=" Surf Broadband Solutions-MI Installation" u="1"/>
        <s v=" Ziply-BAKRORX1-5518429-H4002 (FTTH)" u="1"/>
        <s v=" PGE-Blue Lake Sub Vault Install" u="1"/>
        <s v=" PGE-Main Sub Tap" u="1"/>
        <s v=" Clear Creek-864 Testing" u="1"/>
        <s v=" Crown Castle-Lake Oswego Splicing" u="1"/>
        <s v=" PGE-190th Vault Relocation" u="1"/>
        <s v=" Sprint-Foothill MH Raise" u="1"/>
        <s v=" Crown Castle-Fiber Issues Lake Oswego" u="1"/>
        <s v=" Crown Castle-NW Skyline Blvd" u="1"/>
        <s v=" Trimet-9499 SW Barber St" u="1"/>
        <s v=" Scio-35611 Meridian Rd" u="1"/>
        <s v=" City of Wilsonville-Smart and WES" u="1"/>
        <s v=" VZ-Verizon Wa Federal Way" u="1"/>
        <s v=" CommPro Services, LLC -KY" u="1"/>
        <s v=" Siskiyou-Remove 264 Vault" u="1"/>
        <s v=" Ziply-BAKRORX1-5518428-H4001" u="1"/>
        <s v=" Ziply-AKRORX1-5518425-H3002" u="1"/>
        <s v=" Lumen-CAFII MSA Extension for Seattle Ma" u="1"/>
        <s v=" Crown Castle-701 Dexter Ave N Rule 20C" u="1"/>
        <s v=" Zayo- Google Tie" u="1"/>
        <s v=" Sprint-Auburn ECO" u="1"/>
        <s v=" LS Networks-Cran Site 7" u="1"/>
        <s v=" Rainier Asphalt-515 3rd Ave" u="1"/>
        <s v=" Lumen-P209365 SVC Drop relocation job" u="1"/>
        <s v=" LS Networks-Freeway Bore" u="1"/>
        <s v=" Lumen-Western Washington Maintenance" u="1"/>
        <s v=" Sprint-Cogent-Cocolalla Bridge 16" u="1"/>
        <s v=" Sprint-Cogent-Cocolalla Bridge 20" u="1"/>
        <s v=" ATT-C-Canal Bridge AT&amp;T" u="1"/>
        <s v=" Sprint-Cogent - Hutter Rd &amp; Seltice Wy" u="1"/>
        <s v=" ATT-Billings CO Billing" u="1"/>
        <s v=" ATT-Cyr Bridge" u="1"/>
        <s v=" Wash DOC-Telephone Conduit Move &amp;Replace" u="1"/>
        <s v=" ATT-Spokane ECO" u="1"/>
        <s v=" IIG-Quincy ADSS Aerial Work Restoration" u="1"/>
        <s v=" IIG-Soap Lake Rd 20-2383" u="1"/>
        <s v=" Ubiquity Services, LLC-Arbors Of Killeen" u="1"/>
        <s v=" Ziply-MT FTTP" u="1"/>
        <s v=" Ziply-BAKRORX1-5518429-H4002" u="1"/>
        <s v=" Ziply-OR FTTP SSP (FTTH)" u="1"/>
        <s v=" Ziply-WA FTTP (Cody)" u="1"/>
        <s v=" NSC-- Clear Creek Ph II" u="1"/>
        <s v=" Directlink-S Pine St" u="1"/>
        <s v=" Stayton Telephone-" u="1"/>
        <s v=" Peoples Telephone-" u="1"/>
        <s v=" NTS Communications-" u="1"/>
        <s v=" NTS Communications-MDU  Amarillo_Lubbock" u="1"/>
        <s v=" NTS Communications-MDU_Abilene" u="1"/>
        <s v=" Google-Google Fiber, Inc" u="1"/>
        <s v=" Ezee Fiber Texas -White Oak Apts" u="1"/>
        <s v=" Ubiquity Services LLC-Lakeside Apartment" u="1"/>
        <s v=" Ubiquity Services LLC-Paloma Gardens" u="1"/>
        <s v=" Ziply-OR BAU SSP (2024-27)" u="1"/>
        <s v=" Ziply-OR FTTP (Alton)" u="1"/>
        <s v=" Ziply-WA BAU SSP (2024-27)" u="1"/>
        <s v=" Ziply-WA FTTP (Alton)" u="1"/>
        <s v=" Ziply-OR FTTP (Justin)" u="1"/>
        <s v=" Pioneer-Reconnect 3" u="1"/>
        <s v=" Pioneer-Reconnect 3 Ph 2" u="1"/>
        <s v=" Star Touch-(ID)" u="1"/>
        <s v=" VZ-WA (Continental)" u="1"/>
        <s v=" CommPro Services, LLC-FL" u="1"/>
        <s v=" Ziply-Softscape FTTP-OR MSA" u="1"/>
        <s v=" Ziply-Softscape FTTP-West WA MSA" u="1"/>
        <s v=" Ziply-Great Falls Build (FTTH)" u="1"/>
        <s v=" Ziply-Eastern WA FTTP SSP (FTTH)" u="1"/>
        <s v=" Ziply-WA BAU SSP (Josh)" u="1"/>
        <s v=" Ziply-ID FTTP" u="1"/>
        <s v=" Ziply-MT FTTP (Rob)" u="1"/>
        <s v=" Ziply-Cheney FTTP Bid" u="1"/>
        <s v=" Ziply - MT FTTP SSP" u="1"/>
        <s v=" BCT - Hourly Maintenance" u="1"/>
        <s v=" City of Portland - Splicing Maintenance 31002600" u="1"/>
        <s v=" QLife - 2024 Splicing and Aerial Maintenance" u="1"/>
        <s v=" Ziply - BAKRORX1-5518429-H4002" u="1"/>
        <s v=" Ziply - Corvallis 5517569-H4027 FTTP" u="1"/>
        <s v=" City of Portland - Aerial Maintenance and Repair" u="1"/>
        <s v=" Ziply - Corvallis 5517564-H4022 FTTP" u="1"/>
        <s v=" PGE - Tektronix Fiber Project" u="1"/>
        <s v=" PGE - Blue Lake Sub Vault Install" u="1"/>
        <s v=" PGE - Main Sub Tap" u="1"/>
        <s v=" TriMet - Pole Violation J451934" u="1"/>
        <s v=" City of Oregon City - PGE Fiber Maintenance Project 2025" u="1"/>
        <s v=" PGE - 209th and TV Highway Crossing Project" u="1"/>
        <s v=" Ziply - WA FTTP (Cody)" u="1"/>
        <s v=" Clark PUD - Small Works Project" u="1"/>
        <s v=" Molalla - Maintenance Work Orders" u="1"/>
        <s v=" Clear Creek - FTTH P1 Project" u="1"/>
        <s v=" DirectLink - Carus Peds" u="1"/>
        <s v=" Clear Creek - 864 Testing" u="1"/>
        <s v=" Clear Creek - FTTH P2 Project" u="1"/>
        <s v=" DirectLink - Haines Rd Hwy 99E Ph II" u="1"/>
        <s v=" Directlink - S Pine St" u="1"/>
        <s v=" Clear Creek - 2024 OSP Phase III" u="1"/>
        <s v=" DirectLink - Canby Hourly Work" u="1"/>
        <s v=" Stayton Telephone" u="1"/>
        <s v=" Peoples Telephone" u="1"/>
        <s v=" Scio Tel - Hourly Rate Projects" u="1"/>
        <s v=" Google Fiber FTTH MDU CO" u="1"/>
        <s v=" NTS Communications, LLC" u="1"/>
        <s v=" NTS Communications MDU  Amarillo_Lubbock" u="1"/>
        <s v=" NTS Communications MDU_Abilene" u="1"/>
        <s v=" Google Fiber FTTH MDU TX" u="1"/>
        <s v=" Ezee Fiber Texas (White Oak Apts)" u="1"/>
        <s v=" Ezee Fiber Texas (Autumnwood Apts)" u="1"/>
        <s v=" Ezee Fiber Texas (Wildwood Lake)" u="1"/>
        <s v=" Ubiquity Services, LLC (Arbors Of Killeen)" u="1"/>
        <s v="  Ubiquity Services LLC (Lakeside Apartments)" u="1"/>
        <s v=" Ubiquity Services LLC (Lost Spurs Ranch)" u="1"/>
        <s v=" Ubiquity Services LLC (Paloma Gardens)" u="1"/>
        <s v=" Ubiquity Services LLC (Mallard Run Apts)" u="1"/>
        <s v=" Google Fiber FTTH Greenfields TX" u="1"/>
        <s v=" Ziply - OR BAU SSP (Alton)" u="1"/>
        <s v=" Port of Woodland - 2023-12 Ariel to Cougar FTTH" u="1"/>
        <s v=" Ziply - WA BAU SSP (Alton)" u="1"/>
        <s v=" Ziply - WA FTTP (Alton)" u="1"/>
        <s v=" Crown Castle - Lake Oswego Splicing" u="1"/>
        <s v=" Reliance Connects - 20241004 Longview Vintage Area FTTP" u="1"/>
        <s v=" PGE - 190th Vault Relocation" u="1"/>
        <s v=" Reliance Connects - 20241005 Ash Valley" u="1"/>
        <s v=" Sprint - Foothill MH Raise" u="1"/>
        <s v=" Crown Castle - Fiber Issues Lake Oswego" u="1"/>
        <s v=" Crown Castle - NW Skyline Blvd" u="1"/>
        <s v=" Trimet - 9499 SW Barber St" u="1"/>
        <s v=" Scio - 35611 Meridian Rd" u="1"/>
        <s v=" City of Wilsonville - Memorial Park Project" u="1"/>
        <s v=" City of Wilsonville - GSK Fiber Connection" u="1"/>
        <s v=" Pioneer - Reconnect 3 Phase 1" u="1"/>
        <s v=" City of Wilsonville - Smart and WES" u="1"/>
        <s v=" Cogent - Foothill Rd Fiber Relocation" u="1"/>
        <s v=" Reliance Connects - Elkton RV Park" u="1"/>
        <s v=" Trimet - OMP Fiber Build" u="1"/>
        <s v=" City of Wilsonville - 5th to Kinsman" u="1"/>
        <s v=" Pioneer - South Beach Fiber Install" u="1"/>
        <s v=" Pioneer - Reconnect 3 Ph 2" u="1"/>
        <s v=" Data Vision - Gervais Splicing" u="1"/>
        <s v=" T-MOBILE Idaho Market" u="1"/>
        <s v=" Star Touch (ID)" u="1"/>
        <s v=" VERIZON IDAHO MARKET (MSA)" u="1"/>
        <s v=" VERIZON OR MOSSER" u="1"/>
        <s v=" VERIZON OR MARKET (MSA)" u="1"/>
        <s v=" Astound OR - Wave Broadband" u="1"/>
        <s v=" VERIZON OR (FISH EDDY)" u="1"/>
        <s v=" VERIZON OR (HANNAH BRIDGE MW)" u="1"/>
        <s v=" T-Mobile Portland Market" u="1"/>
        <s v=" T-Mobile Eastern OR Market" u="1"/>
        <s v=" Vertical Bridge OR" u="1"/>
        <s v=" VERIZON OR SUNDROP" u="1"/>
        <s v=" T-Mobile Seattle Market" u="1"/>
        <s v=" VERIZON WA FEDERAL WAY" u="1"/>
        <s v=" VERIZON SPOKANE MARKET (MSA)" u="1"/>
        <s v=" VERIZON SEATTLE MARKET (MSA)" u="1"/>
        <s v=" American Tower Corporation" u="1"/>
        <s v=" VERIZON SW WA MARKET (MSA)" u="1"/>
        <s v=" Astound WA - Wave Broadband" u="1"/>
        <s v=" Spokane Tribe - Wellpinit Wireless" u="1"/>
        <s v=" T-Mobile Spokane Market" u="1"/>
        <s v=" T-Mobile SW WA Market" u="1"/>
        <s v=" Verizon WA (Continental)" u="1"/>
        <s v=" Crown Castle WA" u="1"/>
        <s v=" CommPro Services, LLC (AL)" u="1"/>
        <s v="  CommPro Services, LLC (FL)" u="1"/>
        <s v=" CommPro Services, LLC (GA)" u="1"/>
        <s v=" CommPro Services, LLC (KY)" u="1"/>
        <s v=" Surf Broadband Solutions (MI Installations)" u="1"/>
        <s v=" CommPro Services, LLC (NC)" u="1"/>
        <s v=" Consolidated Business Svs (Canby dba Directlink Residential)" u="1"/>
        <s v=" CommPro Services, LLC (SC)" u="1"/>
        <s v=" CommPro Services, LLC (TN)" u="1"/>
        <s v=" AT&amp;T - Douglas City Bridge" u="1"/>
        <s v=" Siskiyou Tel - Mugginsville" u="1"/>
        <s v=" Siskiyou Tel - West Horse Creek" u="1"/>
        <s v=" Siskiyou - Remove 264 Vault" u="1"/>
        <s v=" Siskiyou Tel - Rattlesnake" u="1"/>
        <s v=" Wave - Newport FTTH" u="1"/>
        <s v=" Ziply - Springfield-6000917-S1201 FTTP" u="1"/>
        <s v=" Ziply - Softscape Keizer FTTP" u="1"/>
        <s v=" Ziply Softscape FTTP - Keizer 6005282 - H4014" u="1"/>
        <s v=" Ziply - Softscape FTTP - OR MSA" u="1"/>
        <s v=" Ziply - Softscape Sammamish FTTP" u="1"/>
        <s v=" Ziply - BAKRORX1-5518428-H4001" u="1"/>
        <s v=" Ziply - AKRORX1-5518425-H3002" u="1"/>
        <s v=" Lumen - Western WA OSP MSA (2020-2022)" u="1"/>
        <s v=" Lumen - CAFII MSA Extension for Seattle Market" u="1"/>
        <s v=" Lumen - Kahna MSA Extension (FTTH)" u="1"/>
        <s v=" Crown Castle - 2020 Fiber Maintenance and Repair" u="1"/>
        <s v=" Crown Castle - 701 Dexter Ave N Rule 20C" u="1"/>
        <s v=" Lumen - Enterprise MSA Western WA" u="1"/>
        <s v=" Lumen - 2022 GPON BF OVERBUILD-Seattle (FTTH)" u="1"/>
        <s v=" Lumen - 2022-2024 GPON OVERBUILD Seattle (FTTH)" u="1"/>
        <s v=" ZAYO -  Google Tie" u="1"/>
        <s v=" Lumen - 2023LE000081 Fiber Overbuild (FTTH)" u="1"/>
        <s v=" Lumen - 2023 San Juan Islands Consumer" u="1"/>
        <s v=" Lumen - 2023 WA West Consumer" u="1"/>
        <s v=" Sprint - Auburn ECO" u="1"/>
        <s v=" LS Networks - Cran Site 8" u="1"/>
        <s v=" LS Networks - Cran Site 7" u="1"/>
        <s v=" Rainier Asphalt - 515 3rd Ave" u="1"/>
        <s v=" Ziply - Olympia 5521545-2 FTTP" u="1"/>
        <s v=" LS Networks - Cran Site 10" u="1"/>
        <s v=" Lumen - P209365 SVC Drop relocation job" u="1"/>
        <s v=" Ziply - WA FTTP (James)" u="1"/>
        <s v=" LS Networks - Freeway Bore" u="1"/>
        <s v=" LS Networks - Cran 006" u="1"/>
        <s v=" Zayo - Dexter Ave N" u="1"/>
        <s v=" LS Networks - Cran 002" u="1"/>
        <s v=" LS Networks - Cran 011" u="1"/>
        <s v=" Ziply - WA BAU SSP (James)" u="1"/>
        <s v=" LS Networks - 1741 Harrison Ave" u="1"/>
        <s v=" LS Networks - USCC Centralia Alder Street Conduit" u="1"/>
        <s v=" Ziply - Hwy 530 Arlington 5513143 (FTTP PW)" u="1"/>
        <s v=" Ziply - Softscape FTTP - West WA MSA" u="1"/>
        <s v=" Astound - Furnish and Install 6 inch class 3 wood pole and r" u="1"/>
        <s v=" Lumen - WA Enterprise" u="1"/>
        <s v=" Lumen - Western Washington Maintenance" u="1"/>
        <s v=" Verizon Business - Seattle Maintenance" u="1"/>
        <s v=" Ziply - Great Falls Build (FTTP)" u="1"/>
        <s v=" Hood Canal Tel - Northern Hood Canal Fiber Extension" u="1"/>
        <s v=" Hood Canal Tel - BSR Design" u="1"/>
        <s v=" Hood Canal Tel - Northern Hood Canal Fiber Ext" u="1"/>
        <s v=" Pacific PUD - ITB 2023-2 Fiber" u="1"/>
        <s v=" Pacific PUD - ITB 2023-2 Electrical" u="1"/>
        <s v=" Pacific PUD - ITB 2023-3 Splicing" u="1"/>
        <s v=" Jefferson PUD - Olympic Fiber Build" u="1"/>
        <s v=" Mason County PUD - Seal Rock Joint Bore" u="1"/>
        <s v=" Hood Canal - Brinnon OLT" u="1"/>
        <s v=" Douglas PUD - FOC and Cable Install" u="1"/>
        <s v=" Ziply - WA Eastern FTTP (Josh)" u="1"/>
        <s v=" Ziply - WA BAU SSP (Josh)" u="1"/>
        <s v=" LS Networks - CRAN 004" u="1"/>
        <s v=" LS Networks - CRAN 12" u="1"/>
        <s v=" LS Networks - CRAN 037" u="1"/>
        <s v=" IIG -  PO 2464 South River Malaga" u="1"/>
        <s v=" Grant PUD - Fiber Optic Design &amp; Construction" u="1"/>
        <s v=" Lumen - 2022-2025 2022LE000195 (Consumer)" u="1"/>
        <s v=" Lumen - 2022LE000008 Idaho" u="1"/>
        <s v=" Cogent - Cocolalla Bridge 16" u="1"/>
        <s v=" Cogent - Cocolalla Bridge 20" u="1"/>
        <s v=" Ziply - ID FTTP (Rob)" u="1"/>
        <s v=" C-Canal Bridge AT&amp;T" u="1"/>
        <s v=" Cogent - Hutter Rd &amp; Seltice Wy" u="1"/>
        <s v=" AT&amp;T - Billings CO Billing" u="1"/>
        <s v=" Ziply - MT FTTP (Rob)" u="1"/>
        <s v=" AT&amp;T - Cyr Bridge" u="1"/>
        <s v=" Lumen - 2022 GPON BF OVERBUILD Spokane (FTTH)" u="1"/>
        <s v=" Lumen - Enterprise MSA Eastern WA" u="1"/>
        <s v=" Lumen - Consumer NE WA (2022-25)" u="1"/>
        <s v=" Lumen - 2023LE000081 Fiber Overbuild Spokane (FTTH)" u="1"/>
        <s v=" DOC - Telephone Conduit Move and Replace" u="1"/>
        <s v=" AT&amp;T - Spokane ECO" u="1"/>
        <s v=" IIG - Quincy ADSS Aerial Work Restoration" u="1"/>
        <s v=" IIG - Soap Lake Rd 20 - 2383" u="1"/>
        <s v=" Ziply - Cheney Bid" u="1"/>
        <s v=" Directlink - Water Treatment Bore" u="1"/>
        <s v=" Pioneer - Reconnect 3" u="1"/>
        <s v=" Ziply Softscape FTTP - Oregon 1450" u="1"/>
        <s v=" Ubiquity Services, LLC (MT)" u="1"/>
        <s v=" DirectLink - Haines Rd Hwy 99E Ph I" u="1"/>
        <s v=" Google Fiber MDU TX" u="1"/>
        <s v=" City of Sherwood - SW Boberg Rd" u="1"/>
        <s v=" City of Sherwood - SW Scholls Ferry Rd" u="1"/>
        <s v=" Wave - Newport FTTH Engineering" u="1"/>
        <s v=" Zayo - Spurgeon Creek" u="1"/>
        <s v=" Cogent - Pleasant View Rd" u="1"/>
        <s v=" Sprint - Bridge 116" u="1"/>
        <s v=" Sprint - Bridge 76 Relo" u="1"/>
        <s v=" AT&amp;T - 2550 Cable Cut Final Repairs" u="1"/>
        <s v=" Pend Oreille - Ione to Metaline Aerial" u="1"/>
        <s v=" Ezee Fiber Texas (Foxbrick Apts)" u="1"/>
        <s v=" Spokane Tribe - MW WA" u="1"/>
        <s v=" City of Portland - Outer Powell Emergency Fiber Relocation" u="1"/>
        <s v=" Zayo - ECO Eugene" u="1"/>
        <s v=" City of Portland - SW Capitol Hwy" u="1"/>
        <s v=" PGE - Walker Road ADSS Transfers" u="1"/>
        <s v=" PGE - Wild Rose  Cable Relocation" u="1"/>
        <s v=" PGE - Clayfield Recloser" u="1"/>
        <s v=" City of Portland - Maintenance and Repair Services" u="1"/>
        <s v=" City of Vancouver - Aerial Fiber Removal" u="1"/>
        <s v=" Trimet - Jackson to 1900" u="1"/>
        <s v=" Lumen - LE MSA Extension for Seattle Market" u="1"/>
        <s v=" Ziply - Corvallis 5517569-H4027 (FTTH)" u="1"/>
        <s v=" Ziply - Corvallis 5517564-H4022 (FTTH)" u="1"/>
        <s v=" Ziply - OR FTTP (Cody)" u="1"/>
        <s v=" Ziply - OR FTTP SSP (Alton)" u="1"/>
        <s v=" Ziply - OR FTTP (Justin)" u="1"/>
        <s v=" Ziply - Springfield-6000917-S1201" u="1"/>
        <s v=" Ziply - Softscape Keizer" u="1"/>
        <s v=" Align Communications, Inc" u="1"/>
        <s v=" T-Mobile SW WA" u="1"/>
        <s v=" Globenet USA Telecommunications WA" u="1"/>
        <s v=" VERIZON BUTCH" u="1"/>
        <s v=" Verizon WA (Hoogdal)" u="1"/>
        <s v=" Ziply - Olympia 5521545-2 (FTTH)" u="1"/>
        <s v=" Ziply Softscape Sammamish" u="1"/>
        <s v=" Ziply - Hwy 530 Arlington 5513143 (FTTH PW)" u="1"/>
        <s v=" Ziply - Eastern WA FTTP (Josh)" u="1"/>
        <s v=" Ziply - WA SSP (Josh)" u="1"/>
        <s v=" Ziply - OR FTTP SSP (Cody)" u="1"/>
        <s v=" Ziply - OR FTTP SSP (Justin)" u="1"/>
        <s v=" VERIZON WA TANK FARM" u="1"/>
        <s v=" Ziply - WA FTTP SSP (James)" u="1"/>
        <s v=" Ziply - Eastern WA FTTP SSP (Josh)" u="1"/>
        <s v=" Ziply - ID FTTP SSP (Rob)" u="1"/>
        <s v=" Reliance Connect - Elkton RV Park" u="1"/>
        <s v=" City of Sherwood - FTTH Construction Project 10a" u="1"/>
        <s v=" PGE - Rose Quarter Improvement Services" u="1"/>
        <s v=" Wave - SW cluster" u="1"/>
        <s v=" Ziply - OR FTTP SSP (FTTH)" u="1"/>
        <s v=" Google Fiber, Inc" u="1"/>
        <s v=" Ziply - OR FTTP (Alton)" u="1"/>
        <s v=" VERIZON WA WHISPERING FIRS" u="1"/>
        <s v=" Ziply - WA FTTP SSP (FTTH)" u="1"/>
        <s v=" Ziply - Eastern WA FTTP SSP (FTTH)" u="1"/>
        <s v=" NoaNet Wireless - John Day" u="1"/>
        <s v="  NoaNet Wireless - Maryhill" u="1"/>
        <s v=" CommPro Services, LLC (LA)" u="1"/>
        <s v=" AT&amp;T - Swedish Edmonds Campus" u="1"/>
        <s v=" Verizon - King County Pole TX and Clean Up" u="1"/>
        <s v=" Port of Skagit - Farm to Market Install Project" u="1"/>
        <s v=" Ziply - Eastern WA FTTP" u="1"/>
        <s v=" City of Sherwood - Elem and King City Engineering" u="1"/>
        <s v=" Wave - West Portland Group" u="1"/>
        <s v=" City of Sherwood - Fiber Drop Splicing" u="1"/>
        <s v=" City of Sherwood - Hourly Fiber Splicing" u="1"/>
        <s v=" City of Sherwood - ARPA Expansion" u="1"/>
        <s v=" Trimet - PSQ 6th" u="1"/>
        <s v=" City of Sherwood - Wilsonville permitting" u="1"/>
        <s v=" City of Wilsonville - Fiber Vault Audit" u="1"/>
        <s v=" Ubiquity Services, LLC (WA MSA)" u="1"/>
        <s v=" T-MOBILE Eastern OR" u="1"/>
        <s v=" AT&amp;T Mobility Maintenance (WA)" u="1"/>
        <s v=" Ubiquity Services, LLC (WA)" u="1"/>
        <s v=" Surf Broadband Solution (IL Installations)" u="1"/>
        <s v=" Surf Broadband Solutions (IN Installations)" u="1"/>
        <s v=" Ziply - Great Falls MT Build" u="1"/>
        <s v=" AT&amp;T - One Touch Transfers" u="1"/>
        <s v=" PGE - Reedville to Huber Substation" u="1"/>
        <s v=" PGE - 124th Conduit Relocation" u="1"/>
        <s v=" Ziply - Springfield-5518350-H3208" u="1"/>
        <s v=" Ziply - Springfield Work Orders" u="1"/>
        <s v=" PGE - TSR Ph2 Poles" u="1"/>
        <s v=" Ziply - Corvallis 5517569-H4027" u="1"/>
        <s v=" Qlife - 2018 Splicing and Aerial Maintenance" u="1"/>
        <s v=" Clark PUD - Burton to Burnt Bridge Fiber" u="1"/>
        <s v=" Clark PUD-CATV Removal" u="1"/>
        <s v=" Clark PUD - Clark to Pioneer" u="1"/>
        <s v=" Ziply - Metro OR Block 2021-2022 (FTTH)" u="1"/>
        <s v=" Pioneer - South Shore" u="1"/>
        <s v=" Crown Castle - Portland NW" u="1"/>
        <s v=" McMenamins - Grand Lodge Additonal POS Locations" u="1"/>
        <s v=" Reliance Connect - 20241004 Longview Vintage Area FTTP" u="1"/>
        <s v=" City of Wilsonville - Fiber Case Audit" u="1"/>
        <s v=" Pioneer - Philomath Fiber Build" u="1"/>
        <s v=" Wave - 59th St South Shore" u="1"/>
        <s v=" GSU - Ponderosa Support" u="1"/>
        <s v=" Ziply - Olympia 5521545-2" u="1"/>
        <s v=" Ziply - RDMV I405 and 132ND MHs CONDUIT" u="1"/>
        <s v=" Mason County - Additional Conduit Install" u="1"/>
        <s v=" Mason County PUD - Love Rd Creek Bore" u="1"/>
        <s v=" AT&amp;T Mobility Maintenance (ID)" u="1"/>
        <s v=" AT&amp;T Mobility Maintenance (OR)" u="1"/>
        <s v=" Crown Castle - Oregon" u="1"/>
        <s v=" Charter Communications (OR)" u="1"/>
        <s v=" T-MOBILE SP01581A" u="1"/>
        <s v=" VERIZON WA LUNA GULCH" u="1"/>
        <s v=" DirectLink - Haines Rd Ph II" u="1"/>
        <s v=" VERIZON OR SHUTE" u="1"/>
        <s v=" VERIZON OR POR PDX" u="1"/>
        <s v=" StarTouch" u="1"/>
        <s v=" PGE - Pleasant Valley to Gresham" u="1"/>
        <s v=" PGE - Huber to St Marys" u="1"/>
        <s v=" PGE - Gerda-Tualatin-Sherwood" u="1"/>
        <s v=" PGE - Fiber Relocate 158th &amp; Walker" u="1"/>
        <s v=" BAIC - Hillsboro Fiber" u="1"/>
        <s v=" PGE - Murry Hill Link Services" u="1"/>
        <s v=" City of Portland - PT5199376" u="1"/>
        <s v=" PGE - Boones Ferry Sidewalk Relocate" u="1"/>
        <s v=" PGE - ADSS Fiber Project TSR 124th" u="1"/>
        <s v=" City of Oregon City - Fiber Transfer" u="1"/>
        <s v=" Crown Castle - LO 15 Project" u="1"/>
        <s v=" BCT - Kirk and Mueller Rd" u="1"/>
        <s v=" PGE - TSR Fiber Damage" u="1"/>
        <s v=" TexStar - Wilsonville Support" u="1"/>
        <s v=" Ziply - BAU Metro West" u="1"/>
        <s v=" Zayo - Multnomah ESD" u="1"/>
        <s v=" Ziply - BAU WA" u="1"/>
        <s v=" AT&amp;T - SW 72nd and Baylor" u="1"/>
        <s v=" PGE - Red Prairie Solar" u="1"/>
        <s v=" Sprint - Medford Foothill Rd" u="1"/>
        <s v=" Sprint - Delta Waters to Dry Creek" u="1"/>
        <s v=" Wave - SE Prescott St Maywood" u="1"/>
        <s v=" Sprint - ECO in Carlton OR" u="1"/>
        <s v=" Sprint - Foothill Rd 3" u="1"/>
        <s v=" Trimet - Gateway Fiber Repair" u="1"/>
        <s v=" Sprint - Lafayette Fiber Cut" u="1"/>
        <s v=" GSU - Lumen Sacramento to Napa Junction Fiber - Sonomoa" u="1"/>
        <s v=" Lumen - Boonville Support" u="1"/>
        <s v=" 2023LE00080- Fiber Overbuild" u="1"/>
        <s v=" Ziply - BAU South" u="1"/>
        <s v=" Ziply - South OR Block 2021-2022 (FTTH)" u="1"/>
        <s v=" Lumen - NAT OSP 2018 SEAPOR WA" u="1"/>
        <s v=" AT&amp;T - Grouse Rd Ph1" u="1"/>
        <s v=" Verizon - NE 40th Relo" u="1"/>
        <s v=" Zayo - R200 DRLE  Relo" u="1"/>
        <s v=" Verizon - Redmond Ridge Roundabout" u="1"/>
        <s v=" GSU - FTR FTTH Elk Grove &amp; Manteca" u="1"/>
        <s v=" AT&amp;T - Helena to Billings PCI" u="1"/>
        <s v=" Pend Oreille - Emergency Call out 2023" u="1"/>
        <s v=" DirectLink - Haines Rd Hwy 99E FTTH" u="1"/>
        <s v=" Oregon Tel - Seneca to John Day SW" u="1"/>
        <s v=" Oregon Tel - Seneca to John Day Phase 3" u="1"/>
        <s v=" Matton Utility - Colton Fiber Install" u="1"/>
        <s v=" Linda Workman - Dutch Vista Bore" u="1"/>
        <s v=" Ziply - BAU Metro East" u="1"/>
        <s v=" Ziply - CAFII Metro" u="1"/>
        <s v=" Ziply - CAFII South" u="1"/>
        <s v=" Ziply - OR Metro Block (FTTH)" u="1"/>
        <s v=" Ziply - CAFII WA" u="1"/>
        <s v=" Ubiquity Services, LLC" u="1"/>
        <s v=" Kuni BMW - Tigard BMW" u="1"/>
        <s v=" Ziply - OR South Block (FTTH)" u="1"/>
        <s v=" Ziply - Tri-Cities WA Block (FTTH)" u="1"/>
        <s v=" Ziply - ID Block (FTTH)" u="1"/>
        <s v=" Ziply - BAU Idaho" u="1"/>
        <s v=" Ziply - ID Block 2021-2022 (FTTH)" u="1"/>
        <s v=" RTI - Deadend Triangle Rd" u="1"/>
        <s v=" Trimet - 5th  and Morrison" u="1"/>
        <s v=" NW Natural Gas" u="1"/>
        <s v=" VERIZON OR NORTH LAKESIDE" u="1"/>
        <s v=" T-MOBILE SP01533A" u="1"/>
        <s v=" VERIZON WA TRI GW" u="1"/>
        <s v=" Surf Broadband Solutions (IL)" u="1"/>
        <s v=" Surf Broadband Solutions (IN)" u="1"/>
        <s v=" CommPro Services, LLC (MS)" u="1"/>
        <s v=" Wave - BNSF Bingen" u="1"/>
        <s v=" Ziply - NESC Metro" u="1"/>
        <s v=" Ziply - Northern ID Block 2021-2022 (FTTH)" u="1"/>
        <s v=" GSU - FTR FTTH Novato" u="1"/>
        <s v=" Ziply - Eastern OR Block 2021-2022 (FTTH)" u="1"/>
        <s v=" Verizon - SW 16th Relo and Repair" u="1"/>
        <s v=" Ziply - CAFII North" u="1"/>
        <s v=" Ziply - Western WA Block 2021-2022 (FTTH)" u="1"/>
        <s v=" Ziply - Western WA MDU (FTTH)" u="1"/>
        <s v=" Ziply - 1000 Denny Way" u="1"/>
        <s v=" PGE-Gerda-Tualatin-Sherwood" u="1"/>
        <s v=" AT&amp;T Mobility (Maintenance)" u="1"/>
        <s v=" VERIZON OR MARKET" u="1"/>
        <s v=" VERIZON WA BRE MELINE" u="1"/>
        <s v=" VERIZON SW WA MARKET" u="1"/>
        <s v=" Spokane Tribe of Indians" u="1"/>
        <s v=" VERIZON OR MAINTENANCE" u="1"/>
        <s v=" Ziply - BAU Metro Joint Use" u="1"/>
        <s v=" Ziply - NESC South" u="1"/>
        <s v=" Ziply - BAU South Joint Use" u="1"/>
        <s v=" T-MOBILE SP01388B" u="1"/>
        <s v=" NoaNet Wireless" u="1"/>
        <s v=" GSU - Selma Support" u="1"/>
        <s v=" VERIZON OR COMBS FLAT" u="1"/>
        <s v=" VERIZON OR EMPIRE" u="1"/>
        <s v=" Dish Purchasing Corporation (WA)" u="1"/>
        <s v=" Ziply - Eastern OR Block (FTTH)" u="1"/>
        <s v=" Ziply - Western WA Block (FTTH)" u="1"/>
        <s v=" Ziply - Tri Cities WA Block 2021-2022 (FTTH)" u="1"/>
        <s v=" Ziply - BAU Tri-Cities" u="1"/>
        <s v=" Sprint - Spokane and Moses Lake Fiber Repair" u="1"/>
        <s v=" City of Portland - 2017 Splicing Maintenance" u="1"/>
        <s v=" Clark County PUD - Small Works Project" u="1"/>
        <s v=" TriMet-Argyle Interstate" u="1"/>
        <s v=" Intermax Networks" u="1"/>
        <s v=" Crown Castle OR" u="1"/>
        <s v=" VERIZON WA TAC DREXLER" u="1"/>
        <s v=" VERIZON WA WOOD GULCH" u="1"/>
        <s v=" VERIZON WA FOURTH PLAIN" u="1"/>
        <s v=" Lumen- 2023 WA West Consumer" u="1"/>
        <s v=" ZAYO - HH Lid Replacement" u="1"/>
        <s v=" Quest Technology - Brookdale Foundation House" u="1"/>
        <s v=" Lumen -  2022-2025 2022LE000195 (Consumer)" u="1"/>
        <s v=" Sprint - Flora and Trent" u="1"/>
        <s v=" DirectLink - Whiskey Hill (RURFIB)" u="1"/>
        <s v=" VERIZON OR SUNNYSIDE" u="1"/>
        <s v=" Directlink - Central Canby Phase 4" u="1"/>
        <s v=" DirectLink - Gervais Hwy Ped Removals" u="1"/>
        <s v=" Oregon Tel - Mega Load Move" u="1"/>
        <s v=" Myers Electric - Zenith Terminal Tags and Transfer" u="1"/>
        <s v=" City of Oregon City - 478 Hilda Pole Transfer" u="1"/>
        <s v=" PGE - TCC Fiber Vault Replacement" u="1"/>
        <s v=" OFS Fitel Services International, LLC (NC Greenfields)" u="1"/>
        <s v=" NW Natural Gas (OR)" u="1"/>
        <s v=" VERIZON OR SUNRIVER" u="1"/>
        <s v=" T-MOBILE SP01507D" u="1"/>
        <s v=" AT&amp;T - Missoula PCI" u="1"/>
        <s v=" AT&amp;T - 1 N Center Ct" u="1"/>
        <s v=" Pioneer - Waldport FTTH" u="1"/>
        <s v=" TriMet - Additional Fiber splicing Multiple Locations" u="1"/>
        <s v=" Clackamas County - Oak Creek Fiber Splicing" u="1"/>
        <s v=" AT&amp;T - Promontory Utah" u="1"/>
        <s v=" AT&amp;T - Rockcreek Rd Tone Loss" u="1"/>
        <s v=" Sprint - BNSF Bridge No 51 ECO" u="1"/>
        <s v=" AT&amp;T - Forsyth MT" u="1"/>
        <s v=" AT&amp;T - Helena HH Dig up" u="1"/>
        <s v=" Fiber Relocate - 158th &amp; Walker" u="1"/>
        <s v=" VERIZON OR CAMPUS" u="1"/>
        <s v=" VERIZON WA CARTWHEEL" u="1"/>
        <s v=" VERIZON WA DEEP CREEK" u="1"/>
        <s v=" VERIZON WA MILL CREEK" u="1"/>
        <s v=" VERIZON OR KRUSE WAY" u="1"/>
        <s v=" Verizon WA LNGQ LCJC" u="1"/>
        <s v=" Oregon Tel - Seneca to John Day Phase 2" u="1"/>
        <s v=" PGE - Cornelius Pass and Evergreen Riser Relocation Project" u="1"/>
        <s v=" Crown Castle - Lake Oswego OTDR Confidence Testing" u="1"/>
        <s v=" PGE - Sheridan Solar Fiber Project" u="1"/>
        <s v=" NW Natural - 2646 SE 9th Ave" u="1"/>
        <s v=" Globenet USA Telecommunications OR" u="1"/>
        <s v=" T-MOBILE SP01524A" u="1"/>
        <s v=" Directlink - Mt Angel Ped Removal" u="1"/>
        <s v=" DirectLink - Holly Birch Ped Removals" u="1"/>
        <s v=" Lumen - NAT OSP 2018 SEAPOR OR" u="1"/>
        <s v=" Lumen - Marine Dr ECO" u="1"/>
        <s v=" Lumen - Edgeconnex DF Connection" u="1"/>
        <s v=" OAC - Fiber Splicing MCI Facilities" u="1"/>
        <s v=" OAC - MCI Tracer Wire" u="1"/>
        <s v=" Wave - Parkrose SBHC" u="1"/>
        <s v=" Wave - Martinazzi Repair" u="1"/>
        <s v=" VERIZON OR FIVE MILE BUTTE" u="1"/>
        <s v=" Surf Broadband Solutions" u="1"/>
        <s v=" AT&amp;T - Brookwood Riser Relocate" u="1"/>
        <s v=" PGE - 209th Fiber Relocation Services" u="1"/>
        <s v=" Sprint - Medford POP" u="1"/>
        <s v=" Verizon - 6th and Court F - Dig and Fix" u="1"/>
        <s v=" Verizon - 9th Ave &amp; John St Relo" u="1"/>
        <s v=" Verizon - Failing MH Columbia St" u="1"/>
        <s v=" Sprint - ID Sandpoint BNSF 2nd Track" u="1"/>
        <s v=" Sprint - MT Bozeman Red Wing Siding A3538025" u="1"/>
        <s v=" Lumen - 828 W 30th Ave (FTTH)" u="1"/>
        <s v=" Verizon WA PORW Esther Short" u="1"/>
        <s v=" VERIZON WA HOWARD" u="1"/>
        <s v=" VERIZON WA WALNUT GROVE" u="1"/>
        <s v="" u="1"/>
        <s v=" 8 of  9" u="1"/>
        <s v="VERIZON WA TAC DREXLER" u="1"/>
        <s v="Sprint - E Vilas to Corey" u="1"/>
        <s v=" Sprint - E Vilas to Corey" u="1"/>
        <s v="CommPro Services, LLC (MS)" u="1"/>
        <s v="Ziply - Western WA MDU (FTTH)" u="1"/>
        <s v="Pioneer - Waldport FTTH" u="1"/>
        <s v=" VERIZON WA MOUNTAIN HWY" u="1"/>
        <s v="Globenet USA Telecommunications OR" u="1"/>
        <s v="T-MOBILE SP01524A" u="1"/>
        <s v=" Projects, Indirect" u="1"/>
        <s v="Sprint - Medford POP" u="1"/>
        <s v="ny_job_cost.status_pa} = 'a')" u="1"/>
        <s v="Wave - SE Prescott St Maywood" u="1"/>
        <s v=" Sprint - Moses Lake Fiber Cut" u="1"/>
        <s v="McMenamins - Edgefield Grand Lodge" u="1"/>
        <s v="Lumen - 2022 GPON BF OVERBUILD Spokan" u="1"/>
        <s v=" Consolidated Business Services (Directlink Re" u="1"/>
        <s v="T-MOBILE SP01533A" u="1"/>
        <s v="VERIZON WA WALNUT GROVE" u="1"/>
        <s v="Google Fiber, Inc" u="1"/>
        <s v="Lumen - Enterprise MSA Western WA" u="1"/>
        <s v="Lumen - Western Washington Maintenance" u="1"/>
        <s v=" Lyon, Stewart_x000a__x000d__x000a__x000d__x000a_833677  Fitts, Joshua_x000a__x000d__x000a_1489168 Grant PUD - Fiber Optic Design &amp; Construction" u="1"/>
        <s v=" 2 of  8" u="1"/>
        <s v="NoaNet Wireless" u="1"/>
        <s v="VERIZON OR MAINTENANCE" u="1"/>
        <s v="Dish Purchasing Corporation (ID)" u="1"/>
        <s v="Oregon Tel - Seneca to John Day SW" u="1"/>
        <s v="Status - S-Contract Status - by PM1" u="1"/>
        <s v="Acutal  Gross  Contract  Earned  Actual  Gross" u="1"/>
        <s v="Ziply - CAFII WA" u="1"/>
        <s v="Lumen - NAT OSP 2018 SEAPOR WA" u="1"/>
        <s v="Ziply - ID Block 2021-2022 (FTTH)" u="1"/>
        <s v="Crown Castle - Lake Oswego Splicing" u="1"/>
        <s v="Pend Oreille - Ione to Metaline Aerial" u="1"/>
        <s v=" Skellenger, Jason" u="1"/>
        <s v="VERIZON WA CARTWHEEL" u="1"/>
        <s v="Verizon - 9th Ave &amp; John St Relo" u="1"/>
        <s v="Sprint - MT Bozeman Red Wing Siding A35380" u="1"/>
        <s v=" 4 of  8" u="1"/>
        <s v="Crown Castle (WA)" u="1"/>
        <s v="AT&amp;T Mobility Maintenance (OR)" u="1"/>
        <s v="City of Sherwood - Hourly Fiber Splicing" u="1"/>
        <s v="VERIZON OR CAMPUS" u="1"/>
        <s v="Lumen - 2023LE000081 Fiber Overbuild Spoka" u="1"/>
        <s v="Sprint - Wheeler Rd" u="1"/>
        <s v="y Communications , LLC" u="1"/>
        <s v="Lumen - Edgeconnex DF Connection" u="1"/>
        <s v=" 6 of  8" u="1"/>
        <s v="T-MOBILE Idaho Market" u="1"/>
        <s v="VERIZON WA FEDERAL WAY" u="1"/>
        <s v="Sprint - Delta Waters to Dry Creek" u="1"/>
        <s v="Crown Castle - 701 Dexter Ave N Rule 20C" u="1"/>
        <s v="- To -Date" u="1"/>
        <s v="CommPro Services, LLC (GA)" u="1"/>
        <s v="Sprint - ID Sandpoint BNSF 2nd Track" u="1"/>
        <s v=" Clackamas County - Hwy 211 Molalla Fiber Repair" u="1"/>
        <s v=" 8 of  8" u="1"/>
        <s v="Lumen - Hourly Maintenance" u="1"/>
        <s v="Lumen- 2023 WA West Consumer" u="1"/>
        <s v="Ziply - OR Metro Block (FTTH)" u="1"/>
        <s v="Ziply - OR South Block (FTTH)" u="1"/>
        <s v="AT&amp;T Mobility Maintenance (WA)" u="1"/>
        <s v="NTS Communications MDU_Abilene" u="1"/>
        <s v=" Crown Castle Verizon (WA) Mead" u="1"/>
        <s v="VERIZON OR MADISON" u="1"/>
        <s v="04-24 As of: 5/15/2023" u="1"/>
        <s v="OAC - Fiber Splicing MCI Facilities" u="1"/>
        <s v=" Acutal  Gross  Contract  Earned  Actual  Gross" u="1"/>
        <s v="00-Shop Equipment" u="1"/>
        <s v="BCT - Anchor Set" u="1"/>
        <s v="DirectLink - Whiskey Hill (RURFIB)" u="1"/>
        <s v="Sprint - Medford Foothill Rd" u="1"/>
        <s v="DirectLink - Holly Birch Ped Removals" u="1"/>
        <s v=" Doran, Dennis" u="1"/>
        <s v="iod (Period 04)" u="1"/>
        <s v="OAC - MCI Tracer Wire" u="1"/>
        <s v="Projects, Indirect" u="1"/>
        <s v="Wave - Newport FTTH" u="1"/>
        <s v=" PGE - Clayfield Solar" u="1"/>
        <s v=" CommPro Services, LLC (FL)" u="1"/>
        <s v="Zayo - Spurgeon Creek" u="1"/>
        <s v="Crown Castle - 2020 Fiber Maintenance and R" u="1"/>
        <s v=" Martin, Robert" u="1"/>
        <s v=" VERIZON OR BEAN" u="1"/>
        <s v="GSU - FTR FTTH Elk Grove &amp; Manteca" u="1"/>
        <s v="_x000a_Revenue" u="1"/>
        <s v="AT&amp;T - 1 N Center Ct" u="1"/>
        <s v=" PGE - Waterford Solar" u="1"/>
        <s v="AT&amp;T - Spofford Rd ECO" u="1"/>
        <s v="Surf Broadband Solutions" u="1"/>
        <s v="Lumen - NAT OSP 2018 SEAPOR OR" u="1"/>
        <s v="Ziply - Eastern OR Block 2021-2022 (FTTH)" u="1"/>
        <s v="Ziply - Western WA Block 2021-2022 (FTTH)" u="1"/>
        <s v=" VERIZON SEATTLE MARKET" u="1"/>
        <s v="AT&amp;T Mobility (Maintenance)" u="1"/>
        <s v="Lumen - Marine Dr ECO" u="1"/>
        <s v="NTS Communications, LLC" u="1"/>
        <s v=" T-MOBILE Maintenance" u="1"/>
        <s v=" 3 of  9" u="1"/>
        <s v=" T-MOBILE SP01631A" u="1"/>
        <s v="Wave - Parkrose SBHC" u="1"/>
        <s v="VERIZON WA MOUNTAIN HWY" u="1"/>
        <s v="CommPro Services, LLC (SC)" u="1"/>
        <s v="Data Vision - Gervais Splicing" u="1"/>
        <s v="Molalla - Maintenance Work Orders" u="1"/>
        <s v="T-Mobile SW WA" u="1"/>
        <s v="VERIZON OR KRUSE WAY" u="1"/>
        <s v="AT&amp;T - Rockcreek Rd Tone Loss" u="1"/>
        <s v="Period (Period 04)" u="1"/>
        <s v="ZAYO - ISO-0538262" u="1"/>
        <s v=" 5 of  9" u="1"/>
        <s v="Sprint - Moses Lake Fiber Cut" u="1"/>
        <s v=" Cost  Profit  GP %  Billed  WIP  Value  Revenue  Cost  Profit  GP %" u="1"/>
        <s v=" T-MOBILE SP01264D" u="1"/>
        <s v="Pioneer - Philomath Fiber Build" u="1"/>
        <s v=" -Date" u="1"/>
        <s v="T-Mobile Seattle Market" u="1"/>
        <s v="Verizon - 6th and Court F - Dig and Fix" u="1"/>
        <s v=" 7 of  9" u="1"/>
        <s v=" Oregon Tel - Seneca to John Day" u="1"/>
        <s v=" PGE - Tualatin Sherwood Alley Arms install" u="1"/>
        <s v="T-MOBILE SP01507D" u="1"/>
        <s v=" VERIZON OR MADISON" u="1"/>
        <s v="Crown Castle - OR Emergency Restoration" u="1"/>
        <s v="AT&amp;T - Promontory Utah" u="1"/>
        <s v="T-MOBILE Portland Market" u="1"/>
        <s v="Wave - Newport FTTH Engineering" u="1"/>
        <s v="Grant PUD - Fiber Optic Design &amp; Construction" u="1"/>
        <s v=" 9 of  9" u="1"/>
        <s v=" Status - S-Contract Status - by PM1" u="1"/>
        <s v="City of Portland - 2017 Splicing Maintenance" u="1"/>
        <s v="Younce, Branden" u="1"/>
        <s v="AT&amp;T - One Touch Transfers" u="1"/>
        <s v="Globenet USA Telecommunications WA" u="1"/>
        <s v=" Cornelius Pass and Evergreen Riser Relocation Project" u="1"/>
        <s v="VERIZON OR EMPIRE" u="1"/>
        <s v="DirectLink - Canby Hourly Work" u="1"/>
        <s v=" Patten, Wayne" u="1"/>
        <s v="Shaffer, Nathan" u="1"/>
        <s v="ZAYO - Google Tie" u="1"/>
        <s v="PGE - Waterford Solar" u="1"/>
        <s v="CommPro Services, LLC (AL)" u="1"/>
        <s v="Lumen - 2022LE000008 Idaho" u="1"/>
        <s v="Lumen - LE MSA Extension for Seattle Market" u="1"/>
        <s v="Qlife - 2018 Splicing and Aerial Maintenance" u="1"/>
        <s v="Skellenger, Jason" u="1"/>
        <s v="Ziply - BAU Metro West" u="1"/>
        <s v="NTS Communications MDU Amarillo_Lubbock" u="1"/>
        <s v="Verizon - King County Pole TX and Clean Up" u="1"/>
        <s v=" 3 of  8" u="1"/>
        <s v="T-MOBILE Maintenance" u="1"/>
        <s v="Lumen - 2022-2024 GPON OVERBUILD Seatt" u="1"/>
        <s v="Hood Canal Tel - Northern Hood Canal Fiber E" u="1"/>
        <s v="Palmer, Alton" u="1"/>
        <s v=" Lyon, Stewart" u="1"/>
        <s v=" Newkirk, Orin" u="1"/>
        <s v="Ziply - BAU Metro Joint Use" u="1"/>
        <s v="Ziply - BAU South Joint Use" u="1"/>
        <s v=" Lumen - Big Bass Millington" u="1"/>
        <s v="Lumen - Consumer NE WA (2022-25)" u="1"/>
        <s v=" 5 of  8" u="1"/>
        <s v="Ziply - CAFII North" u="1"/>
        <s v=" Fitts, Joshua" u="1"/>
        <s v="Stayton Telephone" u="1"/>
        <s v="T-MOBILE SP01388B" u="1"/>
        <s v="Ziply - BAU South" u="1"/>
        <s v="Ziply - Tri Cities WA Block 2021-2022 (FTTH)" u="1"/>
        <s v="Martin, Robert" u="1"/>
        <s v="AT&amp;T - Swedish Edmonds Campus" u="1"/>
        <s v="City of Sherwood - FTTH Construction Project" u="1"/>
        <s v=" 7 of  8" u="1"/>
        <s v="OFS Fitel Services International, LLC (NC Gre" u="1"/>
        <s v="Verizon - Failing MH Columbia St" u="1"/>
        <s v="Verizon Business - Seattle Maintenance" u="1"/>
        <s v="Lumen - 2023LE000081 Fiber Overbuild (FTTH" u="1"/>
        <s v="PGE - Tualatin Sherwood Alley Arms install" u="1"/>
        <s v="T-MOBILE SP01264D" u="1"/>
        <s v="Ziply - NESC South" u="1"/>
        <s v="CommPro Services, LLC (TN)" u="1"/>
        <s v="Lumen - 2022-2025 2022LE000195 (Consume" u="1"/>
        <s v="Crown Castle Verizon (WA) Mead" u="1"/>
        <s v="Directlink - Central Canby Phase 4" u="1"/>
        <s v="Forte, James" u="1"/>
        <s v="Newkirk, Orin" u="1"/>
        <s v="Pend Oreille - Emergency Call out 2023" u="1"/>
        <s v="Ziply - Metro OR Block 2021-2022 (FTTH)" u="1"/>
        <s v="Ziply - RDMV I405 and 132ND MHs CONDUIT" u="1"/>
        <s v="Ziply - South OR Block 2021-2022 (FTTH)" u="1"/>
        <s v=" Younce, Branden" u="1"/>
        <s v="00 - Indirect Cost" u="1"/>
        <s v="PGE - Clayfield Solar" u="1"/>
        <s v="Lyon, Stewart" u="1"/>
        <s v="Patten, Wayne" u="1"/>
        <s v="Ziply - BAU Metro East" u="1"/>
        <s v="Verizon WA PORW Esther Short" u="1"/>
        <s v="Lumen - CAFII MSA Extension for Seattle Mark" u="1"/>
        <s v="Lyon, Stewart_x000a__x000d__x000a__x000d__x000a_833677  Fitts, Joshua_x000a__x000d__x000a_1489168 Grant PUD - Fiber Optic Design &amp; Construction" u="1"/>
        <s v="T-MOBILE SP01631A" u="1"/>
        <s v="VERIZON OR FIVE MILE BUTTE" u="1"/>
        <s v="Bochsler, Dustin" u="1"/>
        <s v="Ziply - NESC Metro" u="1"/>
        <s v="VERIZON OR SUNNYSIDE" u="1"/>
        <s v=" VERIZON OR SUNFLOWER" u="1"/>
        <s v="Ziply - 1000 Denny Way" u="1"/>
        <s v="Ziply - ID Block (FTTH)" u="1"/>
        <s v="Oregon Tel - Seneca to John Day Phase 2" u="1"/>
        <s v=" Consolidated Business Services (Directlink Residential)" u="1"/>
        <s v=" Crown Castle Pole Transfers" u="1"/>
        <s v="VERIZON WA HOWARD" u="1"/>
        <s v="of  9" u="1"/>
        <s v="7CS_PM1" u="1"/>
        <s v="Peoples Telephone" u="1"/>
        <s v="GSU - FTR FTTH Novato" u="1"/>
        <s v="VERIZON WA MCGILLIVRAY" u="1"/>
        <s v=" VERIZON WA MCGILLIVRAY" u="1"/>
        <s v="City of Sherwood - Fiber Drop Splicing" u="1"/>
        <s v="Crown Castle OR" u="1"/>
        <s v="Ziply - Eastern OR Block (FTTH)" u="1"/>
        <s v="Ziply - Western WA Block (FTTH)" u="1"/>
        <s v="Misc Income and Expense-9xxxx accts" u="1"/>
        <s v=" 2 of  9" u="1"/>
        <s v="Wave - West Portland Group" u="1"/>
        <s v="Lumen - 828 W 30th Ave (FTTH)" u="1"/>
        <s v="Ziply - Tri-Cities WA Block (FTTH)" u="1"/>
        <s v="Lumen - 2023 San Juan Islands Consumer" u="1"/>
        <s v="Ziply - BAU WA" u="1"/>
        <s v="Lumen - Enterprise MSA Eastern WA" u="1"/>
        <s v=" Bochsler, Dustin" u="1"/>
        <s v=" AT&amp;T - Spofford Rd ECO" u="1"/>
        <s v="Lumen - Kahna MSA Extension (FTTH)" u="1"/>
        <s v="Lumen - 2022 GPON BF OVERBUILD-Seattle" u="1"/>
        <s v="= 'a')" u="1"/>
        <s v=" 4 of  9" u="1"/>
        <s v=" Palmer, Alton" u="1"/>
        <s v=" Shaffer, Nathan" u="1"/>
        <s v="T-MOBILE Spokane Market" u="1"/>
        <s v=" City of Sherwood - Elem and King City Enginee" u="1"/>
        <s v="Doran, Dennis" u="1"/>
        <s v="VERIZON OR BEAN" u="1"/>
        <s v="PGE - 209th Fiber Relocation Services" u="1"/>
        <s v="Clark County PUD - Small Works Project" u="1"/>
        <s v="Fitts, Joshua" u="1"/>
        <s v="Ziply - CAFII Metro" u="1"/>
        <s v=" Sprint - Wheeler Rd" u="1"/>
        <s v="Ziply - BAU Tri-Cities" u="1"/>
        <s v="Oregon Tel - Seneca to John Day" u="1"/>
        <s v=" McMenamins - Edgefield Grand Lodge" u="1"/>
        <s v=" 6 of  9" u="1"/>
        <s v=" Lumen - Make Ready Work Orders OR" u="1"/>
        <s v=" Crown Castle - OR Emergency Restoration" u="1"/>
        <s v=" BCT - Anchor Set" u="1"/>
        <s v="04-24 As of: 5/16/2023" u="1"/>
        <s v="Lumen - Make Ready Work Orders OR" u="1"/>
        <s v="1 Clark County PUD - Small Works Project" u="1"/>
        <s v=" Forte, James" u="1"/>
        <s v="VERIZON OR COMBS FLAT" u="1"/>
        <s v="Sky Communications , LLC" u="1"/>
      </sharedItems>
    </cacheField>
    <cacheField name="Job" numFmtId="0">
      <sharedItems containsBlank="1" containsMixedTypes="1" containsNumber="1" minValue="0" maxValue="15432941"/>
    </cacheField>
    <cacheField name="Earned_x000a_Revenue" numFmtId="0">
      <sharedItems containsBlank="1" containsMixedTypes="1" containsNumber="1" minValue="-83186.2" maxValue="15432941"/>
    </cacheField>
    <cacheField name="Acutal_x000a_Cost" numFmtId="0">
      <sharedItems containsString="0" containsBlank="1" containsNumber="1" minValue="-275558.08" maxValue="768386.06"/>
    </cacheField>
    <cacheField name="Gross_x000a_Profit" numFmtId="0">
      <sharedItems containsString="0" containsBlank="1" containsNumber="1" minValue="-237951.8" maxValue="368537211.39999998"/>
    </cacheField>
    <cacheField name="GP %" numFmtId="0">
      <sharedItems containsString="0" containsBlank="1" containsNumber="1" minValue="-561.37832245742504" maxValue="411235159.79000002"/>
    </cacheField>
    <cacheField name="Billed" numFmtId="0">
      <sharedItems containsString="0" containsBlank="1" containsNumber="1" minValue="-9.3132257461547902E-12" maxValue="173895961.63"/>
    </cacheField>
    <cacheField name="WIP" numFmtId="0">
      <sharedItems containsString="0" containsBlank="1" containsNumber="1" minValue="-29004067.5" maxValue="18370123.84"/>
    </cacheField>
    <cacheField name="Contract_x000a_Value" numFmtId="0">
      <sharedItems containsString="0" containsBlank="1" containsNumber="1" minValue="-12.5013841627537" maxValue="15432941"/>
    </cacheField>
    <cacheField name="JTD Earned Rev" numFmtId="0">
      <sharedItems containsString="0" containsBlank="1" containsNumber="1" minValue="-444.47347728784899" maxValue="91439945.269999996"/>
    </cacheField>
    <cacheField name="Actual_x000a_Cost2" numFmtId="0">
      <sharedItems containsString="0" containsBlank="1" containsNumber="1" minValue="-159.91" maxValue="388507303.97000003"/>
    </cacheField>
    <cacheField name="JTD Gross Profit" numFmtId="0">
      <sharedItems containsString="0" containsBlank="1" containsNumber="1" minValue="-29004067.5" maxValue="160560354.61000001"/>
    </cacheField>
    <cacheField name="JTD GP %" numFmtId="0">
      <sharedItems containsString="0" containsBlank="1" containsNumber="1" minValue="-64346.239600665598" maxValue="64.399078478002394"/>
    </cacheField>
    <cacheField name="CV" numFmtId="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1">
  <r>
    <x v="0"/>
    <x v="0"/>
    <s v="000000"/>
    <s v="Projects, Indirect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"/>
    <x v="1"/>
    <s v="00INDOH  00 - Indirect Cost"/>
    <n v="0"/>
    <n v="149991.51999999999"/>
    <n v="-149991.51999999999"/>
    <n v="0"/>
    <n v="45075"/>
    <n v="0"/>
    <n v="0"/>
    <n v="45075"/>
    <n v="29049142.5"/>
    <n v="-29004067.5"/>
    <n v="-64346.239600665598"/>
    <m/>
  </r>
  <r>
    <x v="0"/>
    <x v="0"/>
    <s v="000000"/>
    <s v="Projects, Indirect"/>
    <n v="0"/>
    <n v="-149991.51999999999"/>
    <n v="45075"/>
    <n v="45075"/>
    <n v="-29004067.5"/>
    <n v="149991.51999999999"/>
    <n v="0"/>
    <n v="0"/>
    <n v="29049142.5"/>
    <n v="-64346.239600665598"/>
    <m/>
  </r>
  <r>
    <x v="0"/>
    <x v="0"/>
    <s v="070932"/>
    <s v="Bauer, Cody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"/>
    <x v="2"/>
    <s v="1384161  BCT-Hourly Maintenance"/>
    <n v="0"/>
    <n v="0"/>
    <n v="0"/>
    <n v="0"/>
    <n v="129401.58"/>
    <n v="0"/>
    <n v="0"/>
    <n v="129401.58"/>
    <n v="97445.47"/>
    <n v="31956.11"/>
    <n v="24.6953012474808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"/>
    <x v="3"/>
    <s v="1385127  City of Portland-Splicing Maintenance 31"/>
    <n v="0"/>
    <n v="0"/>
    <n v="0"/>
    <n v="0"/>
    <n v="17811.5"/>
    <n v="1335"/>
    <n v="0"/>
    <n v="19146.5"/>
    <n v="14912.88"/>
    <n v="4233.62"/>
    <n v="22.1117175462878"/>
    <m/>
  </r>
  <r>
    <x v="0"/>
    <x v="0"/>
    <m/>
    <m/>
    <m/>
    <m/>
    <m/>
    <m/>
    <m/>
    <m/>
    <m/>
    <m/>
    <m/>
    <m/>
    <m/>
  </r>
  <r>
    <x v="0"/>
    <x v="0"/>
    <n v="20000"/>
    <n v="2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"/>
    <x v="4"/>
    <s v="1385130  QLife-2024 Splicing and Aerial Maintenan"/>
    <n v="2572.5"/>
    <n v="2056.88"/>
    <n v="515.62"/>
    <n v="20.043537414966"/>
    <n v="44536.5"/>
    <n v="10053.75"/>
    <n v="20000"/>
    <n v="54590.25"/>
    <n v="48994.18"/>
    <n v="5596.07"/>
    <n v="10.2510429976049"/>
    <m/>
  </r>
  <r>
    <x v="0"/>
    <x v="0"/>
    <m/>
    <m/>
    <m/>
    <m/>
    <m/>
    <m/>
    <m/>
    <m/>
    <m/>
    <m/>
    <m/>
    <m/>
    <m/>
  </r>
  <r>
    <x v="0"/>
    <x v="0"/>
    <n v="278519"/>
    <n v="278519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"/>
    <x v="5"/>
    <s v="1385165  Ziply-Corvallis 5517569-H4027 (FTTH)"/>
    <n v="0"/>
    <n v="0"/>
    <n v="0"/>
    <n v="0"/>
    <n v="-2.3283064365387E-12"/>
    <n v="295741.93"/>
    <n v="278519"/>
    <n v="295741.93"/>
    <n v="228171.2"/>
    <n v="67570.73"/>
    <n v="22.847869424535102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"/>
    <x v="6"/>
    <s v="1385167  City of Portland-Aerial Maint &amp; Repair"/>
    <n v="0"/>
    <n v="0"/>
    <n v="0"/>
    <n v="0"/>
    <n v="14847.12"/>
    <n v="12675.57"/>
    <n v="0"/>
    <n v="27522.69"/>
    <n v="20083.55"/>
    <n v="7439.14"/>
    <n v="27.029116703345501"/>
    <m/>
  </r>
  <r>
    <x v="0"/>
    <x v="0"/>
    <m/>
    <m/>
    <m/>
    <m/>
    <m/>
    <m/>
    <m/>
    <m/>
    <m/>
    <m/>
    <m/>
    <m/>
    <m/>
  </r>
  <r>
    <x v="0"/>
    <x v="0"/>
    <n v="210312"/>
    <n v="210312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"/>
    <x v="7"/>
    <s v="1385169  Ziply-Corvallis 5517564-H4022 (FTTH)"/>
    <n v="0"/>
    <n v="0"/>
    <n v="0"/>
    <n v="0"/>
    <n v="168249.27"/>
    <n v="42063"/>
    <n v="210312"/>
    <n v="210312.27"/>
    <n v="172477.87"/>
    <n v="37834.400000000001"/>
    <n v="17.9896303720178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"/>
    <x v="8"/>
    <s v="1385175  Ziply - OR FTTP MSA (Cody)"/>
    <n v="121332.15"/>
    <n v="101540.7"/>
    <n v="19791.45"/>
    <n v="16.311793700185799"/>
    <n v="1113793.2"/>
    <n v="2581441.12"/>
    <n v="0"/>
    <n v="3695234.32"/>
    <n v="3194969.18"/>
    <n v="500265.14"/>
    <n v="13.538116846674001"/>
    <m/>
  </r>
  <r>
    <x v="0"/>
    <x v="0"/>
    <m/>
    <m/>
    <m/>
    <m/>
    <m/>
    <m/>
    <m/>
    <m/>
    <m/>
    <m/>
    <m/>
    <m/>
    <m/>
  </r>
  <r>
    <x v="0"/>
    <x v="0"/>
    <n v="394634"/>
    <n v="394634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"/>
    <x v="9"/>
    <s v="1385183  PGE-Tektronix Fiber Project"/>
    <n v="0"/>
    <n v="370.81"/>
    <n v="-370.81"/>
    <n v="0"/>
    <n v="394634"/>
    <n v="0"/>
    <n v="394634"/>
    <n v="394634"/>
    <n v="356274.91"/>
    <n v="38359.089999999997"/>
    <n v="9.7201685612491602"/>
    <m/>
  </r>
  <r>
    <x v="0"/>
    <x v="0"/>
    <m/>
    <m/>
    <m/>
    <m/>
    <m/>
    <m/>
    <m/>
    <m/>
    <m/>
    <m/>
    <m/>
    <m/>
    <m/>
  </r>
  <r>
    <x v="0"/>
    <x v="0"/>
    <n v="2491900"/>
    <n v="24919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"/>
    <x v="10"/>
    <s v="1385256  Clackamas County-Marmot Road"/>
    <n v="0"/>
    <n v="0"/>
    <n v="0"/>
    <n v="0"/>
    <n v="0"/>
    <n v="0"/>
    <n v="2491900"/>
    <n v="0"/>
    <n v="0.01"/>
    <n v="-0.01"/>
    <n v="0"/>
    <m/>
  </r>
  <r>
    <x v="0"/>
    <x v="0"/>
    <m/>
    <m/>
    <m/>
    <m/>
    <m/>
    <m/>
    <m/>
    <m/>
    <m/>
    <m/>
    <m/>
    <m/>
    <m/>
  </r>
  <r>
    <x v="0"/>
    <x v="0"/>
    <n v="35542"/>
    <n v="35542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"/>
    <x v="11"/>
    <s v="1385259  PGE-SW Arrow Street"/>
    <n v="0"/>
    <n v="0"/>
    <n v="0"/>
    <n v="0"/>
    <n v="35542"/>
    <n v="0"/>
    <n v="35542"/>
    <n v="35542"/>
    <n v="22942.34"/>
    <n v="12599.66"/>
    <n v="35.450059085026197"/>
    <m/>
  </r>
  <r>
    <x v="0"/>
    <x v="0"/>
    <m/>
    <m/>
    <m/>
    <m/>
    <m/>
    <m/>
    <m/>
    <m/>
    <m/>
    <m/>
    <m/>
    <m/>
    <m/>
  </r>
  <r>
    <x v="0"/>
    <x v="0"/>
    <n v="4650"/>
    <n v="465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"/>
    <x v="12"/>
    <s v="1386102  PGE - Lents Substation"/>
    <n v="0"/>
    <n v="0"/>
    <n v="0"/>
    <n v="0"/>
    <n v="0"/>
    <n v="0"/>
    <n v="4650"/>
    <n v="0"/>
    <n v="504.22"/>
    <n v="-504.22"/>
    <n v="0"/>
    <m/>
  </r>
  <r>
    <x v="0"/>
    <x v="0"/>
    <m/>
    <m/>
    <m/>
    <m/>
    <m/>
    <m/>
    <m/>
    <m/>
    <m/>
    <m/>
    <m/>
    <m/>
    <m/>
  </r>
  <r>
    <x v="0"/>
    <x v="0"/>
    <n v="12056"/>
    <n v="1205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"/>
    <x v="13"/>
    <s v="1386103  PGE - Glencoe Substation"/>
    <n v="0"/>
    <n v="0"/>
    <n v="0"/>
    <n v="0"/>
    <n v="0"/>
    <n v="12056"/>
    <n v="12056"/>
    <n v="12056"/>
    <n v="10555.28"/>
    <n v="1500.72"/>
    <n v="12.447909754479101"/>
    <m/>
  </r>
  <r>
    <x v="0"/>
    <x v="0"/>
    <m/>
    <m/>
    <m/>
    <m/>
    <m/>
    <m/>
    <m/>
    <m/>
    <m/>
    <m/>
    <m/>
    <m/>
    <m/>
  </r>
  <r>
    <x v="0"/>
    <x v="0"/>
    <n v="22750"/>
    <n v="2275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"/>
    <x v="14"/>
    <s v="1386105  PGE - Glenoveer Substation"/>
    <n v="0"/>
    <n v="0"/>
    <n v="0"/>
    <n v="0"/>
    <n v="0"/>
    <n v="16008"/>
    <n v="22750"/>
    <n v="16008"/>
    <n v="13019.65"/>
    <n v="2988.35"/>
    <n v="18.667853573213399"/>
    <m/>
  </r>
  <r>
    <x v="0"/>
    <x v="0"/>
    <m/>
    <m/>
    <m/>
    <m/>
    <m/>
    <m/>
    <m/>
    <m/>
    <m/>
    <m/>
    <m/>
    <m/>
    <m/>
  </r>
  <r>
    <x v="0"/>
    <x v="0"/>
    <n v="5776.2"/>
    <n v="5776.2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"/>
    <x v="15"/>
    <s v="1386107  Trimet - Green Line Splicing"/>
    <n v="0"/>
    <n v="0"/>
    <n v="0"/>
    <n v="0"/>
    <n v="0"/>
    <n v="11151.28"/>
    <n v="5776.2"/>
    <n v="11151.28"/>
    <n v="7713.37"/>
    <n v="3437.91"/>
    <n v="30.829734344398101"/>
    <m/>
  </r>
  <r>
    <x v="0"/>
    <x v="0"/>
    <m/>
    <m/>
    <m/>
    <m/>
    <m/>
    <m/>
    <m/>
    <m/>
    <m/>
    <m/>
    <m/>
    <m/>
    <m/>
  </r>
  <r>
    <x v="0"/>
    <x v="0"/>
    <n v="3014"/>
    <n v="3014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6"/>
    <x v="16"/>
    <s v="1386111  BCT - 23162 S Bluhm Rd"/>
    <n v="0"/>
    <n v="0"/>
    <n v="0"/>
    <n v="0"/>
    <n v="0"/>
    <n v="3014"/>
    <n v="3014"/>
    <n v="3014"/>
    <n v="2242.73"/>
    <n v="771.27"/>
    <n v="25.589581950895798"/>
    <m/>
  </r>
  <r>
    <x v="0"/>
    <x v="0"/>
    <m/>
    <m/>
    <m/>
    <m/>
    <m/>
    <m/>
    <m/>
    <m/>
    <m/>
    <m/>
    <m/>
    <m/>
    <m/>
  </r>
  <r>
    <x v="0"/>
    <x v="0"/>
    <n v="3861"/>
    <n v="3861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7"/>
    <x v="17"/>
    <s v="1386112  Clackamas County - Boeckman Rd Splicing"/>
    <n v="0"/>
    <n v="0"/>
    <n v="0"/>
    <n v="0"/>
    <n v="0"/>
    <n v="3861"/>
    <n v="3861"/>
    <n v="3861"/>
    <n v="3513.92"/>
    <n v="347.08"/>
    <n v="8.9893809893809902"/>
    <m/>
  </r>
  <r>
    <x v="0"/>
    <x v="0"/>
    <m/>
    <m/>
    <m/>
    <m/>
    <m/>
    <m/>
    <m/>
    <m/>
    <m/>
    <m/>
    <m/>
    <m/>
    <m/>
  </r>
  <r>
    <x v="0"/>
    <x v="0"/>
    <n v="30862.51"/>
    <n v="30862.51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8"/>
    <x v="18"/>
    <s v="1386115  PGE - Waconda Fiber Materials"/>
    <n v="0"/>
    <n v="29973.43"/>
    <n v="-29973.43"/>
    <n v="0"/>
    <n v="0"/>
    <n v="0"/>
    <n v="30862.51"/>
    <n v="0"/>
    <n v="29973.43"/>
    <n v="-29973.43"/>
    <n v="0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9"/>
    <x v="19"/>
    <s v="1485205  Ziply - WA FTTP MSA (Cody)"/>
    <n v="0"/>
    <n v="0"/>
    <n v="0"/>
    <n v="0"/>
    <n v="0"/>
    <n v="23629.25"/>
    <n v="0"/>
    <n v="23629.25"/>
    <n v="16663.77"/>
    <n v="6965.48"/>
    <n v="29.4782102690520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0"/>
    <x v="20"/>
    <s v="148704401  Clark PUD-Small Works Project"/>
    <n v="0"/>
    <n v="0"/>
    <n v="0"/>
    <n v="0"/>
    <n v="352150.97"/>
    <n v="8663.07"/>
    <n v="0"/>
    <n v="360814.04"/>
    <n v="247373.53"/>
    <n v="113440.51"/>
    <n v="31.4401595902421"/>
    <m/>
  </r>
  <r>
    <x v="0"/>
    <x v="0"/>
    <s v="070932"/>
    <s v="Bauer, Cody"/>
    <n v="123904.65"/>
    <n v="-10037.17"/>
    <n v="2270966.14"/>
    <n v="5292659.1100000003"/>
    <n v="804827.62"/>
    <n v="133941.82"/>
    <n v="-8.1007209979609307"/>
    <n v="3021692.97"/>
    <n v="4487831.49"/>
    <n v="2.14335568647647"/>
    <m/>
  </r>
  <r>
    <x v="0"/>
    <x v="0"/>
    <s v="070938"/>
    <s v="Bochsler, Dustin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1"/>
    <x v="21"/>
    <s v="1380076  Molalla-Maintenance Work Orders"/>
    <n v="6923.7"/>
    <n v="5448.74"/>
    <n v="1474.96"/>
    <n v="21.303060502332599"/>
    <n v="3955613.29"/>
    <n v="1773.2"/>
    <n v="0"/>
    <n v="3957386.49"/>
    <n v="3071313.04"/>
    <n v="886073.45"/>
    <n v="22.390369306587498"/>
    <m/>
  </r>
  <r>
    <x v="0"/>
    <x v="0"/>
    <m/>
    <m/>
    <m/>
    <m/>
    <m/>
    <m/>
    <m/>
    <m/>
    <m/>
    <m/>
    <m/>
    <m/>
    <m/>
  </r>
  <r>
    <x v="0"/>
    <x v="0"/>
    <n v="1653969"/>
    <n v="1653969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2"/>
    <x v="22"/>
    <s v="1384180  Clear Creek-FTTH P1 Project"/>
    <n v="0"/>
    <n v="0"/>
    <n v="0"/>
    <n v="0"/>
    <n v="1085813.77"/>
    <n v="-5.0874859880423198E-12"/>
    <n v="1653969"/>
    <n v="1085813.77"/>
    <n v="953665.41"/>
    <n v="132148.35999999999"/>
    <n v="12.170444292670901"/>
    <m/>
  </r>
  <r>
    <x v="0"/>
    <x v="0"/>
    <m/>
    <m/>
    <m/>
    <m/>
    <m/>
    <m/>
    <m/>
    <m/>
    <m/>
    <m/>
    <m/>
    <m/>
    <m/>
  </r>
  <r>
    <x v="0"/>
    <x v="0"/>
    <n v="1885898.54"/>
    <n v="1885898.54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3"/>
    <x v="23"/>
    <s v="1385143  Clear Creek-FTTH Phase II"/>
    <n v="3813.95"/>
    <n v="6066.64"/>
    <n v="-2252.69"/>
    <n v="-59.064486949225902"/>
    <n v="1767530.17"/>
    <n v="86414.019999999902"/>
    <n v="1885898.54"/>
    <n v="1853944.19"/>
    <n v="1605111.52"/>
    <n v="248832.67"/>
    <n v="13.421799390843599"/>
    <m/>
  </r>
  <r>
    <x v="0"/>
    <x v="0"/>
    <m/>
    <m/>
    <m/>
    <m/>
    <m/>
    <m/>
    <m/>
    <m/>
    <m/>
    <m/>
    <m/>
    <m/>
    <m/>
  </r>
  <r>
    <x v="0"/>
    <x v="0"/>
    <n v="1728843.3"/>
    <n v="1728843.3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4"/>
    <x v="24"/>
    <s v="1385144  Canby-DirectLink-Haines Rd Hwy 99E Ph II"/>
    <n v="37165.18"/>
    <n v="27086.21"/>
    <n v="10078.969999999999"/>
    <n v="27.119389708323801"/>
    <n v="1173006.56"/>
    <n v="565415.05000000005"/>
    <n v="1728843.3"/>
    <n v="1738421.61"/>
    <n v="1385070.35"/>
    <n v="353351.26"/>
    <n v="20.325981796786301"/>
    <m/>
  </r>
  <r>
    <x v="0"/>
    <x v="0"/>
    <m/>
    <m/>
    <m/>
    <m/>
    <m/>
    <m/>
    <m/>
    <m/>
    <m/>
    <m/>
    <m/>
    <m/>
    <m/>
  </r>
  <r>
    <x v="0"/>
    <x v="0"/>
    <n v="77637.960000000006"/>
    <n v="77637.96000000000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5"/>
    <x v="25"/>
    <s v="1385240  Canby-Directlink-S Pine St"/>
    <n v="0"/>
    <n v="0"/>
    <n v="0"/>
    <n v="0"/>
    <n v="77637.960000000006"/>
    <n v="0"/>
    <n v="77637.960000000006"/>
    <n v="77637.960000000006"/>
    <n v="68953.399999999994"/>
    <n v="8684.5600000000104"/>
    <n v="11.185971398527199"/>
    <m/>
  </r>
  <r>
    <x v="0"/>
    <x v="0"/>
    <m/>
    <m/>
    <m/>
    <m/>
    <m/>
    <m/>
    <m/>
    <m/>
    <m/>
    <m/>
    <m/>
    <m/>
    <m/>
  </r>
  <r>
    <x v="0"/>
    <x v="0"/>
    <n v="23505"/>
    <n v="2350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1618102"/>
    <n v="1618102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6"/>
    <x v="26"/>
    <s v="1385258  Clear Creek-2024 OSP Phase III"/>
    <n v="4763.3999999999996"/>
    <n v="6089.47"/>
    <n v="-1326.07"/>
    <n v="-27.8387286392073"/>
    <n v="0"/>
    <n v="511338.25"/>
    <n v="1618102"/>
    <n v="511338.25"/>
    <n v="383745.02"/>
    <n v="127593.23"/>
    <n v="24.9528037458571"/>
    <m/>
  </r>
  <r>
    <x v="0"/>
    <x v="0"/>
    <m/>
    <m/>
    <m/>
    <m/>
    <m/>
    <m/>
    <m/>
    <m/>
    <m/>
    <m/>
    <m/>
    <m/>
    <m/>
  </r>
  <r>
    <x v="0"/>
    <x v="0"/>
    <n v="2244797.5"/>
    <n v="2244797.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7"/>
    <x v="27"/>
    <s v="1386100  Directlink - Mt Angel Town FTTH"/>
    <n v="48277.9"/>
    <n v="25800.9"/>
    <n v="22477"/>
    <n v="46.557534606932002"/>
    <n v="0"/>
    <n v="253095.4"/>
    <n v="2244797.5"/>
    <n v="253095.4"/>
    <n v="192994.68"/>
    <n v="60100.72"/>
    <n v="23.746271168895198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8"/>
    <x v="28"/>
    <s v="1387065  Canby-DirectLink-Hourly Work"/>
    <n v="0"/>
    <n v="0"/>
    <n v="0"/>
    <n v="0"/>
    <n v="429016.71"/>
    <n v="-5823.6"/>
    <n v="0"/>
    <n v="423193.11"/>
    <n v="319109.28000000003"/>
    <n v="104083.83"/>
    <n v="24.594878210564399"/>
    <m/>
  </r>
  <r>
    <x v="0"/>
    <x v="0"/>
    <s v="070938"/>
    <s v="Bochsler, Dustin"/>
    <n v="100944.13"/>
    <n v="30452.17"/>
    <n v="8488618.4600000009"/>
    <n v="9900830.7799999993"/>
    <n v="1920868.08"/>
    <n v="70491.960000000006"/>
    <n v="30.167350989106499"/>
    <n v="1412212.32"/>
    <n v="7979962.7000000002"/>
    <n v="1.0512635991138499"/>
    <m/>
  </r>
  <r>
    <x v="0"/>
    <x v="0"/>
    <s v="070971"/>
    <s v="Doran, Dennis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29"/>
    <x v="29"/>
    <s v="1380049  Stayton Telephone - Unit Rates"/>
    <n v="18230.849999999999"/>
    <n v="9125.66"/>
    <n v="9105.19"/>
    <n v="49.943858898515401"/>
    <n v="10814451.369999999"/>
    <n v="58415.999999999804"/>
    <n v="0"/>
    <n v="10872867.369999999"/>
    <n v="8723766.4299999997"/>
    <n v="2149100.94"/>
    <n v="19.7657238598322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0"/>
    <x v="30"/>
    <s v="1380050  Peoples Telephone - Unit Rates"/>
    <n v="20777.5"/>
    <n v="12294.63"/>
    <n v="8482.8700000000008"/>
    <n v="40.827192876910097"/>
    <n v="3319810.59"/>
    <n v="65023.890000000203"/>
    <n v="0"/>
    <n v="3384834.48"/>
    <n v="2504961.69"/>
    <n v="879872.79"/>
    <n v="25.9945588240403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1"/>
    <x v="31"/>
    <s v="1384188  Scio Tel-Hourly Rate Projects"/>
    <n v="4900.25"/>
    <n v="2381.5500000000002"/>
    <n v="2518.6999999999998"/>
    <n v="51.399418397020597"/>
    <n v="147285.25"/>
    <n v="4900.25"/>
    <n v="0"/>
    <n v="152185.5"/>
    <n v="115278.12"/>
    <n v="36907.379999999997"/>
    <n v="24.251574558680002"/>
    <m/>
  </r>
  <r>
    <x v="0"/>
    <x v="0"/>
    <s v="070971"/>
    <s v="Doran, Dennis"/>
    <n v="43908.6"/>
    <n v="20106.759999999998"/>
    <n v="14281547.210000001"/>
    <n v="14409887.35"/>
    <n v="3065881.11"/>
    <n v="23801.84"/>
    <n v="45.792304924320099"/>
    <n v="128340.14"/>
    <n v="11344006.24"/>
    <n v="0.25612538879424301"/>
    <m/>
  </r>
  <r>
    <x v="0"/>
    <x v="0"/>
    <s v="071008"/>
    <s v="Johnson, Bryan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500000"/>
    <n v="5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2"/>
    <x v="32"/>
    <s v="2065000  Google-Fiber FTTH MDU CO"/>
    <n v="4450"/>
    <n v="5697.08"/>
    <n v="-1247.08"/>
    <n v="-28.024269662921299"/>
    <n v="62470.1"/>
    <n v="59041"/>
    <n v="500000"/>
    <n v="121511.1"/>
    <n v="111331.12"/>
    <n v="10179.98"/>
    <n v="8.3778189811465804"/>
    <m/>
  </r>
  <r>
    <x v="0"/>
    <x v="0"/>
    <m/>
    <m/>
    <m/>
    <m/>
    <m/>
    <m/>
    <m/>
    <m/>
    <m/>
    <m/>
    <m/>
    <m/>
    <m/>
  </r>
  <r>
    <x v="0"/>
    <x v="0"/>
    <n v="100000"/>
    <n v="1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3"/>
    <x v="33"/>
    <s v="2065002  Google-Fiber FTTH Greenfields CO"/>
    <n v="0"/>
    <n v="220.58"/>
    <n v="-220.58"/>
    <n v="0"/>
    <n v="0"/>
    <n v="81200"/>
    <n v="100000"/>
    <n v="81200"/>
    <n v="56251.63"/>
    <n v="24948.37"/>
    <n v="30.724593596059101"/>
    <m/>
  </r>
  <r>
    <x v="0"/>
    <x v="0"/>
    <m/>
    <m/>
    <m/>
    <m/>
    <m/>
    <m/>
    <m/>
    <m/>
    <m/>
    <m/>
    <m/>
    <m/>
    <m/>
  </r>
  <r>
    <x v="0"/>
    <x v="0"/>
    <n v="2600500"/>
    <n v="26005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4"/>
    <x v="34"/>
    <s v="2441000  NTS Communications-TX MSA"/>
    <n v="7760"/>
    <n v="8523.41"/>
    <n v="-763.41"/>
    <n v="-9.8377577319587601"/>
    <n v="2533923.5"/>
    <n v="0"/>
    <n v="2600500"/>
    <n v="2533923.5"/>
    <n v="2279440.89"/>
    <n v="254482.61"/>
    <n v="10.0430265554584"/>
    <m/>
  </r>
  <r>
    <x v="0"/>
    <x v="0"/>
    <m/>
    <m/>
    <m/>
    <m/>
    <m/>
    <m/>
    <m/>
    <m/>
    <m/>
    <m/>
    <m/>
    <m/>
    <m/>
  </r>
  <r>
    <x v="0"/>
    <x v="0"/>
    <n v="6000000"/>
    <n v="60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5"/>
    <x v="35"/>
    <s v="2442001  NTS Communications-MDU Amarillo Lubbock"/>
    <n v="0"/>
    <n v="0"/>
    <n v="0"/>
    <n v="0"/>
    <n v="5477312"/>
    <n v="122596"/>
    <n v="6000000"/>
    <n v="5599908"/>
    <n v="4057343.05"/>
    <n v="1542564.95"/>
    <n v="27.546255224193001"/>
    <m/>
  </r>
  <r>
    <x v="0"/>
    <x v="0"/>
    <m/>
    <m/>
    <m/>
    <m/>
    <m/>
    <m/>
    <m/>
    <m/>
    <m/>
    <m/>
    <m/>
    <m/>
    <m/>
  </r>
  <r>
    <x v="0"/>
    <x v="0"/>
    <n v="1500500"/>
    <n v="15005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6"/>
    <x v="36"/>
    <s v="2442002  NTS Communications-MDU Abilene"/>
    <n v="9172.5"/>
    <n v="9203.2800000000007"/>
    <n v="-30.78"/>
    <n v="-0.33556827473425999"/>
    <n v="988556.25"/>
    <n v="0"/>
    <n v="1500500"/>
    <n v="988556.25"/>
    <n v="671675.21"/>
    <n v="316881.03999999998"/>
    <n v="32.0549326353457"/>
    <m/>
  </r>
  <r>
    <x v="0"/>
    <x v="0"/>
    <m/>
    <m/>
    <m/>
    <m/>
    <m/>
    <m/>
    <m/>
    <m/>
    <m/>
    <m/>
    <m/>
    <m/>
    <m/>
  </r>
  <r>
    <x v="0"/>
    <x v="0"/>
    <n v="11064899"/>
    <n v="11064899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7"/>
    <x v="37"/>
    <s v="2443000  Google-Google Fiber MSA (TX)"/>
    <n v="26551"/>
    <n v="28278.61"/>
    <n v="-1727.61"/>
    <n v="-6.5067605739896797"/>
    <n v="6563550.8499999996"/>
    <n v="353297.5"/>
    <n v="11064899"/>
    <n v="6916848.3499999996"/>
    <n v="5636695.7699999996"/>
    <n v="1280152.58"/>
    <n v="18.5077439206832"/>
    <m/>
  </r>
  <r>
    <x v="0"/>
    <x v="0"/>
    <m/>
    <m/>
    <m/>
    <m/>
    <m/>
    <m/>
    <m/>
    <m/>
    <m/>
    <m/>
    <m/>
    <m/>
    <m/>
  </r>
  <r>
    <x v="0"/>
    <x v="0"/>
    <n v="104509"/>
    <n v="104509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8"/>
    <x v="38"/>
    <s v="2445003  Ezee Fiber Texas-Autumnwood Apts"/>
    <n v="0"/>
    <n v="0"/>
    <n v="0"/>
    <n v="0"/>
    <n v="104509.45"/>
    <n v="0"/>
    <n v="104509"/>
    <n v="104509.45"/>
    <n v="73096.759999999995"/>
    <n v="31412.69"/>
    <n v="30.057272332789001"/>
    <m/>
  </r>
  <r>
    <x v="0"/>
    <x v="0"/>
    <m/>
    <m/>
    <m/>
    <m/>
    <m/>
    <m/>
    <m/>
    <m/>
    <m/>
    <m/>
    <m/>
    <m/>
    <m/>
  </r>
  <r>
    <x v="0"/>
    <x v="0"/>
    <n v="281442"/>
    <n v="281442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39"/>
    <x v="39"/>
    <s v="2445004  Ezee Fiber Texas (Willowbend Ph1 &amp; Ph2)"/>
    <n v="0"/>
    <n v="0"/>
    <n v="0"/>
    <n v="0"/>
    <n v="290602.05"/>
    <n v="1.45519152283669E-11"/>
    <n v="281442"/>
    <n v="290602.05"/>
    <n v="184615.44"/>
    <n v="105986.61"/>
    <n v="36.471391031136903"/>
    <m/>
  </r>
  <r>
    <x v="0"/>
    <x v="0"/>
    <m/>
    <m/>
    <m/>
    <m/>
    <m/>
    <m/>
    <m/>
    <m/>
    <m/>
    <m/>
    <m/>
    <m/>
    <m/>
  </r>
  <r>
    <x v="0"/>
    <x v="0"/>
    <n v="102162"/>
    <n v="102162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0"/>
    <x v="40"/>
    <s v="2445005  Ezee Fiber Texas (Town Creek Village)"/>
    <n v="0"/>
    <n v="0"/>
    <n v="0"/>
    <n v="0"/>
    <n v="105222.39999999999"/>
    <n v="0"/>
    <n v="102162"/>
    <n v="105222.39999999999"/>
    <n v="73395.039999999994"/>
    <n v="31827.360000000001"/>
    <n v="30.2477039109543"/>
    <m/>
  </r>
  <r>
    <x v="0"/>
    <x v="0"/>
    <m/>
    <m/>
    <m/>
    <m/>
    <m/>
    <m/>
    <m/>
    <m/>
    <m/>
    <m/>
    <m/>
    <m/>
    <m/>
  </r>
  <r>
    <x v="0"/>
    <x v="0"/>
    <n v="162025"/>
    <n v="16202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1"/>
    <x v="41"/>
    <s v="2445013  Ubiquity Services LLC-Lost Spurs Ranch"/>
    <n v="0"/>
    <n v="-889.54"/>
    <n v="889.54"/>
    <n v="0"/>
    <n v="6367.5"/>
    <n v="146560.5"/>
    <n v="162025"/>
    <n v="152928"/>
    <n v="115823.37"/>
    <n v="37104.629999999997"/>
    <n v="24.262809949780301"/>
    <m/>
  </r>
  <r>
    <x v="0"/>
    <x v="0"/>
    <m/>
    <m/>
    <m/>
    <m/>
    <m/>
    <m/>
    <m/>
    <m/>
    <m/>
    <m/>
    <m/>
    <m/>
    <m/>
  </r>
  <r>
    <x v="0"/>
    <x v="0"/>
    <n v="5073.16"/>
    <n v="5073.1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2"/>
    <x v="42"/>
    <s v="2445016  Ubiquity Services LLC-Grand Estates"/>
    <n v="0"/>
    <n v="0"/>
    <n v="0"/>
    <n v="0"/>
    <n v="5073.16"/>
    <n v="0"/>
    <n v="5073.16"/>
    <n v="5073.16"/>
    <n v="3734.36"/>
    <n v="1338.8"/>
    <n v="26.389863517018998"/>
    <m/>
  </r>
  <r>
    <x v="0"/>
    <x v="0"/>
    <m/>
    <m/>
    <m/>
    <m/>
    <m/>
    <m/>
    <m/>
    <m/>
    <m/>
    <m/>
    <m/>
    <m/>
    <m/>
  </r>
  <r>
    <x v="0"/>
    <x v="0"/>
    <n v="80714"/>
    <n v="80714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3"/>
    <x v="43"/>
    <s v="2445099  Google-Fiber Greenfield TX"/>
    <n v="0"/>
    <n v="0"/>
    <n v="0"/>
    <n v="0"/>
    <n v="46332"/>
    <n v="12197.5"/>
    <n v="80714"/>
    <n v="58529.5"/>
    <n v="43275.91"/>
    <n v="15253.59"/>
    <n v="26.061370761752599"/>
    <m/>
  </r>
  <r>
    <x v="0"/>
    <x v="0"/>
    <s v="071008"/>
    <s v="Johnson, Bryan"/>
    <n v="47933.5"/>
    <n v="-3099.92"/>
    <n v="16183919.26"/>
    <n v="16958811.760000002"/>
    <n v="3652133.21"/>
    <n v="51033.42"/>
    <n v="-6.4671263312714498"/>
    <n v="774892.5"/>
    <n v="13306678.550000001"/>
    <n v="8.9944921943045403E-2"/>
    <m/>
  </r>
  <r>
    <x v="0"/>
    <x v="0"/>
    <s v="071047"/>
    <s v="Palmer, Alton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4"/>
    <x v="44"/>
    <s v="1385172  Ziply - OR BAU SSP (2024-27)"/>
    <n v="136311"/>
    <n v="118162.99"/>
    <n v="18148.009999999998"/>
    <n v="13.313679747048999"/>
    <n v="895322.44"/>
    <n v="3306769.35"/>
    <n v="0"/>
    <n v="4202091.79"/>
    <n v="3484155.57"/>
    <n v="717936.22"/>
    <n v="17.0852103161697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5"/>
    <x v="45"/>
    <s v="1385189  Ziply - OR FTTP MSA (Alton)"/>
    <n v="93089.63"/>
    <n v="54566.75"/>
    <n v="38522.879999999997"/>
    <n v="41.382568606191697"/>
    <n v="290615.48"/>
    <n v="516851.63"/>
    <n v="0"/>
    <n v="807467.11"/>
    <n v="536836.64"/>
    <n v="270630.46999999997"/>
    <n v="33.515974415354201"/>
    <m/>
  </r>
  <r>
    <x v="0"/>
    <x v="0"/>
    <m/>
    <m/>
    <m/>
    <m/>
    <m/>
    <m/>
    <m/>
    <m/>
    <m/>
    <m/>
    <m/>
    <m/>
    <m/>
  </r>
  <r>
    <x v="0"/>
    <x v="0"/>
    <n v="4834507.84"/>
    <n v="4834507.84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6"/>
    <x v="46"/>
    <s v="1484211  Port of Woodland-2023-12 Ariel to Cougar"/>
    <n v="2.27"/>
    <n v="0.33"/>
    <n v="1.94"/>
    <n v="85.462555066079304"/>
    <n v="4834507.8499999996"/>
    <n v="2.9531292966566998E-11"/>
    <n v="4834507.84"/>
    <n v="4834507.8499999996"/>
    <n v="4175681.21"/>
    <n v="658826.64"/>
    <n v="13.6275844499869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7"/>
    <x v="47"/>
    <s v="1485173  Ziply - WA BAU SSP (2024-27)"/>
    <n v="4270.3"/>
    <n v="3994"/>
    <n v="276.3"/>
    <n v="6.4702714095028497"/>
    <n v="23423.63"/>
    <n v="226873.49"/>
    <n v="0"/>
    <n v="250297.12"/>
    <n v="167765.60999999999"/>
    <n v="82531.509999999995"/>
    <n v="32.9734157548437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8"/>
    <x v="48"/>
    <s v="1485200  Ziply - WA FTTP MSA (Alton)"/>
    <n v="5733.2"/>
    <n v="3742.65"/>
    <n v="1990.55"/>
    <n v="34.719702783785699"/>
    <n v="4.6566128730773903E-12"/>
    <n v="153229.92000000001"/>
    <n v="0"/>
    <n v="153229.92000000001"/>
    <n v="116676.33"/>
    <n v="36553.589999999997"/>
    <n v="23.8553867286493"/>
    <m/>
  </r>
  <r>
    <x v="0"/>
    <x v="0"/>
    <m/>
    <m/>
    <m/>
    <m/>
    <m/>
    <m/>
    <m/>
    <m/>
    <m/>
    <m/>
    <m/>
    <m/>
    <m/>
  </r>
  <r>
    <x v="0"/>
    <x v="0"/>
    <n v="5000"/>
    <n v="5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49"/>
    <x v="49"/>
    <s v="1485247  Port of Woodland-Fiber Optic On Call"/>
    <n v="0"/>
    <n v="0"/>
    <n v="0"/>
    <n v="0"/>
    <n v="2454.73"/>
    <n v="29423.119999999999"/>
    <n v="5000"/>
    <n v="31877.85"/>
    <n v="23616.92"/>
    <n v="8260.93"/>
    <n v="25.914326091627899"/>
    <m/>
  </r>
  <r>
    <x v="0"/>
    <x v="0"/>
    <s v="071047"/>
    <s v="Palmer, Alton"/>
    <n v="239406.4"/>
    <n v="58939.68"/>
    <n v="6046324.1299999999"/>
    <n v="10279471.640000001"/>
    <n v="1774739.36"/>
    <n v="180466.72"/>
    <n v="24.619091218948199"/>
    <n v="4233147.51"/>
    <n v="8504732.2799999993"/>
    <n v="8.0363371672281803E-2"/>
    <m/>
  </r>
  <r>
    <x v="0"/>
    <x v="0"/>
    <s v="071048"/>
    <s v="Palmer, Justin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0"/>
    <x v="50"/>
    <s v="1385193  Ziply - OR FTTP MSA (Justin)"/>
    <n v="-2919.17"/>
    <n v="-1386.92"/>
    <n v="-1532.25"/>
    <n v="0"/>
    <n v="54576.4"/>
    <n v="79952.36"/>
    <n v="0"/>
    <n v="134528.76"/>
    <n v="161487.21"/>
    <n v="-26958.45"/>
    <n v="-20.0391722929729"/>
    <m/>
  </r>
  <r>
    <x v="0"/>
    <x v="0"/>
    <m/>
    <m/>
    <m/>
    <m/>
    <m/>
    <m/>
    <m/>
    <m/>
    <m/>
    <m/>
    <m/>
    <m/>
    <m/>
  </r>
  <r>
    <x v="0"/>
    <x v="0"/>
    <n v="15432941"/>
    <n v="15432941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1"/>
    <x v="51"/>
    <s v="1385203  Pioneer-Reconnect 3 - Phase 1"/>
    <n v="107936.46"/>
    <n v="113259.55"/>
    <n v="-5323.09"/>
    <n v="-4.9316885137793101"/>
    <n v="4673591"/>
    <n v="635644.64"/>
    <n v="15432941"/>
    <n v="5309235.6399999997"/>
    <n v="4180770.34"/>
    <n v="1128465.3"/>
    <n v="21.254760129652102"/>
    <m/>
  </r>
  <r>
    <x v="0"/>
    <x v="0"/>
    <m/>
    <m/>
    <m/>
    <m/>
    <m/>
    <m/>
    <m/>
    <m/>
    <m/>
    <m/>
    <m/>
    <m/>
    <m/>
  </r>
  <r>
    <x v="0"/>
    <x v="0"/>
    <n v="374573.27"/>
    <n v="374573.27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2"/>
    <x v="52"/>
    <s v="1385218  Trimet-OMP Fiber Build"/>
    <n v="580"/>
    <n v="1028.32"/>
    <n v="-448.32"/>
    <n v="-77.296551724137899"/>
    <n v="0"/>
    <n v="259475.02"/>
    <n v="374573.27"/>
    <n v="259475.02"/>
    <n v="196697.75"/>
    <n v="62777.27"/>
    <n v="24.193955163776501"/>
    <m/>
  </r>
  <r>
    <x v="0"/>
    <x v="0"/>
    <m/>
    <m/>
    <m/>
    <m/>
    <m/>
    <m/>
    <m/>
    <m/>
    <m/>
    <m/>
    <m/>
    <m/>
    <m/>
  </r>
  <r>
    <x v="0"/>
    <x v="0"/>
    <n v="12062827.119999999"/>
    <n v="12062827.119999999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3"/>
    <x v="53"/>
    <s v="1385252  Pioneer-Reconnect 3 - Phase 2"/>
    <n v="93214.5"/>
    <n v="78157.350000000006"/>
    <n v="15057.15"/>
    <n v="16.153227233960401"/>
    <n v="700273.61"/>
    <n v="599646.4"/>
    <n v="12062827.119999999"/>
    <n v="1299920.01"/>
    <n v="1060694.8999999999"/>
    <n v="239225.11"/>
    <n v="18.403063893139102"/>
    <m/>
  </r>
  <r>
    <x v="0"/>
    <x v="0"/>
    <m/>
    <m/>
    <m/>
    <m/>
    <m/>
    <m/>
    <m/>
    <m/>
    <m/>
    <m/>
    <m/>
    <m/>
    <m/>
  </r>
  <r>
    <x v="0"/>
    <x v="0"/>
    <n v="27466"/>
    <n v="2746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4"/>
    <x v="54"/>
    <s v="1385261  City of Wilsonville -  WES Breakroom"/>
    <n v="0"/>
    <n v="0"/>
    <n v="0"/>
    <n v="0"/>
    <n v="0"/>
    <n v="20015"/>
    <n v="27466"/>
    <n v="20015"/>
    <n v="12599.62"/>
    <n v="7415.38"/>
    <n v="37.049113165126201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5"/>
    <x v="55"/>
    <s v="1387009  Data Vision-Gervais Splicing"/>
    <n v="0"/>
    <n v="0"/>
    <n v="0"/>
    <n v="0"/>
    <n v="128892.2"/>
    <n v="0"/>
    <n v="0"/>
    <n v="128892.2"/>
    <n v="96805.56"/>
    <n v="32086.639999999999"/>
    <n v="24.894167373976099"/>
    <m/>
  </r>
  <r>
    <x v="0"/>
    <x v="0"/>
    <s v="071048"/>
    <s v="Palmer, Justin"/>
    <n v="198811.79"/>
    <n v="7753.49"/>
    <n v="5557333.21"/>
    <n v="7152066.6299999999"/>
    <n v="1443011.25"/>
    <n v="191058.3"/>
    <n v="3.89991458756043"/>
    <n v="1594733.42"/>
    <n v="5709055.3799999999"/>
    <n v="0.448634522858185"/>
    <m/>
  </r>
  <r>
    <x v="0"/>
    <x v="0"/>
    <s v="071071"/>
    <s v="Shaffer, Nathan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100000"/>
    <n v="1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6"/>
    <x v="56"/>
    <s v="2135000  T-Mobile-Idaho Market"/>
    <n v="0"/>
    <n v="0"/>
    <n v="0"/>
    <n v="0"/>
    <n v="63307.34"/>
    <n v="6741.42"/>
    <n v="100000"/>
    <n v="70048.759999999995"/>
    <n v="63152.73"/>
    <n v="6896.03"/>
    <n v="9.8446139517673092"/>
    <m/>
  </r>
  <r>
    <x v="0"/>
    <x v="0"/>
    <m/>
    <m/>
    <m/>
    <m/>
    <m/>
    <m/>
    <m/>
    <m/>
    <m/>
    <m/>
    <m/>
    <m/>
    <m/>
  </r>
  <r>
    <x v="0"/>
    <x v="0"/>
    <n v="383653"/>
    <n v="383653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7"/>
    <x v="57"/>
    <s v="2135002  VZ-Verizon Idaho Market (Msa)"/>
    <n v="24915.94"/>
    <n v="27793.47"/>
    <n v="-2877.53"/>
    <n v="-11.548952196866701"/>
    <n v="239402.02"/>
    <n v="71516.47"/>
    <n v="383653"/>
    <n v="310918.49"/>
    <n v="266988.26"/>
    <n v="43930.23"/>
    <n v="14.1291790012231"/>
    <m/>
  </r>
  <r>
    <x v="0"/>
    <x v="0"/>
    <m/>
    <m/>
    <m/>
    <m/>
    <m/>
    <m/>
    <m/>
    <m/>
    <m/>
    <m/>
    <m/>
    <m/>
    <m/>
  </r>
  <r>
    <x v="0"/>
    <x v="0"/>
    <n v="74018"/>
    <n v="74018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8"/>
    <x v="58"/>
    <s v="2384101  VZ-Verizon Or Mosser"/>
    <n v="0"/>
    <n v="0"/>
    <n v="0"/>
    <n v="0"/>
    <n v="11274.65"/>
    <n v="3112.82"/>
    <n v="74018"/>
    <n v="14387.47"/>
    <n v="17055.59"/>
    <n v="-2668.12"/>
    <n v="-18.544747617197501"/>
    <m/>
  </r>
  <r>
    <x v="0"/>
    <x v="0"/>
    <m/>
    <m/>
    <m/>
    <m/>
    <m/>
    <m/>
    <m/>
    <m/>
    <m/>
    <m/>
    <m/>
    <m/>
    <m/>
  </r>
  <r>
    <x v="0"/>
    <x v="0"/>
    <n v="6000000"/>
    <n v="60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59"/>
    <x v="59"/>
    <s v="2384111  VZ-Verizon Or Market (MSA)"/>
    <n v="21030.29"/>
    <n v="19122.77"/>
    <n v="1907.52"/>
    <n v="9.0703456775916997"/>
    <n v="2421072.41"/>
    <n v="70105.7"/>
    <n v="6000000"/>
    <n v="2491178.11"/>
    <n v="2296157.91"/>
    <n v="195020.2"/>
    <n v="7.8284326286088"/>
    <m/>
  </r>
  <r>
    <x v="0"/>
    <x v="0"/>
    <m/>
    <m/>
    <m/>
    <m/>
    <m/>
    <m/>
    <m/>
    <m/>
    <m/>
    <m/>
    <m/>
    <m/>
    <m/>
  </r>
  <r>
    <x v="0"/>
    <x v="0"/>
    <n v="300000"/>
    <n v="3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0"/>
    <x v="60"/>
    <s v="2385000  Wave-Astound OR-Wave Broadband"/>
    <n v="0"/>
    <n v="0"/>
    <n v="0"/>
    <n v="0"/>
    <n v="248755.68"/>
    <n v="55740.46"/>
    <n v="300000"/>
    <n v="304496.14"/>
    <n v="233565.37"/>
    <n v="70930.77"/>
    <n v="23.2944726327237"/>
    <m/>
  </r>
  <r>
    <x v="0"/>
    <x v="0"/>
    <m/>
    <m/>
    <m/>
    <m/>
    <m/>
    <m/>
    <m/>
    <m/>
    <m/>
    <m/>
    <m/>
    <m/>
    <m/>
  </r>
  <r>
    <x v="0"/>
    <x v="0"/>
    <n v="350000"/>
    <n v="35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1"/>
    <x v="61"/>
    <s v="2385009  T-Mobile-Portland Market"/>
    <n v="0"/>
    <n v="741.88"/>
    <n v="-741.88"/>
    <n v="0"/>
    <n v="206398.11"/>
    <n v="97297.65"/>
    <n v="350000"/>
    <n v="303695.76"/>
    <n v="313598.65000000002"/>
    <n v="-9902.89"/>
    <n v="-3.2607929725459499"/>
    <m/>
  </r>
  <r>
    <x v="0"/>
    <x v="0"/>
    <m/>
    <m/>
    <m/>
    <m/>
    <m/>
    <m/>
    <m/>
    <m/>
    <m/>
    <m/>
    <m/>
    <m/>
    <m/>
  </r>
  <r>
    <x v="0"/>
    <x v="0"/>
    <n v="35000"/>
    <n v="35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2"/>
    <x v="62"/>
    <s v="2385010  T-Mobile-Eastern OR Market"/>
    <n v="0"/>
    <n v="0"/>
    <n v="0"/>
    <n v="0"/>
    <n v="10377.33"/>
    <n v="0"/>
    <n v="35000"/>
    <n v="10377.33"/>
    <n v="9386.26"/>
    <n v="991.07"/>
    <n v="9.5503371291073904"/>
    <m/>
  </r>
  <r>
    <x v="0"/>
    <x v="0"/>
    <m/>
    <m/>
    <m/>
    <m/>
    <m/>
    <m/>
    <m/>
    <m/>
    <m/>
    <m/>
    <m/>
    <m/>
    <m/>
  </r>
  <r>
    <x v="0"/>
    <x v="0"/>
    <n v="165907.96"/>
    <n v="165907.9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3"/>
    <x v="63"/>
    <s v="2385012  VZ-Verizon Or Sundrop"/>
    <n v="0"/>
    <n v="0"/>
    <n v="0"/>
    <n v="0"/>
    <n v="173316.86"/>
    <n v="-3.6379788070917101E-12"/>
    <n v="165907.96"/>
    <n v="173316.86"/>
    <n v="179142.28"/>
    <n v="-5825.42"/>
    <n v="-3.3611386682172801"/>
    <m/>
  </r>
  <r>
    <x v="0"/>
    <x v="0"/>
    <m/>
    <m/>
    <m/>
    <m/>
    <m/>
    <m/>
    <m/>
    <m/>
    <m/>
    <m/>
    <m/>
    <m/>
    <m/>
  </r>
  <r>
    <x v="0"/>
    <x v="0"/>
    <n v="110000"/>
    <n v="11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4"/>
    <x v="64"/>
    <s v="2484111  VZ-Verizon Spokane Market (Msa)"/>
    <n v="0"/>
    <n v="0"/>
    <n v="0"/>
    <n v="0"/>
    <n v="130944.74"/>
    <n v="0"/>
    <n v="110000"/>
    <n v="130944.74"/>
    <n v="117490.97"/>
    <n v="13453.77"/>
    <n v="10.274387501170301"/>
    <m/>
  </r>
  <r>
    <x v="0"/>
    <x v="0"/>
    <m/>
    <m/>
    <m/>
    <m/>
    <m/>
    <m/>
    <m/>
    <m/>
    <m/>
    <m/>
    <m/>
    <m/>
    <m/>
  </r>
  <r>
    <x v="0"/>
    <x v="0"/>
    <n v="100000"/>
    <n v="1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5"/>
    <x v="65"/>
    <s v="2484112  VZ-Verizon Seattle Market (Msa)"/>
    <n v="30921.94"/>
    <n v="31404.85"/>
    <n v="-482.91"/>
    <n v="-1.5617066717029999"/>
    <n v="69510.740000000005"/>
    <n v="120179.76"/>
    <n v="100000"/>
    <n v="189690.5"/>
    <n v="197733.63"/>
    <n v="-8043.13"/>
    <n v="-4.24013326972094"/>
    <m/>
  </r>
  <r>
    <x v="0"/>
    <x v="0"/>
    <m/>
    <m/>
    <m/>
    <m/>
    <m/>
    <m/>
    <m/>
    <m/>
    <m/>
    <m/>
    <m/>
    <m/>
    <m/>
  </r>
  <r>
    <x v="0"/>
    <x v="0"/>
    <n v="150000"/>
    <n v="15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6"/>
    <x v="66"/>
    <s v="2484115  American Tower Corporation-WA"/>
    <n v="5364"/>
    <n v="6176.67"/>
    <n v="-812.67"/>
    <n v="-15.1504474272931"/>
    <n v="25577.97"/>
    <n v="2164"/>
    <n v="150000"/>
    <n v="27741.97"/>
    <n v="25339.66"/>
    <n v="2402.31"/>
    <n v="8.6594787608810808"/>
    <m/>
  </r>
  <r>
    <x v="0"/>
    <x v="0"/>
    <m/>
    <m/>
    <m/>
    <m/>
    <m/>
    <m/>
    <m/>
    <m/>
    <m/>
    <m/>
    <m/>
    <m/>
    <m/>
  </r>
  <r>
    <x v="0"/>
    <x v="0"/>
    <n v="600000"/>
    <n v="6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7"/>
    <x v="67"/>
    <s v="2484116  VZ-Verizon Sw Wa Market (MSA)"/>
    <n v="0"/>
    <n v="-4779.2299999999996"/>
    <n v="4779.2299999999996"/>
    <n v="0"/>
    <n v="490209.98"/>
    <n v="164959.09"/>
    <n v="600000"/>
    <n v="655169.06999999995"/>
    <n v="590496.6"/>
    <n v="64672.47"/>
    <n v="9.8711115895626804"/>
    <m/>
  </r>
  <r>
    <x v="0"/>
    <x v="0"/>
    <m/>
    <m/>
    <m/>
    <m/>
    <m/>
    <m/>
    <m/>
    <m/>
    <m/>
    <m/>
    <m/>
    <m/>
    <m/>
  </r>
  <r>
    <x v="0"/>
    <x v="0"/>
    <n v="1900000"/>
    <n v="19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8"/>
    <x v="68"/>
    <s v="2484117  Wave-Astound WA-Wave Broadband"/>
    <n v="26246.59"/>
    <n v="18225.189999999999"/>
    <n v="8021.4"/>
    <n v="30.5616843940489"/>
    <n v="1286101.74"/>
    <n v="179032.59"/>
    <n v="1900000"/>
    <n v="1465134.33"/>
    <n v="1216839.51"/>
    <n v="248294.82"/>
    <n v="16.9468979680518"/>
    <m/>
  </r>
  <r>
    <x v="0"/>
    <x v="0"/>
    <m/>
    <m/>
    <m/>
    <m/>
    <m/>
    <m/>
    <m/>
    <m/>
    <m/>
    <m/>
    <m/>
    <m/>
    <m/>
  </r>
  <r>
    <x v="0"/>
    <x v="0"/>
    <n v="12600"/>
    <n v="126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69"/>
    <x v="69"/>
    <s v="2484120  Colville Confederated Tribe"/>
    <n v="0"/>
    <n v="0"/>
    <n v="0"/>
    <n v="0"/>
    <n v="52083.26"/>
    <n v="0"/>
    <n v="12600"/>
    <n v="52083.26"/>
    <n v="36171.85"/>
    <n v="15911.41"/>
    <n v="30.54995021432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0"/>
    <x v="70"/>
    <s v="2485004  T-Mobile-Spokane Market"/>
    <n v="12919.24"/>
    <n v="17328.86"/>
    <n v="-4409.62"/>
    <n v="-34.132193534604198"/>
    <n v="328677.46000000002"/>
    <n v="61412.32"/>
    <n v="0"/>
    <n v="390089.78"/>
    <n v="341879.85"/>
    <n v="48209.93"/>
    <n v="12.3586754823466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1"/>
    <x v="71"/>
    <s v="2485005  T-Mobile-Seattle Market"/>
    <n v="0"/>
    <n v="0"/>
    <n v="0"/>
    <n v="0"/>
    <n v="8694.36"/>
    <n v="0"/>
    <n v="0"/>
    <n v="8694.36"/>
    <n v="6075.32"/>
    <n v="2619.04"/>
    <n v="30.123436342640499"/>
    <m/>
  </r>
  <r>
    <x v="0"/>
    <x v="0"/>
    <m/>
    <m/>
    <m/>
    <m/>
    <m/>
    <m/>
    <m/>
    <m/>
    <m/>
    <m/>
    <m/>
    <m/>
    <m/>
  </r>
  <r>
    <x v="0"/>
    <x v="0"/>
    <n v="50000"/>
    <n v="5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2"/>
    <x v="72"/>
    <s v="2485006  T-Mobile-SW WA Market"/>
    <n v="0"/>
    <n v="0"/>
    <n v="0"/>
    <n v="0"/>
    <n v="14076.19"/>
    <n v="245"/>
    <n v="50000"/>
    <n v="14321.19"/>
    <n v="11132.83"/>
    <n v="3188.36"/>
    <n v="22.2632337117237"/>
    <m/>
  </r>
  <r>
    <x v="0"/>
    <x v="0"/>
    <m/>
    <m/>
    <m/>
    <m/>
    <m/>
    <m/>
    <m/>
    <m/>
    <m/>
    <m/>
    <m/>
    <m/>
    <m/>
  </r>
  <r>
    <x v="0"/>
    <x v="0"/>
    <n v="203480.1"/>
    <n v="203480.1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3"/>
    <x v="73"/>
    <s v="2485012  VZ-Verizon Wa Keene Lake"/>
    <n v="990.06"/>
    <n v="190.72"/>
    <n v="799.34"/>
    <n v="80.736521018928201"/>
    <n v="0"/>
    <n v="202536.41"/>
    <n v="203480.1"/>
    <n v="202536.41"/>
    <n v="204518.74"/>
    <n v="-1982.33"/>
    <n v="-0.97875241296120497"/>
    <m/>
  </r>
  <r>
    <x v="0"/>
    <x v="0"/>
    <s v="071071"/>
    <s v="Shaffer, Nathan"/>
    <n v="122388.06"/>
    <n v="6182.88"/>
    <n v="5779780.8399999999"/>
    <n v="6814824.5300000003"/>
    <n v="688098.52"/>
    <n v="116205.18"/>
    <n v="5.0518653535320404"/>
    <n v="1035043.69"/>
    <n v="6126726.0099999998"/>
    <n v="-2.9088496574980801E-2"/>
    <m/>
  </r>
  <r>
    <x v="0"/>
    <x v="0"/>
    <s v="071075"/>
    <s v="Skellenger, Jason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800000"/>
    <n v="8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4"/>
    <x v="74"/>
    <s v="2014000  CommPro Services, LLC-AL"/>
    <n v="819.4"/>
    <n v="134.79"/>
    <n v="684.61"/>
    <n v="83.550158652672707"/>
    <n v="871667.45"/>
    <n v="0"/>
    <n v="800000"/>
    <n v="871667.45"/>
    <n v="632395.04"/>
    <n v="239272.41"/>
    <n v="27.449965006723598"/>
    <m/>
  </r>
  <r>
    <x v="0"/>
    <x v="0"/>
    <m/>
    <m/>
    <m/>
    <m/>
    <m/>
    <m/>
    <m/>
    <m/>
    <m/>
    <m/>
    <m/>
    <m/>
    <m/>
  </r>
  <r>
    <x v="0"/>
    <x v="0"/>
    <n v="2075144.8"/>
    <n v="2075144.8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5"/>
    <x v="75"/>
    <s v="2104000  CommPro Services, LLC - FL"/>
    <n v="0"/>
    <n v="-77.88"/>
    <n v="77.88"/>
    <n v="0"/>
    <n v="1978912.09"/>
    <n v="0"/>
    <n v="2075144.8"/>
    <n v="1978912.09"/>
    <n v="1431103.08"/>
    <n v="547809.01"/>
    <n v="27.6823317603764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6"/>
    <x v="76"/>
    <s v="2113000  CommPro Services, LLC -GA"/>
    <n v="19800"/>
    <n v="14001.31"/>
    <n v="5798.69"/>
    <n v="29.286313131313101"/>
    <n v="1073971.8500000001"/>
    <n v="19800"/>
    <n v="0"/>
    <n v="1093771.8500000001"/>
    <n v="817564.73"/>
    <n v="276207.12"/>
    <n v="25.2527179228465"/>
    <m/>
  </r>
  <r>
    <x v="0"/>
    <x v="0"/>
    <m/>
    <m/>
    <m/>
    <m/>
    <m/>
    <m/>
    <m/>
    <m/>
    <m/>
    <m/>
    <m/>
    <m/>
    <m/>
  </r>
  <r>
    <x v="0"/>
    <x v="0"/>
    <n v="69313.600000000006"/>
    <n v="69313.60000000000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7"/>
    <x v="77"/>
    <s v="2136000  Ubiquity Services LLC-Big Sky Patio Apts"/>
    <n v="8131.04"/>
    <n v="5079.57"/>
    <n v="3051.47"/>
    <n v="37.5286556209292"/>
    <n v="0"/>
    <n v="34331.040000000001"/>
    <n v="69313.600000000006"/>
    <n v="34331.040000000001"/>
    <n v="29510.080000000002"/>
    <n v="4820.96"/>
    <n v="14.0425690570399"/>
    <m/>
  </r>
  <r>
    <x v="0"/>
    <x v="0"/>
    <m/>
    <m/>
    <m/>
    <m/>
    <m/>
    <m/>
    <m/>
    <m/>
    <m/>
    <m/>
    <m/>
    <m/>
    <m/>
  </r>
  <r>
    <x v="0"/>
    <x v="0"/>
    <n v="90601.4"/>
    <n v="90601.4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8"/>
    <x v="78"/>
    <s v="2136005  Ubiquity Services LLC-Hitt Rd Patio Apts"/>
    <n v="-1825"/>
    <n v="-1143.33"/>
    <n v="-681.67"/>
    <n v="0"/>
    <n v="0"/>
    <n v="29650"/>
    <n v="90601.4"/>
    <n v="29650"/>
    <n v="22904.79"/>
    <n v="6745.21"/>
    <n v="22.749443507588499"/>
    <m/>
  </r>
  <r>
    <x v="0"/>
    <x v="0"/>
    <m/>
    <m/>
    <m/>
    <m/>
    <m/>
    <m/>
    <m/>
    <m/>
    <m/>
    <m/>
    <m/>
    <m/>
    <m/>
  </r>
  <r>
    <x v="0"/>
    <x v="0"/>
    <n v="54778.48"/>
    <n v="54778.48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79"/>
    <x v="79"/>
    <s v="2136006  Ubiquity Services LLC-Midwest Patio Apts"/>
    <n v="0"/>
    <n v="0"/>
    <n v="0"/>
    <n v="0"/>
    <n v="0"/>
    <n v="19625"/>
    <n v="54778.48"/>
    <n v="19625"/>
    <n v="16560.310000000001"/>
    <n v="3064.69"/>
    <n v="15.6162547770701"/>
    <m/>
  </r>
  <r>
    <x v="0"/>
    <x v="0"/>
    <m/>
    <m/>
    <m/>
    <m/>
    <m/>
    <m/>
    <m/>
    <m/>
    <m/>
    <m/>
    <m/>
    <m/>
    <m/>
  </r>
  <r>
    <x v="0"/>
    <x v="0"/>
    <n v="71117"/>
    <n v="71117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0"/>
    <x v="80"/>
    <s v="2136007  Ubiquity Services LLC-Centennial Patio"/>
    <n v="12716.75"/>
    <n v="11577.52"/>
    <n v="1139.23"/>
    <n v="8.9584996166473392"/>
    <n v="0"/>
    <n v="63800"/>
    <n v="71117"/>
    <n v="63800"/>
    <n v="51544.54"/>
    <n v="12255.46"/>
    <n v="19.209184952978099"/>
    <m/>
  </r>
  <r>
    <x v="0"/>
    <x v="0"/>
    <m/>
    <m/>
    <m/>
    <m/>
    <m/>
    <m/>
    <m/>
    <m/>
    <m/>
    <m/>
    <m/>
    <m/>
    <m/>
  </r>
  <r>
    <x v="0"/>
    <x v="0"/>
    <n v="71714.820000000007"/>
    <n v="71714.820000000007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1"/>
    <x v="81"/>
    <s v="2136008  Ubiquity Services LLC-Valencia Apts"/>
    <n v="0"/>
    <n v="-1629.63"/>
    <n v="1629.63"/>
    <n v="0"/>
    <n v="0"/>
    <n v="20450"/>
    <n v="71714.820000000007"/>
    <n v="20450"/>
    <n v="18715.88"/>
    <n v="1734.12"/>
    <n v="8.4798044009780007"/>
    <m/>
  </r>
  <r>
    <x v="0"/>
    <x v="0"/>
    <m/>
    <m/>
    <m/>
    <m/>
    <m/>
    <m/>
    <m/>
    <m/>
    <m/>
    <m/>
    <m/>
    <m/>
    <m/>
  </r>
  <r>
    <x v="0"/>
    <x v="0"/>
    <n v="600000"/>
    <n v="6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2"/>
    <x v="82"/>
    <s v="2344000  CommPro Services, LLC -NC"/>
    <n v="0"/>
    <n v="0"/>
    <n v="0"/>
    <n v="0"/>
    <n v="574899.87"/>
    <n v="0"/>
    <n v="600000"/>
    <n v="574899.87"/>
    <n v="398004.81"/>
    <n v="176895.06"/>
    <n v="30.769716472539798"/>
    <m/>
  </r>
  <r>
    <x v="0"/>
    <x v="0"/>
    <m/>
    <m/>
    <m/>
    <m/>
    <m/>
    <m/>
    <m/>
    <m/>
    <m/>
    <m/>
    <m/>
    <m/>
    <m/>
  </r>
  <r>
    <x v="0"/>
    <x v="0"/>
    <n v="793150"/>
    <n v="79315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3"/>
    <x v="83"/>
    <s v="2383011  Consol Bus Svs-Canby dba Directlink Resi"/>
    <n v="4000"/>
    <n v="3242.7"/>
    <n v="757.3"/>
    <n v="18.932500000000001"/>
    <n v="803350"/>
    <n v="0"/>
    <n v="793150"/>
    <n v="803350"/>
    <n v="655955.6"/>
    <n v="147394.4"/>
    <n v="18.347469969502701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4"/>
    <x v="84"/>
    <s v="2386090  Sherwood Broadband-City of Sherwood"/>
    <n v="5550"/>
    <n v="3381.44"/>
    <n v="2168.56"/>
    <n v="39.0731531531532"/>
    <n v="9725"/>
    <n v="0"/>
    <n v="0"/>
    <n v="9725"/>
    <n v="7545.85"/>
    <n v="2179.15"/>
    <n v="22.407712082262201"/>
    <m/>
  </r>
  <r>
    <x v="0"/>
    <x v="0"/>
    <m/>
    <m/>
    <m/>
    <m/>
    <m/>
    <m/>
    <m/>
    <m/>
    <m/>
    <m/>
    <m/>
    <m/>
    <m/>
  </r>
  <r>
    <x v="0"/>
    <x v="0"/>
    <n v="400400"/>
    <n v="4004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5"/>
    <x v="85"/>
    <s v="2413000  CommPro Services, LLC -SC"/>
    <n v="23271"/>
    <n v="15048.8"/>
    <n v="8222.2000000000007"/>
    <n v="35.332387950668199"/>
    <n v="641343.71"/>
    <n v="23271"/>
    <n v="400400"/>
    <n v="664614.71"/>
    <n v="493647.88"/>
    <n v="170966.83"/>
    <n v="25.7242019214411"/>
    <m/>
  </r>
  <r>
    <x v="0"/>
    <x v="0"/>
    <m/>
    <m/>
    <m/>
    <m/>
    <m/>
    <m/>
    <m/>
    <m/>
    <m/>
    <m/>
    <m/>
    <m/>
    <m/>
  </r>
  <r>
    <x v="0"/>
    <x v="0"/>
    <n v="589205"/>
    <n v="58920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6"/>
    <x v="86"/>
    <s v="2434000  CommPro Services, LLC-TN"/>
    <n v="26516"/>
    <n v="18949.25"/>
    <n v="7566.75"/>
    <n v="28.536543973450001"/>
    <n v="486853.96"/>
    <n v="26516"/>
    <n v="589205"/>
    <n v="513369.96"/>
    <n v="382041.39"/>
    <n v="131328.57"/>
    <n v="25.581662394114399"/>
    <m/>
  </r>
  <r>
    <x v="0"/>
    <x v="0"/>
    <s v="071075"/>
    <s v="Skellenger, Jason"/>
    <n v="98979.19"/>
    <n v="30414.65"/>
    <n v="6440723.9299999997"/>
    <n v="6678166.9699999997"/>
    <n v="1720672.99"/>
    <n v="68564.539999999994"/>
    <n v="30.7283278434588"/>
    <n v="237443.04"/>
    <n v="4957493.9800000004"/>
    <n v="1.9665361856024399"/>
    <m/>
  </r>
  <r>
    <x v="0"/>
    <x v="0"/>
    <s v="079702"/>
    <s v="Patten, Wayne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77006"/>
    <n v="7700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7"/>
    <x v="87"/>
    <s v="1055129  ATT-Douglas City Bridge"/>
    <n v="0"/>
    <n v="0"/>
    <n v="0"/>
    <n v="0"/>
    <n v="77005.7"/>
    <n v="0"/>
    <n v="77006"/>
    <n v="77005.7"/>
    <n v="55697.67"/>
    <n v="21308.03"/>
    <n v="27.670717881923"/>
    <m/>
  </r>
  <r>
    <x v="0"/>
    <x v="0"/>
    <m/>
    <m/>
    <m/>
    <m/>
    <m/>
    <m/>
    <m/>
    <m/>
    <m/>
    <m/>
    <m/>
    <m/>
    <m/>
  </r>
  <r>
    <x v="0"/>
    <x v="0"/>
    <n v="1277268"/>
    <n v="1277268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8"/>
    <x v="88"/>
    <s v="1055133  Siskiyou Tel-Mugginsville"/>
    <n v="0"/>
    <n v="0"/>
    <n v="0"/>
    <n v="0"/>
    <n v="1277267.55"/>
    <n v="-7.2759576141834308E-12"/>
    <n v="1277268"/>
    <n v="1277267.55"/>
    <n v="1083329.77"/>
    <n v="193937.78"/>
    <n v="15.1838023286507"/>
    <m/>
  </r>
  <r>
    <x v="0"/>
    <x v="0"/>
    <m/>
    <m/>
    <m/>
    <m/>
    <m/>
    <m/>
    <m/>
    <m/>
    <m/>
    <m/>
    <m/>
    <m/>
    <m/>
  </r>
  <r>
    <x v="0"/>
    <x v="0"/>
    <n v="1303406"/>
    <n v="130340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89"/>
    <x v="89"/>
    <s v="1055134  Siskiyou Tel-West Horse Creek"/>
    <n v="0"/>
    <n v="0"/>
    <n v="0"/>
    <n v="0"/>
    <n v="1120649.3"/>
    <n v="9.3132257461547902E-12"/>
    <n v="1303406"/>
    <n v="1120649.3"/>
    <n v="787628.08"/>
    <n v="333021.21999999997"/>
    <n v="29.7168097102278"/>
    <m/>
  </r>
  <r>
    <x v="0"/>
    <x v="0"/>
    <m/>
    <m/>
    <m/>
    <m/>
    <m/>
    <m/>
    <m/>
    <m/>
    <m/>
    <m/>
    <m/>
    <m/>
    <m/>
  </r>
  <r>
    <x v="0"/>
    <x v="0"/>
    <n v="546712.6"/>
    <n v="546712.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0"/>
    <x v="90"/>
    <s v="1055196  Siskiyou Tel-Rattlesnake"/>
    <n v="1256.5999999999999"/>
    <n v="8310.8799999999992"/>
    <n v="-7054.28"/>
    <n v="-561.37832245742504"/>
    <n v="571586.36"/>
    <n v="37541.800000000003"/>
    <n v="546712.6"/>
    <n v="609128.16"/>
    <n v="516792.63"/>
    <n v="92335.53"/>
    <n v="15.1586375517428"/>
    <m/>
  </r>
  <r>
    <x v="0"/>
    <x v="0"/>
    <m/>
    <m/>
    <m/>
    <m/>
    <m/>
    <m/>
    <m/>
    <m/>
    <m/>
    <m/>
    <m/>
    <m/>
    <m/>
  </r>
  <r>
    <x v="0"/>
    <x v="0"/>
    <n v="3000000"/>
    <n v="30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1"/>
    <x v="91"/>
    <s v="1056117  Siskiyou Tel-  OSP Routine Maintenance 2"/>
    <n v="0"/>
    <n v="8947.92"/>
    <n v="-8947.92"/>
    <n v="0"/>
    <n v="0"/>
    <n v="0"/>
    <n v="3000000"/>
    <n v="0"/>
    <n v="8947.92"/>
    <n v="-8947.92"/>
    <n v="0"/>
    <m/>
  </r>
  <r>
    <x v="0"/>
    <x v="0"/>
    <m/>
    <m/>
    <m/>
    <m/>
    <m/>
    <m/>
    <m/>
    <m/>
    <m/>
    <m/>
    <m/>
    <m/>
    <m/>
  </r>
  <r>
    <x v="0"/>
    <x v="0"/>
    <n v="1696755"/>
    <n v="169675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2"/>
    <x v="92"/>
    <s v="1383090  Wave-Newport FTTH"/>
    <n v="2050"/>
    <n v="744.76"/>
    <n v="1305.24"/>
    <n v="63.670243902438997"/>
    <n v="2278885.2999999998"/>
    <n v="101468.45"/>
    <n v="1696755"/>
    <n v="2380353.75"/>
    <n v="2270577.85"/>
    <n v="109775.9"/>
    <n v="4.6117473085670602"/>
    <m/>
  </r>
  <r>
    <x v="0"/>
    <x v="0"/>
    <s v="079702"/>
    <s v="Patten, Wayne"/>
    <n v="3306.6"/>
    <n v="-14696.96"/>
    <n v="5325394.21"/>
    <n v="5464404.46"/>
    <n v="741430.54"/>
    <n v="18003.560000000001"/>
    <n v="-444.47347728784899"/>
    <n v="139010.25"/>
    <n v="4722973.92"/>
    <n v="2.00892706247443"/>
    <m/>
  </r>
  <r>
    <x v="0"/>
    <x v="0"/>
    <s v="084941"/>
    <s v="Newkirk, Orin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256000"/>
    <n v="256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3"/>
    <x v="93"/>
    <s v="1385198  Ziply-Softscape FTTP Springfield S201"/>
    <n v="0"/>
    <n v="3659"/>
    <n v="-3659"/>
    <n v="0"/>
    <n v="256000"/>
    <n v="17510.63"/>
    <n v="256000"/>
    <n v="273510.63"/>
    <n v="333505.68"/>
    <n v="-59995.05"/>
    <n v="-21.935180362094201"/>
    <m/>
  </r>
  <r>
    <x v="0"/>
    <x v="0"/>
    <m/>
    <m/>
    <m/>
    <m/>
    <m/>
    <m/>
    <m/>
    <m/>
    <m/>
    <m/>
    <m/>
    <m/>
    <m/>
  </r>
  <r>
    <x v="0"/>
    <x v="0"/>
    <n v="1305600"/>
    <n v="13056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4"/>
    <x v="94"/>
    <s v="1385220  Ziply-Softscape Keizer FTTP"/>
    <n v="0"/>
    <n v="63.83"/>
    <n v="-63.83"/>
    <n v="0"/>
    <n v="297700"/>
    <n v="679477.25"/>
    <n v="1305600"/>
    <n v="977177.25"/>
    <n v="817959.81"/>
    <n v="159217.44"/>
    <n v="16.293608963982699"/>
    <m/>
  </r>
  <r>
    <x v="0"/>
    <x v="0"/>
    <m/>
    <m/>
    <m/>
    <m/>
    <m/>
    <m/>
    <m/>
    <m/>
    <m/>
    <m/>
    <m/>
    <m/>
    <m/>
  </r>
  <r>
    <x v="0"/>
    <x v="0"/>
    <n v="237140"/>
    <n v="23714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5"/>
    <x v="95"/>
    <s v="1385249  Ziply-Softscape FTTP-Keizer6005282-H4014"/>
    <n v="0"/>
    <n v="0"/>
    <n v="0"/>
    <n v="0"/>
    <n v="0"/>
    <n v="130835"/>
    <n v="237140"/>
    <n v="130835"/>
    <n v="90949.26"/>
    <n v="39885.74"/>
    <n v="30.485527572897201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6"/>
    <x v="96"/>
    <s v="1385251  Ziply - Softscape FTTP OR MSA"/>
    <n v="75200"/>
    <n v="78139.740000000005"/>
    <n v="-2939.74"/>
    <n v="-3.9092287234042602"/>
    <n v="0"/>
    <n v="670390.44999999995"/>
    <n v="0"/>
    <n v="670390.44999999995"/>
    <n v="632971.75"/>
    <n v="37418.699999999997"/>
    <n v="5.5816278409097304"/>
    <m/>
  </r>
  <r>
    <x v="0"/>
    <x v="0"/>
    <m/>
    <m/>
    <m/>
    <m/>
    <m/>
    <m/>
    <m/>
    <m/>
    <m/>
    <m/>
    <m/>
    <m/>
    <m/>
  </r>
  <r>
    <x v="0"/>
    <x v="0"/>
    <n v="409200"/>
    <n v="4092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7"/>
    <x v="97"/>
    <s v="1485219  Ziply-Softscape Sammamish FTTP"/>
    <n v="0"/>
    <n v="276.98"/>
    <n v="-276.98"/>
    <n v="0"/>
    <n v="0"/>
    <n v="344279.1"/>
    <n v="409200"/>
    <n v="344279.1"/>
    <n v="314349.34000000003"/>
    <n v="29929.759999999998"/>
    <n v="8.6934583017092795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8"/>
    <x v="98"/>
    <s v="1485250  Ziply - Softscape FTTP-West WA MSA"/>
    <n v="7286.5"/>
    <n v="-2180.06"/>
    <n v="9466.56"/>
    <n v="129.91916558018301"/>
    <n v="0"/>
    <n v="472503.29"/>
    <n v="0"/>
    <n v="472503.29"/>
    <n v="338219.74"/>
    <n v="134283.54999999999"/>
    <n v="28.419601057169402"/>
    <m/>
  </r>
  <r>
    <x v="0"/>
    <x v="0"/>
    <s v="084941"/>
    <s v="Newkirk, Orin"/>
    <n v="82486.5"/>
    <n v="2527.0100000000002"/>
    <n v="553700"/>
    <n v="2868695.72"/>
    <n v="340740.14"/>
    <n v="79959.490000000005"/>
    <n v="3.0635437313984699"/>
    <n v="2314995.7200000002"/>
    <n v="2527955.58"/>
    <n v="4.6809966307615198"/>
    <m/>
  </r>
  <r>
    <x v="0"/>
    <x v="0"/>
    <s v="087383"/>
    <s v="Laducer, Michael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99"/>
    <x v="99"/>
    <s v="00EQUIP  00-Shop Equipment"/>
    <n v="0"/>
    <n v="136865.51999999999"/>
    <n v="-136865.51999999999"/>
    <n v="0"/>
    <n v="7435940.6500000004"/>
    <n v="0"/>
    <n v="0"/>
    <n v="7435940.6500000004"/>
    <n v="9809474.0299999993"/>
    <n v="-2373533.38"/>
    <n v="-31.919746158813101"/>
    <m/>
  </r>
  <r>
    <x v="0"/>
    <x v="0"/>
    <s v="087383"/>
    <s v="Laducer, Michael"/>
    <n v="0"/>
    <n v="-136865.51999999999"/>
    <n v="7435940.6500000004"/>
    <n v="7435940.6500000004"/>
    <n v="-2373533.38"/>
    <n v="136865.51999999999"/>
    <n v="0"/>
    <n v="0"/>
    <n v="9809474.0299999993"/>
    <n v="-31.919746158813101"/>
    <m/>
  </r>
  <r>
    <x v="0"/>
    <x v="0"/>
    <s v="804720"/>
    <s v="Forte, James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0"/>
    <x v="100"/>
    <s v="1480162  Lumen-LE MSA Extension for Seattle Marke"/>
    <n v="0"/>
    <n v="0"/>
    <n v="0"/>
    <n v="0"/>
    <n v="80552793.5"/>
    <n v="-463325.65000000101"/>
    <n v="0"/>
    <n v="80089467.849999994"/>
    <n v="78232801.099999994"/>
    <n v="1856666.75"/>
    <n v="2.3182408372064098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1"/>
    <x v="101"/>
    <s v="1480164  Lumen-Kahna MSA Extension (FTTH)"/>
    <n v="0"/>
    <n v="0"/>
    <n v="0"/>
    <n v="0"/>
    <n v="3116080.77"/>
    <n v="-54889.840000000302"/>
    <n v="0"/>
    <n v="3061190.93"/>
    <n v="2165619.9300000002"/>
    <n v="895571"/>
    <n v="29.2556400590145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2"/>
    <x v="102"/>
    <s v="1481057  Crown Castle-2020 Fiber Maintenance and"/>
    <n v="0"/>
    <n v="0"/>
    <n v="0"/>
    <n v="0"/>
    <n v="65210.25"/>
    <n v="0"/>
    <n v="0"/>
    <n v="65210.25"/>
    <n v="34390.33"/>
    <n v="30819.919999999998"/>
    <n v="47.2623858979224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3"/>
    <x v="103"/>
    <s v="1482096  Lumen-Enterprise MSA Western WA"/>
    <n v="21946.91"/>
    <n v="23210.25"/>
    <n v="-1263.3399999999999"/>
    <n v="-5.7563456541262497"/>
    <n v="4455316"/>
    <n v="3095516.32"/>
    <n v="0"/>
    <n v="7550832.3200000003"/>
    <n v="6564774.0599999996"/>
    <n v="986058.26"/>
    <n v="13.05893467384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4"/>
    <x v="104"/>
    <s v="1482110  Lumen-2022 GPON BF OVERBUILD-Seattle (FT"/>
    <n v="0"/>
    <n v="0"/>
    <n v="0"/>
    <n v="0"/>
    <n v="2284595.89"/>
    <n v="-45000"/>
    <n v="0"/>
    <n v="2239595.89"/>
    <n v="2109344.0499999998"/>
    <n v="130251.84"/>
    <n v="5.8158635038395303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5"/>
    <x v="105"/>
    <s v="1483024  Lumen-2022-2024 GPON OVERBUILD Seattle ("/>
    <n v="0"/>
    <n v="0"/>
    <n v="0"/>
    <n v="0"/>
    <n v="2811963.18"/>
    <n v="1.33755406750424E-10"/>
    <n v="0"/>
    <n v="2811963.18"/>
    <n v="1485743.01"/>
    <n v="1326220.17"/>
    <n v="47.163496998563097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6"/>
    <x v="106"/>
    <s v="1483096  Lumen-2023LE000081 Fiber Overbuild (FTTH"/>
    <n v="53216.09"/>
    <n v="43130.87"/>
    <n v="10085.219999999999"/>
    <n v="18.951448706584799"/>
    <n v="13298103.720000001"/>
    <n v="1325775.94"/>
    <n v="0"/>
    <n v="14623879.66"/>
    <n v="12142980.960000001"/>
    <n v="2480898.7000000002"/>
    <n v="16.9647094866753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7"/>
    <x v="107"/>
    <s v="1483098  Lumen-2023 San Juan Islands Consumer"/>
    <n v="0"/>
    <n v="1220.81"/>
    <n v="-1220.81"/>
    <n v="0"/>
    <n v="222681.95"/>
    <n v="74037.460000000006"/>
    <n v="0"/>
    <n v="296719.40999999997"/>
    <n v="220537.95"/>
    <n v="76181.460000000006"/>
    <n v="25.674579226212401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8"/>
    <x v="108"/>
    <s v="1483099  Lumen-2023 WA West Consumer"/>
    <n v="649910.6"/>
    <n v="527272.35"/>
    <n v="122638.25"/>
    <n v="18.870018430227201"/>
    <n v="44978382.700000003"/>
    <n v="15191110.869999999"/>
    <n v="0"/>
    <n v="60169493.57"/>
    <n v="55352600.060000002"/>
    <n v="4816893.51"/>
    <n v="8.0055410544483294"/>
    <m/>
  </r>
  <r>
    <x v="0"/>
    <x v="0"/>
    <m/>
    <m/>
    <m/>
    <m/>
    <m/>
    <m/>
    <m/>
    <m/>
    <m/>
    <m/>
    <m/>
    <m/>
    <m/>
  </r>
  <r>
    <x v="0"/>
    <x v="0"/>
    <n v="40122"/>
    <n v="40122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09"/>
    <x v="109"/>
    <s v="1485131  LS Networks-Cran Site 8"/>
    <n v="0"/>
    <n v="1498.64"/>
    <n v="-1498.64"/>
    <n v="0"/>
    <n v="40122"/>
    <n v="11987.5"/>
    <n v="40122"/>
    <n v="52109.5"/>
    <n v="42019.25"/>
    <n v="10090.25"/>
    <n v="19.363551751599999"/>
    <m/>
  </r>
  <r>
    <x v="0"/>
    <x v="0"/>
    <m/>
    <m/>
    <m/>
    <m/>
    <m/>
    <m/>
    <m/>
    <m/>
    <m/>
    <m/>
    <m/>
    <m/>
    <m/>
  </r>
  <r>
    <x v="0"/>
    <x v="0"/>
    <n v="275000"/>
    <n v="275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0"/>
    <x v="110"/>
    <s v="1485158  Ziply-Olympia 5521545-2 (FTTH)"/>
    <n v="0"/>
    <n v="0"/>
    <n v="0"/>
    <n v="0"/>
    <n v="0"/>
    <n v="462537.25"/>
    <n v="275000"/>
    <n v="462537.25"/>
    <n v="371156.92"/>
    <n v="91380.33"/>
    <n v="19.756318004657999"/>
    <m/>
  </r>
  <r>
    <x v="0"/>
    <x v="0"/>
    <m/>
    <m/>
    <m/>
    <m/>
    <m/>
    <m/>
    <m/>
    <m/>
    <m/>
    <m/>
    <m/>
    <m/>
    <m/>
  </r>
  <r>
    <x v="0"/>
    <x v="0"/>
    <n v="24146"/>
    <n v="2414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1"/>
    <x v="111"/>
    <s v="1485160  LS Networks-Cran Site 10"/>
    <n v="0"/>
    <n v="1241.45"/>
    <n v="-1241.45"/>
    <n v="0"/>
    <n v="26211"/>
    <n v="0"/>
    <n v="24146"/>
    <n v="26211"/>
    <n v="19070.060000000001"/>
    <n v="7140.94"/>
    <n v="27.244057838312202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2"/>
    <x v="112"/>
    <s v="1485174  Ziply-WA FTTP SSP (FTTH)"/>
    <n v="28709.360000000001"/>
    <n v="21025.8"/>
    <n v="7683.56"/>
    <n v="26.763257697141299"/>
    <n v="893853.11"/>
    <n v="605958.46"/>
    <n v="0"/>
    <n v="1499811.57"/>
    <n v="1134974.6399999999"/>
    <n v="364836.93"/>
    <n v="24.325517771542501"/>
    <m/>
  </r>
  <r>
    <x v="0"/>
    <x v="0"/>
    <m/>
    <m/>
    <m/>
    <m/>
    <m/>
    <m/>
    <m/>
    <m/>
    <m/>
    <m/>
    <m/>
    <m/>
    <m/>
  </r>
  <r>
    <x v="0"/>
    <x v="0"/>
    <n v="19464.75"/>
    <n v="19464.7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3"/>
    <x v="113"/>
    <s v="1485180  LS Networks-Cran 006"/>
    <n v="0"/>
    <n v="1088.1199999999999"/>
    <n v="-1088.1199999999999"/>
    <n v="0"/>
    <n v="19464.75"/>
    <n v="0"/>
    <n v="19464.75"/>
    <n v="19464.75"/>
    <n v="17773.7"/>
    <n v="1691.05"/>
    <n v="8.6877560718735207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4"/>
    <x v="114"/>
    <s v="1485190  Zayo-Dexter Ave N"/>
    <n v="0"/>
    <n v="0"/>
    <n v="0"/>
    <n v="0"/>
    <n v="7936.86"/>
    <n v="0"/>
    <n v="0"/>
    <n v="7936.86"/>
    <n v="3548.7"/>
    <n v="4388.16"/>
    <n v="55.288363408199203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5"/>
    <x v="115"/>
    <s v="1485191  LS Networks-Cran 002"/>
    <n v="0"/>
    <n v="0"/>
    <n v="0"/>
    <n v="0"/>
    <n v="130968.75"/>
    <n v="0"/>
    <n v="0"/>
    <n v="130968.75"/>
    <n v="107375.05"/>
    <n v="23593.7"/>
    <n v="18.014755428298699"/>
    <m/>
  </r>
  <r>
    <x v="0"/>
    <x v="0"/>
    <m/>
    <m/>
    <m/>
    <m/>
    <m/>
    <m/>
    <m/>
    <m/>
    <m/>
    <m/>
    <m/>
    <m/>
    <m/>
  </r>
  <r>
    <x v="0"/>
    <x v="0"/>
    <n v="20369.91"/>
    <n v="20369.91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6"/>
    <x v="116"/>
    <s v="1485194  LS Networks-Cran 011"/>
    <n v="0"/>
    <n v="0"/>
    <n v="0"/>
    <n v="0"/>
    <n v="20369.91"/>
    <n v="0"/>
    <n v="20369.91"/>
    <n v="20369.91"/>
    <n v="11561.17"/>
    <n v="8808.74"/>
    <n v="43.243882766295997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7"/>
    <x v="117"/>
    <s v="1485214  Ziply-WA BAU SSP (James)"/>
    <n v="0"/>
    <n v="0"/>
    <n v="0"/>
    <n v="0"/>
    <n v="23943.68"/>
    <n v="1968"/>
    <n v="0"/>
    <n v="25911.68"/>
    <n v="19255.939999999999"/>
    <n v="6655.74"/>
    <n v="25.686254229752802"/>
    <m/>
  </r>
  <r>
    <x v="0"/>
    <x v="0"/>
    <m/>
    <m/>
    <m/>
    <m/>
    <m/>
    <m/>
    <m/>
    <m/>
    <m/>
    <m/>
    <m/>
    <m/>
    <m/>
  </r>
  <r>
    <x v="0"/>
    <x v="0"/>
    <n v="26612"/>
    <n v="26612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8"/>
    <x v="118"/>
    <s v="1485229  LS Networks-USCC Centralia Alder Street"/>
    <n v="0"/>
    <n v="0"/>
    <n v="0"/>
    <n v="0"/>
    <n v="26912"/>
    <n v="0"/>
    <n v="26612"/>
    <n v="26912"/>
    <n v="9580.92"/>
    <n v="17331.080000000002"/>
    <n v="64.399078478002394"/>
    <m/>
  </r>
  <r>
    <x v="0"/>
    <x v="0"/>
    <m/>
    <m/>
    <m/>
    <m/>
    <m/>
    <m/>
    <m/>
    <m/>
    <m/>
    <m/>
    <m/>
    <m/>
    <m/>
  </r>
  <r>
    <x v="0"/>
    <x v="0"/>
    <n v="276916.53000000003"/>
    <n v="276916.53000000003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19"/>
    <x v="119"/>
    <s v="1485230  Ziply-Hwy 530 WO 5513143 (FTTP PW)"/>
    <n v="0"/>
    <n v="1483.8"/>
    <n v="-1483.8"/>
    <n v="0"/>
    <n v="-9.3132257461547902E-12"/>
    <n v="76867.240000000005"/>
    <n v="276916.53000000003"/>
    <n v="76867.240000000005"/>
    <n v="72538.460000000006"/>
    <n v="4328.78"/>
    <n v="5.6315017945226096"/>
    <m/>
  </r>
  <r>
    <x v="0"/>
    <x v="0"/>
    <m/>
    <m/>
    <m/>
    <m/>
    <m/>
    <m/>
    <m/>
    <m/>
    <m/>
    <m/>
    <m/>
    <m/>
    <m/>
  </r>
  <r>
    <x v="0"/>
    <x v="0"/>
    <n v="18688"/>
    <n v="18688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0"/>
    <x v="120"/>
    <s v="1485253  Astound-Furnish and Install 6 inch class"/>
    <n v="3725.1"/>
    <n v="1280"/>
    <n v="2445.1"/>
    <n v="65.638506348822801"/>
    <n v="21678.93"/>
    <n v="3725.1"/>
    <n v="18688"/>
    <n v="25404.03"/>
    <n v="18120.150000000001"/>
    <n v="7283.88"/>
    <n v="28.672143750420702"/>
    <m/>
  </r>
  <r>
    <x v="0"/>
    <x v="0"/>
    <m/>
    <m/>
    <m/>
    <m/>
    <m/>
    <m/>
    <m/>
    <m/>
    <m/>
    <m/>
    <m/>
    <m/>
    <m/>
  </r>
  <r>
    <x v="0"/>
    <x v="0"/>
    <n v="2700000"/>
    <n v="27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1"/>
    <x v="121"/>
    <s v="1485254  Lumen-WA Enterprise"/>
    <n v="9380.4699999999993"/>
    <n v="6650.48"/>
    <n v="2729.99"/>
    <n v="29.102912753838599"/>
    <n v="59277.39"/>
    <n v="30000.83"/>
    <n v="2700000"/>
    <n v="89278.22"/>
    <n v="44083.08"/>
    <n v="45195.14"/>
    <n v="50.622805875833997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2"/>
    <x v="122"/>
    <s v="1486113  ZAYO - Maintenance"/>
    <n v="1497.53"/>
    <n v="1905.52"/>
    <n v="-407.99"/>
    <n v="-27.2441954418275"/>
    <n v="6651.84"/>
    <n v="8147.33"/>
    <n v="0"/>
    <n v="14799.17"/>
    <n v="8539.5300000000007"/>
    <n v="6259.64"/>
    <n v="42.297236939639198"/>
    <m/>
  </r>
  <r>
    <x v="0"/>
    <x v="0"/>
    <m/>
    <m/>
    <m/>
    <m/>
    <m/>
    <m/>
    <m/>
    <m/>
    <m/>
    <m/>
    <m/>
    <m/>
    <m/>
  </r>
  <r>
    <x v="0"/>
    <x v="0"/>
    <n v="225000"/>
    <n v="225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3"/>
    <x v="123"/>
    <s v="1487026  VZ-Verizon Business-Seattle Maintenance"/>
    <n v="0"/>
    <n v="0"/>
    <n v="0"/>
    <n v="0"/>
    <n v="537697.84"/>
    <n v="-28671.200000000001"/>
    <n v="225000"/>
    <n v="509026.64"/>
    <n v="371965.59"/>
    <n v="137061.04999999999"/>
    <n v="26.926105478487301"/>
    <m/>
  </r>
  <r>
    <x v="0"/>
    <x v="0"/>
    <s v="804720"/>
    <s v="Forte, James"/>
    <n v="768386.06"/>
    <n v="137377.97"/>
    <n v="153600216.02000001"/>
    <n v="173895961.63"/>
    <n v="13335607.02"/>
    <n v="631008.09"/>
    <n v="17.878769169758201"/>
    <n v="20295745.609999999"/>
    <n v="160560354.61000001"/>
    <n v="7.8817845288222402E-2"/>
    <m/>
  </r>
  <r>
    <x v="0"/>
    <x v="0"/>
    <s v="804890"/>
    <s v="Lyon, Stewart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1600000"/>
    <n v="16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4"/>
    <x v="124"/>
    <s v="1055210  CAL-Ore 2024"/>
    <n v="0"/>
    <n v="154276.85"/>
    <n v="-154276.85"/>
    <n v="0"/>
    <n v="456526.33"/>
    <n v="238498.52"/>
    <n v="1600000"/>
    <n v="695024.85"/>
    <n v="787918.4"/>
    <n v="-92893.55"/>
    <n v="-13.365500528506301"/>
    <m/>
  </r>
  <r>
    <x v="0"/>
    <x v="0"/>
    <m/>
    <m/>
    <m/>
    <m/>
    <m/>
    <m/>
    <m/>
    <m/>
    <m/>
    <m/>
    <m/>
    <m/>
    <m/>
  </r>
  <r>
    <x v="0"/>
    <x v="0"/>
    <n v="3227725.04"/>
    <n v="3227725.04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5"/>
    <x v="125"/>
    <s v="1275152  Ziply - Great Falls Build (FTTH)"/>
    <n v="0"/>
    <n v="2755.93"/>
    <n v="-2755.93"/>
    <n v="0"/>
    <n v="716903.63"/>
    <n v="404950.32"/>
    <n v="3227725.04"/>
    <n v="1121853.95"/>
    <n v="1045204.83"/>
    <n v="76649.119999999995"/>
    <n v="6.8323617347873098"/>
    <m/>
  </r>
  <r>
    <x v="0"/>
    <x v="0"/>
    <m/>
    <m/>
    <m/>
    <m/>
    <m/>
    <m/>
    <m/>
    <m/>
    <m/>
    <m/>
    <m/>
    <m/>
    <m/>
  </r>
  <r>
    <x v="0"/>
    <x v="0"/>
    <n v="2057925.99"/>
    <n v="2057925.99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6"/>
    <x v="126"/>
    <s v="1386118  Alyrica - Webfoot"/>
    <n v="0"/>
    <n v="0"/>
    <n v="0"/>
    <n v="0"/>
    <n v="0"/>
    <n v="0"/>
    <n v="2057925.99"/>
    <n v="0"/>
    <n v="0.01"/>
    <n v="-0.01"/>
    <n v="0"/>
    <m/>
  </r>
  <r>
    <x v="0"/>
    <x v="0"/>
    <m/>
    <m/>
    <m/>
    <m/>
    <m/>
    <m/>
    <m/>
    <m/>
    <m/>
    <m/>
    <m/>
    <m/>
    <m/>
  </r>
  <r>
    <x v="0"/>
    <x v="0"/>
    <n v="8711407.25"/>
    <n v="8711407.2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7"/>
    <x v="127"/>
    <s v="1484142  Hood Canal Tel-Northern Hood Canal Fiber"/>
    <n v="0"/>
    <n v="0"/>
    <n v="0"/>
    <n v="0"/>
    <n v="10056586.34"/>
    <n v="-1.40987595348419E-10"/>
    <n v="8711407.25"/>
    <n v="10056586.34"/>
    <n v="8780306.3499999996"/>
    <n v="1276279.99"/>
    <n v="12.6909862536913"/>
    <m/>
  </r>
  <r>
    <x v="0"/>
    <x v="0"/>
    <m/>
    <m/>
    <m/>
    <m/>
    <m/>
    <m/>
    <m/>
    <m/>
    <m/>
    <m/>
    <m/>
    <m/>
    <m/>
  </r>
  <r>
    <x v="0"/>
    <x v="0"/>
    <n v="78500"/>
    <n v="785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8"/>
    <x v="128"/>
    <s v="1484169  Hood Canal Tel-BSR Design"/>
    <n v="0"/>
    <n v="0"/>
    <n v="0"/>
    <n v="0"/>
    <n v="171698.14"/>
    <n v="0"/>
    <n v="78500"/>
    <n v="171698.14"/>
    <n v="109816.55"/>
    <n v="61881.59"/>
    <n v="36.040920419988197"/>
    <m/>
  </r>
  <r>
    <x v="0"/>
    <x v="0"/>
    <m/>
    <m/>
    <m/>
    <m/>
    <m/>
    <m/>
    <m/>
    <m/>
    <m/>
    <m/>
    <m/>
    <m/>
    <m/>
  </r>
  <r>
    <x v="0"/>
    <x v="0"/>
    <n v="150000"/>
    <n v="15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29"/>
    <x v="127"/>
    <s v="1484190  Hood Canal Tel-Northern Hood Canal Fiber"/>
    <n v="0"/>
    <n v="0"/>
    <n v="0"/>
    <n v="0"/>
    <n v="191661.74"/>
    <n v="0"/>
    <n v="150000"/>
    <n v="191661.74"/>
    <n v="145254.9"/>
    <n v="46406.84"/>
    <n v="24.2128867242883"/>
    <m/>
  </r>
  <r>
    <x v="0"/>
    <x v="0"/>
    <m/>
    <m/>
    <m/>
    <m/>
    <m/>
    <m/>
    <m/>
    <m/>
    <m/>
    <m/>
    <m/>
    <m/>
    <m/>
  </r>
  <r>
    <x v="0"/>
    <x v="0"/>
    <n v="4243378"/>
    <n v="4243378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0"/>
    <x v="129"/>
    <s v="1485117  Pacific PUD-ITB 2023-2 Fiber"/>
    <n v="-3550.08"/>
    <n v="2257.58"/>
    <n v="-5807.66"/>
    <n v="0"/>
    <n v="4128004.23"/>
    <n v="81553.72"/>
    <n v="4243378"/>
    <n v="4209557.95"/>
    <n v="3279193.61"/>
    <n v="930364.34"/>
    <n v="22.101236069217201"/>
    <m/>
  </r>
  <r>
    <x v="0"/>
    <x v="0"/>
    <m/>
    <m/>
    <m/>
    <m/>
    <m/>
    <m/>
    <m/>
    <m/>
    <m/>
    <m/>
    <m/>
    <m/>
    <m/>
  </r>
  <r>
    <x v="0"/>
    <x v="0"/>
    <n v="1884090"/>
    <n v="188409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1"/>
    <x v="130"/>
    <s v="1485118  Pacific PUD-ITB 2023-2 Electrical"/>
    <n v="0"/>
    <n v="0"/>
    <n v="0"/>
    <n v="0"/>
    <n v="1863676.66"/>
    <n v="-3.6379788070917097E-11"/>
    <n v="1884090"/>
    <n v="1863676.66"/>
    <n v="1201839.3700000001"/>
    <n v="661837.29"/>
    <n v="35.512452573184"/>
    <m/>
  </r>
  <r>
    <x v="0"/>
    <x v="0"/>
    <m/>
    <m/>
    <m/>
    <m/>
    <m/>
    <m/>
    <m/>
    <m/>
    <m/>
    <m/>
    <m/>
    <m/>
    <m/>
  </r>
  <r>
    <x v="0"/>
    <x v="0"/>
    <n v="364162.75"/>
    <n v="364162.7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2"/>
    <x v="131"/>
    <s v="1485119  Pacific PUD-ITB 2023-3 Splicing"/>
    <n v="-3594.97"/>
    <n v="5129.58"/>
    <n v="-8724.5499999999993"/>
    <n v="0"/>
    <n v="223581.07"/>
    <n v="94781.58"/>
    <n v="364162.75"/>
    <n v="318362.65000000002"/>
    <n v="345979.07"/>
    <n v="-27616.42"/>
    <n v="-8.6745163102518497"/>
    <m/>
  </r>
  <r>
    <x v="0"/>
    <x v="0"/>
    <m/>
    <m/>
    <m/>
    <m/>
    <m/>
    <m/>
    <m/>
    <m/>
    <m/>
    <m/>
    <m/>
    <m/>
    <m/>
  </r>
  <r>
    <x v="0"/>
    <x v="0"/>
    <n v="9500000"/>
    <n v="95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3"/>
    <x v="132"/>
    <s v="1485141  Jefferson PUD-Olympic Fiber Build"/>
    <n v="-2537.5"/>
    <n v="-4951.8100000000004"/>
    <n v="2414.31"/>
    <n v="0"/>
    <n v="9428101.3000000007"/>
    <n v="282483.18"/>
    <n v="9500000"/>
    <n v="9710584.4800000004"/>
    <n v="8328588.7599999998"/>
    <n v="1381995.72"/>
    <n v="14.231848997826701"/>
    <m/>
  </r>
  <r>
    <x v="0"/>
    <x v="0"/>
    <m/>
    <m/>
    <m/>
    <m/>
    <m/>
    <m/>
    <m/>
    <m/>
    <m/>
    <m/>
    <m/>
    <m/>
    <m/>
  </r>
  <r>
    <x v="0"/>
    <x v="0"/>
    <n v="71106"/>
    <n v="7110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4"/>
    <x v="133"/>
    <s v="1485153  Mason County PUD-Seal Rock Joint Bore"/>
    <n v="0"/>
    <n v="0"/>
    <n v="0"/>
    <n v="0"/>
    <n v="71106"/>
    <n v="7.2759576141834308E-12"/>
    <n v="71106"/>
    <n v="71106"/>
    <n v="61207.64"/>
    <n v="9898.36"/>
    <n v="13.9205692909178"/>
    <m/>
  </r>
  <r>
    <x v="0"/>
    <x v="0"/>
    <m/>
    <m/>
    <m/>
    <m/>
    <m/>
    <m/>
    <m/>
    <m/>
    <m/>
    <m/>
    <m/>
    <m/>
    <m/>
  </r>
  <r>
    <x v="0"/>
    <x v="0"/>
    <n v="63456"/>
    <n v="63456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5"/>
    <x v="134"/>
    <s v="1485159  Hood Canal Tel-Brinnon OLT"/>
    <n v="0"/>
    <n v="0"/>
    <n v="0"/>
    <n v="0"/>
    <n v="63456"/>
    <n v="0"/>
    <n v="63456"/>
    <n v="63456"/>
    <n v="59286.8"/>
    <n v="4169.2"/>
    <n v="6.5702218860312698"/>
    <m/>
  </r>
  <r>
    <x v="0"/>
    <x v="0"/>
    <m/>
    <m/>
    <m/>
    <m/>
    <m/>
    <m/>
    <m/>
    <m/>
    <m/>
    <m/>
    <m/>
    <m/>
    <m/>
  </r>
  <r>
    <x v="0"/>
    <x v="0"/>
    <n v="13125397.41"/>
    <n v="13125397.41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6"/>
    <x v="135"/>
    <s v="1485262  Astound - Clallam County WSBO Phase"/>
    <n v="0"/>
    <n v="0"/>
    <n v="0"/>
    <n v="0"/>
    <n v="0"/>
    <n v="0"/>
    <n v="13125397.41"/>
    <n v="0"/>
    <n v="-159.91"/>
    <n v="159.91"/>
    <n v="0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7"/>
    <x v="136"/>
    <s v="1485263  Astound - Clallam County PWB Phase"/>
    <n v="81083.45"/>
    <n v="149884.57"/>
    <n v="-68801.119999999995"/>
    <n v="-84.852235567184195"/>
    <n v="0"/>
    <n v="564662.85"/>
    <n v="0"/>
    <n v="564662.85"/>
    <n v="465016.54"/>
    <n v="99646.31"/>
    <n v="17.647045489180002"/>
    <m/>
  </r>
  <r>
    <x v="0"/>
    <x v="0"/>
    <s v="804890"/>
    <s v="Lyon, Stewart"/>
    <n v="71400.899999999994"/>
    <n v="-237951.8"/>
    <n v="27371301.440000001"/>
    <n v="29038231.609999999"/>
    <n v="4428778.6900000004"/>
    <n v="309352.7"/>
    <n v="-333.26162555373998"/>
    <n v="1666930.17"/>
    <n v="24609452.920000002"/>
    <n v="0.34315557275768999"/>
    <m/>
  </r>
  <r>
    <x v="0"/>
    <x v="0"/>
    <s v="833677"/>
    <s v="Fitts, Joshua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5720786.6299999999"/>
    <n v="5720786.6299999999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8"/>
    <x v="137"/>
    <s v="1484193  Douglas PUD-FOC and Cable Install"/>
    <n v="0"/>
    <n v="0"/>
    <n v="0"/>
    <n v="0"/>
    <n v="3158699.41"/>
    <n v="0"/>
    <n v="5720786.6299999999"/>
    <n v="3158699.41"/>
    <n v="2700745.82"/>
    <n v="457953.59"/>
    <n v="14.4981693588881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39"/>
    <x v="138"/>
    <s v="1485188  Ziply - Eastern WA FTTP MSA"/>
    <n v="72596.600000000006"/>
    <n v="38377.07"/>
    <n v="34219.53"/>
    <n v="47.1365463396357"/>
    <n v="286511.59000000003"/>
    <n v="431149.86"/>
    <n v="0"/>
    <n v="717661.45"/>
    <n v="680357.58"/>
    <n v="37303.870000000003"/>
    <n v="5.1979760094401097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0"/>
    <x v="139"/>
    <s v="1485212  Ziply - Eastern WA BAU SSP (Josh)"/>
    <n v="-83186.2"/>
    <n v="-6739.76"/>
    <n v="-76446.44"/>
    <n v="0"/>
    <n v="184028.01"/>
    <n v="77365.179999999993"/>
    <n v="0"/>
    <n v="261393.19"/>
    <n v="347679.2"/>
    <n v="-86286.01"/>
    <n v="-33.010045135452799"/>
    <m/>
  </r>
  <r>
    <x v="0"/>
    <x v="0"/>
    <m/>
    <m/>
    <m/>
    <m/>
    <m/>
    <m/>
    <m/>
    <m/>
    <m/>
    <m/>
    <m/>
    <m/>
    <m/>
  </r>
  <r>
    <x v="0"/>
    <x v="0"/>
    <n v="79825"/>
    <n v="7982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1"/>
    <x v="140"/>
    <s v="1485224  LS Networks-CRAN 004"/>
    <n v="0"/>
    <n v="0"/>
    <n v="0"/>
    <n v="0"/>
    <n v="-9.3132257461547902E-12"/>
    <n v="66588.100000000006"/>
    <n v="79825"/>
    <n v="66588.100000000006"/>
    <n v="42125.17"/>
    <n v="24462.93"/>
    <n v="36.737690368098797"/>
    <m/>
  </r>
  <r>
    <x v="0"/>
    <x v="0"/>
    <m/>
    <m/>
    <m/>
    <m/>
    <m/>
    <m/>
    <m/>
    <m/>
    <m/>
    <m/>
    <m/>
    <m/>
    <m/>
  </r>
  <r>
    <x v="0"/>
    <x v="0"/>
    <n v="33983"/>
    <n v="33983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2"/>
    <x v="141"/>
    <s v="1485225  LS Networks-CRAN 12"/>
    <n v="0"/>
    <n v="0"/>
    <n v="0"/>
    <n v="0"/>
    <n v="-4.6566128730773903E-12"/>
    <n v="34555.160000000003"/>
    <n v="33983"/>
    <n v="34555.160000000003"/>
    <n v="15693.51"/>
    <n v="18861.650000000001"/>
    <n v="54.584177876762801"/>
    <m/>
  </r>
  <r>
    <x v="0"/>
    <x v="0"/>
    <m/>
    <m/>
    <m/>
    <m/>
    <m/>
    <m/>
    <m/>
    <m/>
    <m/>
    <m/>
    <m/>
    <m/>
    <m/>
  </r>
  <r>
    <x v="0"/>
    <x v="0"/>
    <n v="54297"/>
    <n v="54297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3"/>
    <x v="142"/>
    <s v="1485227  LS Networks-CRAN 037"/>
    <n v="0"/>
    <n v="0"/>
    <n v="0"/>
    <n v="0"/>
    <n v="0"/>
    <n v="46433.99"/>
    <n v="54297"/>
    <n v="46433.99"/>
    <n v="44270.65"/>
    <n v="2163.34"/>
    <n v="4.6589578022478797"/>
    <m/>
  </r>
  <r>
    <x v="0"/>
    <x v="0"/>
    <m/>
    <m/>
    <m/>
    <m/>
    <m/>
    <m/>
    <m/>
    <m/>
    <m/>
    <m/>
    <m/>
    <m/>
    <m/>
  </r>
  <r>
    <x v="0"/>
    <x v="0"/>
    <n v="425000"/>
    <n v="425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4"/>
    <x v="143"/>
    <s v="1485245  IIG- PO 2464 South River Malaga"/>
    <n v="0"/>
    <n v="0"/>
    <n v="0"/>
    <n v="0"/>
    <n v="306115.96000000002"/>
    <n v="1.86264514923096E-11"/>
    <n v="425000"/>
    <n v="306115.96000000002"/>
    <n v="213110.63"/>
    <n v="93005.33"/>
    <n v="30.382385158879"/>
    <m/>
  </r>
  <r>
    <x v="0"/>
    <x v="0"/>
    <m/>
    <m/>
    <m/>
    <m/>
    <m/>
    <m/>
    <m/>
    <m/>
    <m/>
    <m/>
    <m/>
    <m/>
    <m/>
  </r>
  <r>
    <x v="0"/>
    <x v="0"/>
    <n v="23000"/>
    <n v="23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5"/>
    <x v="144"/>
    <s v="1486116  IIG - PO 2665, Stark to Industrial build"/>
    <n v="23000"/>
    <n v="14745.55"/>
    <n v="8254.4500000000007"/>
    <n v="35.888913043478297"/>
    <n v="0"/>
    <n v="23000"/>
    <n v="23000"/>
    <n v="23000"/>
    <n v="14745.55"/>
    <n v="8254.4500000000007"/>
    <n v="35.888913043478297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6"/>
    <x v="145"/>
    <s v="1489168  Grant PUD-Fiber Optic Design &amp; Construct"/>
    <n v="70649.600000000006"/>
    <n v="67478.36"/>
    <n v="3171.24"/>
    <n v="4.4886878340429401"/>
    <n v="91369295.689999998"/>
    <n v="70649.5799999999"/>
    <n v="0"/>
    <n v="91439945.269999996"/>
    <n v="73625540.579999998"/>
    <n v="17814404.690000001"/>
    <n v="19.4820815316527"/>
    <m/>
  </r>
  <r>
    <x v="0"/>
    <x v="0"/>
    <s v="833677"/>
    <s v="Fitts, Joshua"/>
    <n v="83060"/>
    <n v="-30801.22"/>
    <n v="95304650.659999996"/>
    <n v="96054392.530000001"/>
    <n v="18370123.84"/>
    <n v="113861.22"/>
    <n v="-37.083096556706003"/>
    <n v="749741.87"/>
    <n v="77684268.689999998"/>
    <n v="18.546163502555199"/>
    <m/>
  </r>
  <r>
    <x v="0"/>
    <x v="0"/>
    <s v="842683"/>
    <s v="Martin, Robert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7"/>
    <x v="146"/>
    <s v="1134140  Lumen-2022LE000008 Idaho"/>
    <n v="0"/>
    <n v="0"/>
    <n v="0"/>
    <n v="0"/>
    <n v="18349.68"/>
    <n v="36580.870000000003"/>
    <n v="0"/>
    <n v="54930.55"/>
    <n v="49733.57"/>
    <n v="5196.9799999999996"/>
    <n v="9.46100120970934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8"/>
    <x v="147"/>
    <s v="1135184  Ziply - ID FTTP MSA (Rob)"/>
    <n v="0"/>
    <n v="3664.78"/>
    <n v="-3664.78"/>
    <n v="0"/>
    <n v="0"/>
    <n v="622736"/>
    <n v="0"/>
    <n v="622736"/>
    <n v="552685.27"/>
    <n v="70050.73"/>
    <n v="11.248864687443801"/>
    <m/>
  </r>
  <r>
    <x v="0"/>
    <x v="0"/>
    <m/>
    <m/>
    <m/>
    <m/>
    <m/>
    <m/>
    <m/>
    <m/>
    <m/>
    <m/>
    <m/>
    <m/>
    <m/>
  </r>
  <r>
    <x v="0"/>
    <x v="0"/>
    <n v="37786.870000000003"/>
    <n v="37786.870000000003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49"/>
    <x v="148"/>
    <s v="1135204  Avista - Poleline Substation"/>
    <n v="0"/>
    <n v="0"/>
    <n v="0"/>
    <n v="0"/>
    <n v="0"/>
    <n v="30034.25"/>
    <n v="37786.870000000003"/>
    <n v="30034.25"/>
    <n v="22222.54"/>
    <n v="7811.71"/>
    <n v="26.009339337589601"/>
    <m/>
  </r>
  <r>
    <x v="0"/>
    <x v="0"/>
    <m/>
    <m/>
    <m/>
    <m/>
    <m/>
    <m/>
    <m/>
    <m/>
    <m/>
    <m/>
    <m/>
    <m/>
    <m/>
  </r>
  <r>
    <x v="0"/>
    <x v="0"/>
    <n v="265"/>
    <n v="26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0"/>
    <x v="149"/>
    <s v="1135248  Cogent-14428 Meyers Rd"/>
    <n v="0"/>
    <n v="0"/>
    <n v="0"/>
    <n v="0"/>
    <n v="0"/>
    <n v="265"/>
    <n v="265"/>
    <n v="265"/>
    <n v="129.63999999999999"/>
    <n v="135.36000000000001"/>
    <n v="51.0792452830188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1"/>
    <x v="150"/>
    <s v="1275216  Ziply - MT FTTP MSA (Rob)"/>
    <n v="0"/>
    <n v="0"/>
    <n v="0"/>
    <n v="0"/>
    <n v="0"/>
    <n v="650677.55000000005"/>
    <n v="0"/>
    <n v="650677.55000000005"/>
    <n v="527645.06999999995"/>
    <n v="123032.48"/>
    <n v="18.9083640583573"/>
    <m/>
  </r>
  <r>
    <x v="0"/>
    <x v="0"/>
    <m/>
    <m/>
    <m/>
    <m/>
    <m/>
    <m/>
    <m/>
    <m/>
    <m/>
    <m/>
    <m/>
    <m/>
    <m/>
  </r>
  <r>
    <x v="0"/>
    <x v="0"/>
    <n v="3195"/>
    <n v="3195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2"/>
    <x v="151"/>
    <s v="1276101  Cogent - BNSF Bridge 0042 MRL Bridge 76"/>
    <n v="0"/>
    <n v="0"/>
    <n v="0"/>
    <n v="0"/>
    <n v="0"/>
    <n v="3195"/>
    <n v="3195"/>
    <n v="3195"/>
    <n v="2287.02"/>
    <n v="907.98"/>
    <n v="28.4187793427229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3"/>
    <x v="152"/>
    <s v="1483005  Lumen-2022 GPON BF OVERBUILD Spokane (FT"/>
    <n v="0"/>
    <n v="0"/>
    <n v="0"/>
    <n v="0"/>
    <n v="2888842.44"/>
    <n v="-3.7252902984619103E-11"/>
    <n v="0"/>
    <n v="2888842.44"/>
    <n v="2074822.42"/>
    <n v="814020.02"/>
    <n v="28.178069136923899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4"/>
    <x v="153"/>
    <s v="1483009  Lumen-Enterprise MSA Eastern WA"/>
    <n v="0"/>
    <n v="0"/>
    <n v="0"/>
    <n v="0"/>
    <n v="77743.88"/>
    <n v="28875.59"/>
    <n v="0"/>
    <n v="106619.47"/>
    <n v="87313.75"/>
    <n v="19305.72"/>
    <n v="18.107124336671301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5"/>
    <x v="154"/>
    <s v="1483077  Lumen-Consumer NE WA (2022-25)"/>
    <n v="100056.81"/>
    <n v="99527.01"/>
    <n v="529.79999999999995"/>
    <n v="0.52949919150930402"/>
    <n v="7710971.0499999998"/>
    <n v="2047022.83"/>
    <n v="0"/>
    <n v="9757993.8800000008"/>
    <n v="9704268.1999999993"/>
    <n v="53725.68"/>
    <n v="0.55058120204518901"/>
    <m/>
  </r>
  <r>
    <x v="0"/>
    <x v="0"/>
    <m/>
    <m/>
    <m/>
    <m/>
    <m/>
    <m/>
    <m/>
    <m/>
    <m/>
    <m/>
    <m/>
    <m/>
    <m/>
  </r>
  <r>
    <x v="0"/>
    <x v="0"/>
    <n v="0"/>
    <n v="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6"/>
    <x v="155"/>
    <s v="1483102  Lumen-2023LE000081 Fiber Overbuild Spoka"/>
    <n v="52818.62"/>
    <n v="35625.910000000003"/>
    <n v="17192.71"/>
    <n v="32.550471784382097"/>
    <n v="3150423.19"/>
    <n v="1139340.82"/>
    <n v="0"/>
    <n v="4289764.01"/>
    <n v="3561548.13"/>
    <n v="728215.88"/>
    <n v="16.975662957272998"/>
    <m/>
  </r>
  <r>
    <x v="0"/>
    <x v="0"/>
    <m/>
    <m/>
    <m/>
    <m/>
    <m/>
    <m/>
    <m/>
    <m/>
    <m/>
    <m/>
    <m/>
    <m/>
    <m/>
  </r>
  <r>
    <x v="0"/>
    <x v="0"/>
    <n v="5390"/>
    <n v="539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7"/>
    <x v="156"/>
    <s v="1485171  IIG-Chelan PUD Pole"/>
    <n v="0"/>
    <n v="0"/>
    <n v="0"/>
    <n v="0"/>
    <n v="5390"/>
    <n v="0"/>
    <n v="5390"/>
    <n v="5390"/>
    <n v="3436.23"/>
    <n v="1953.77"/>
    <n v="36.248051948051902"/>
    <m/>
  </r>
  <r>
    <x v="0"/>
    <x v="0"/>
    <m/>
    <m/>
    <m/>
    <m/>
    <m/>
    <m/>
    <m/>
    <m/>
    <m/>
    <m/>
    <m/>
    <m/>
    <m/>
  </r>
  <r>
    <x v="0"/>
    <x v="0"/>
    <n v="1708293"/>
    <n v="1708293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8"/>
    <x v="157"/>
    <s v="1485257  Ziply - Cheney FTTP Bid (Rob)"/>
    <n v="66428.75"/>
    <n v="66355.06"/>
    <n v="73.69"/>
    <n v="0.110930884594396"/>
    <n v="0"/>
    <n v="525606.85"/>
    <n v="1708293"/>
    <n v="525606.85"/>
    <n v="534821.84"/>
    <n v="-9214.99"/>
    <n v="-1.75320964709649"/>
    <m/>
  </r>
  <r>
    <x v="0"/>
    <x v="0"/>
    <m/>
    <m/>
    <m/>
    <m/>
    <m/>
    <m/>
    <m/>
    <m/>
    <m/>
    <m/>
    <m/>
    <m/>
    <m/>
  </r>
  <r>
    <x v="0"/>
    <x v="0"/>
    <n v="2700000"/>
    <n v="2700000"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n v="0"/>
    <m/>
    <m/>
    <m/>
    <m/>
    <m/>
    <m/>
    <m/>
    <m/>
    <m/>
    <m/>
    <m/>
  </r>
  <r>
    <x v="159"/>
    <x v="158"/>
    <s v="1486108  Lumen - Eastern WA Enterprise"/>
    <n v="0"/>
    <n v="0"/>
    <n v="0"/>
    <n v="0"/>
    <n v="0"/>
    <n v="9684.42"/>
    <n v="2700000"/>
    <n v="9684.42"/>
    <n v="6281.41"/>
    <n v="3403.01"/>
    <n v="35.139017101695302"/>
    <m/>
  </r>
  <r>
    <x v="0"/>
    <x v="0"/>
    <s v="842683"/>
    <s v="Martin, Robert"/>
    <n v="219304.18"/>
    <n v="14131.42"/>
    <n v="13851720.24"/>
    <n v="18945739.420000002"/>
    <n v="1818544.33"/>
    <n v="205172.76"/>
    <n v="6.4437531468848404"/>
    <n v="5094019.18"/>
    <n v="17127195.09"/>
    <n v="1.79618748287418E-2"/>
    <m/>
  </r>
  <r>
    <x v="0"/>
    <x v="0"/>
    <s v="Totals"/>
    <n v="2204220.56"/>
    <n v="-275558.08"/>
    <n v="368537211.39999998"/>
    <n v="411235159.79000002"/>
    <n v="22727855.82"/>
    <n v="2479778.64"/>
    <n v="-12.5013841627537"/>
    <n v="42697948.390000001"/>
    <n v="388507303.97000003"/>
    <n v="5.5267297260297799"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  <r>
    <x v="0"/>
    <x v="0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E9815-7B51-42FD-B4E8-2CE5F1BB2131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A3:B163" firstHeaderRow="1" firstDataRow="1" firstDataCol="2"/>
  <pivotFields count="15">
    <pivotField axis="axisRow" compact="0" outline="0" subtotalTop="0" showAll="0" sortType="ascending" defaultSubtotal="0">
      <items count="547">
        <item m="1" x="465"/>
        <item m="1" x="509"/>
        <item m="1" x="516"/>
        <item m="1" x="519"/>
        <item m="1" x="504"/>
        <item x="99"/>
        <item x="1"/>
        <item m="1" x="483"/>
        <item m="1" x="468"/>
        <item m="1" x="493"/>
        <item m="1" x="475"/>
        <item m="1" x="545"/>
        <item m="1" x="532"/>
        <item m="1" x="484"/>
        <item m="1" x="469"/>
        <item m="1" x="501"/>
        <item m="1" x="482"/>
        <item m="1" x="480"/>
        <item m="1" x="546"/>
        <item m="1" x="538"/>
        <item m="1" x="526"/>
        <item m="1" x="502"/>
        <item m="1" x="485"/>
        <item x="87"/>
        <item x="88"/>
        <item x="89"/>
        <item m="1" x="200"/>
        <item x="90"/>
        <item x="124"/>
        <item x="91"/>
        <item m="1" x="349"/>
        <item m="1" x="364"/>
        <item m="1" x="365"/>
        <item m="1" x="459"/>
        <item m="1" x="366"/>
        <item m="1" x="378"/>
        <item m="1" x="179"/>
        <item m="1" x="427"/>
        <item x="147"/>
        <item m="1" x="212"/>
        <item m="1" x="213"/>
        <item x="148"/>
        <item m="1" x="236"/>
        <item x="149"/>
        <item m="1" x="214"/>
        <item m="1" x="215"/>
        <item x="150"/>
        <item m="1" x="379"/>
        <item m="1" x="460"/>
        <item m="1" x="428"/>
        <item m="1" x="429"/>
        <item m="1" x="421"/>
        <item m="1" x="430"/>
        <item m="1" x="350"/>
        <item x="125"/>
        <item m="1" x="237"/>
        <item m="1" x="238"/>
        <item m="1" x="216"/>
        <item m="1" x="180"/>
        <item x="151"/>
        <item m="1" x="217"/>
        <item x="152"/>
        <item m="1" x="535"/>
        <item x="29"/>
        <item x="30"/>
        <item m="1" x="445"/>
        <item x="21"/>
        <item m="1" x="520"/>
        <item m="1" x="377"/>
        <item m="1" x="356"/>
        <item m="1" x="388"/>
        <item m="1" x="389"/>
        <item m="1" x="342"/>
        <item m="1" x="390"/>
        <item m="1" x="357"/>
        <item m="1" x="358"/>
        <item m="1" x="330"/>
        <item m="1" x="362"/>
        <item m="1" x="396"/>
        <item m="1" x="327"/>
        <item m="1" x="359"/>
        <item m="1" x="328"/>
        <item m="1" x="521"/>
        <item m="1" x="298"/>
        <item m="1" x="331"/>
        <item m="1" x="343"/>
        <item m="1" x="293"/>
        <item m="1" x="380"/>
        <item m="1" x="234"/>
        <item m="1" x="258"/>
        <item m="1" x="529"/>
        <item m="1" x="507"/>
        <item m="1" x="269"/>
        <item m="1" x="409"/>
        <item m="1" x="422"/>
        <item m="1" x="446"/>
        <item m="1" x="447"/>
        <item m="1" x="332"/>
        <item m="1" x="352"/>
        <item m="1" x="333"/>
        <item x="92"/>
        <item m="1" x="334"/>
        <item m="1" x="534"/>
        <item m="1" x="423"/>
        <item m="1" x="497"/>
        <item m="1" x="259"/>
        <item m="1" x="517"/>
        <item m="1" x="353"/>
        <item m="1" x="411"/>
        <item m="1" x="443"/>
        <item m="1" x="448"/>
        <item m="1" x="453"/>
        <item m="1" x="283"/>
        <item m="1" x="449"/>
        <item m="1" x="474"/>
        <item m="1" x="450"/>
        <item m="1" x="270"/>
        <item m="1" x="444"/>
        <item m="1" x="271"/>
        <item m="1" x="454"/>
        <item m="1" x="510"/>
        <item m="1" x="514"/>
        <item m="1" x="190"/>
        <item m="1" x="455"/>
        <item m="1" x="272"/>
        <item m="1" x="260"/>
        <item m="1" x="437"/>
        <item m="1" x="413"/>
        <item m="1" x="313"/>
        <item m="1" x="489"/>
        <item m="1" x="498"/>
        <item m="1" x="438"/>
        <item m="1" x="284"/>
        <item m="1" x="314"/>
        <item m="1" x="424"/>
        <item m="1" x="315"/>
        <item m="1" x="524"/>
        <item m="1" x="439"/>
        <item x="2"/>
        <item m="1" x="451"/>
        <item m="1" x="316"/>
        <item m="1" x="414"/>
        <item m="1" x="317"/>
        <item m="1" x="415"/>
        <item m="1" x="318"/>
        <item m="1" x="401"/>
        <item m="1" x="425"/>
        <item m="1" x="273"/>
        <item m="1" x="412"/>
        <item m="1" x="440"/>
        <item m="1" x="319"/>
        <item m="1" x="335"/>
        <item x="22"/>
        <item m="1" x="274"/>
        <item m="1" x="251"/>
        <item m="1" x="336"/>
        <item m="1" x="416"/>
        <item m="1" x="167"/>
        <item x="31"/>
        <item m="1" x="337"/>
        <item m="1" x="338"/>
        <item m="1" x="320"/>
        <item m="1" x="321"/>
        <item m="1" x="285"/>
        <item m="1" x="275"/>
        <item m="1" x="322"/>
        <item m="1" x="231"/>
        <item m="1" x="294"/>
        <item m="1" x="323"/>
        <item m="1" x="324"/>
        <item m="1" x="325"/>
        <item m="1" x="354"/>
        <item m="1" x="243"/>
        <item m="1" x="276"/>
        <item m="1" x="361"/>
        <item m="1" x="286"/>
        <item m="1" x="355"/>
        <item m="1" x="368"/>
        <item m="1" x="287"/>
        <item m="1" x="299"/>
        <item m="1" x="244"/>
        <item m="1" x="288"/>
        <item x="3"/>
        <item m="1" x="295"/>
        <item x="4"/>
        <item m="1" x="189"/>
        <item m="1" x="296"/>
        <item x="23"/>
        <item x="24"/>
        <item m="1" x="168"/>
        <item m="1" x="201"/>
        <item m="1" x="202"/>
        <item m="1" x="186"/>
        <item m="1" x="232"/>
        <item m="1" x="245"/>
        <item m="1" x="297"/>
        <item m="1" x="246"/>
        <item m="1" x="191"/>
        <item m="1" x="233"/>
        <item m="1" x="169"/>
        <item m="1" x="192"/>
        <item m="1" x="193"/>
        <item x="5"/>
        <item x="6"/>
        <item m="1" x="247"/>
        <item x="7"/>
        <item x="44"/>
        <item x="8"/>
        <item m="1" x="194"/>
        <item m="1" x="195"/>
        <item m="1" x="196"/>
        <item x="9"/>
        <item x="45"/>
        <item m="1" x="248"/>
        <item x="50"/>
        <item m="1" x="187"/>
        <item x="93"/>
        <item m="1" x="170"/>
        <item m="1" x="171"/>
        <item x="51"/>
        <item m="1" x="197"/>
        <item m="1" x="172"/>
        <item m="1" x="188"/>
        <item m="1" x="173"/>
        <item x="52"/>
        <item x="94"/>
        <item x="25"/>
        <item m="1" x="174"/>
        <item m="1" x="229"/>
        <item m="1" x="175"/>
        <item m="1" x="164"/>
        <item m="1" x="165"/>
        <item x="95"/>
        <item x="96"/>
        <item x="53"/>
        <item m="1" x="166"/>
        <item x="10"/>
        <item x="26"/>
        <item x="11"/>
        <item x="54"/>
        <item x="27"/>
        <item x="12"/>
        <item x="13"/>
        <item x="14"/>
        <item x="15"/>
        <item x="16"/>
        <item x="17"/>
        <item x="18"/>
        <item x="126"/>
        <item x="55"/>
        <item x="28"/>
        <item m="1" x="249"/>
        <item m="1" x="289"/>
        <item m="1" x="426"/>
        <item m="1" x="239"/>
        <item m="1" x="344"/>
        <item x="100"/>
        <item m="1" x="203"/>
        <item x="101"/>
        <item m="1" x="329"/>
        <item m="1" x="360"/>
        <item m="1" x="381"/>
        <item x="102"/>
        <item m="1" x="363"/>
        <item m="1" x="382"/>
        <item m="1" x="204"/>
        <item m="1" x="397"/>
        <item m="1" x="235"/>
        <item m="1" x="461"/>
        <item m="1" x="398"/>
        <item m="1" x="383"/>
        <item m="1" x="345"/>
        <item m="1" x="384"/>
        <item m="1" x="346"/>
        <item x="103"/>
        <item m="1" x="347"/>
        <item m="1" x="385"/>
        <item x="104"/>
        <item m="1" x="399"/>
        <item x="153"/>
        <item x="154"/>
        <item m="1" x="456"/>
        <item m="1" x="490"/>
        <item m="1" x="301"/>
        <item m="1" x="457"/>
        <item x="105"/>
        <item m="1" x="478"/>
        <item m="1" x="240"/>
        <item m="1" x="348"/>
        <item m="1" x="266"/>
        <item m="1" x="205"/>
        <item x="155"/>
        <item x="106"/>
        <item x="107"/>
        <item x="108"/>
        <item x="156"/>
        <item m="1" x="351"/>
        <item m="1" x="267"/>
        <item m="1" x="458"/>
        <item x="127"/>
        <item m="1" x="406"/>
        <item m="1" x="290"/>
        <item m="1" x="466"/>
        <item m="1" x="206"/>
        <item m="1" x="408"/>
        <item m="1" x="302"/>
        <item m="1" x="376"/>
        <item x="128"/>
        <item m="1" x="407"/>
        <item m="1" x="291"/>
        <item m="1" x="367"/>
        <item m="1" x="268"/>
        <item m="1" x="303"/>
        <item x="129"/>
        <item x="138"/>
        <item m="1" x="400"/>
        <item m="1" x="292"/>
        <item x="46"/>
        <item x="130"/>
        <item x="131"/>
        <item x="132"/>
        <item m="1" x="250"/>
        <item x="109"/>
        <item m="1" x="207"/>
        <item m="1" x="218"/>
        <item m="1" x="219"/>
        <item x="133"/>
        <item m="1" x="208"/>
        <item x="134"/>
        <item x="110"/>
        <item x="135"/>
        <item x="111"/>
        <item m="1" x="209"/>
        <item x="157"/>
        <item x="47"/>
        <item x="112"/>
        <item m="1" x="210"/>
        <item x="113"/>
        <item m="1" x="220"/>
        <item x="139"/>
        <item x="114"/>
        <item x="115"/>
        <item x="116"/>
        <item x="48"/>
        <item x="19"/>
        <item m="1" x="221"/>
        <item x="140"/>
        <item x="117"/>
        <item x="97"/>
        <item x="141"/>
        <item x="142"/>
        <item m="1" x="178"/>
        <item x="143"/>
        <item m="1" x="177"/>
        <item x="118"/>
        <item x="119"/>
        <item x="144"/>
        <item x="49"/>
        <item x="98"/>
        <item x="120"/>
        <item x="121"/>
        <item x="158"/>
        <item x="136"/>
        <item x="137"/>
        <item x="159"/>
        <item x="122"/>
        <item x="145"/>
        <item m="1" x="211"/>
        <item x="123"/>
        <item m="1" x="531"/>
        <item x="20"/>
        <item x="146"/>
        <item m="1" x="339"/>
        <item x="74"/>
        <item m="1" x="300"/>
        <item x="32"/>
        <item x="33"/>
        <item x="75"/>
        <item x="76"/>
        <item m="1" x="304"/>
        <item m="1" x="228"/>
        <item m="1" x="308"/>
        <item m="1" x="525"/>
        <item m="1" x="391"/>
        <item m="1" x="511"/>
        <item m="1" x="226"/>
        <item m="1" x="402"/>
        <item x="56"/>
        <item x="57"/>
        <item x="77"/>
        <item x="78"/>
        <item x="79"/>
        <item x="80"/>
        <item x="81"/>
        <item m="1" x="373"/>
        <item m="1" x="281"/>
        <item m="1" x="374"/>
        <item m="1" x="282"/>
        <item m="1" x="199"/>
        <item m="1" x="264"/>
        <item m="1" x="185"/>
        <item m="1" x="375"/>
        <item m="1" x="230"/>
        <item m="1" x="417"/>
        <item x="82"/>
        <item m="1" x="305"/>
        <item m="1" x="277"/>
        <item m="1" x="279"/>
        <item m="1" x="479"/>
        <item m="1" x="369"/>
        <item m="1" x="387"/>
        <item m="1" x="393"/>
        <item m="1" x="452"/>
        <item x="83"/>
        <item m="1" x="467"/>
        <item m="1" x="515"/>
        <item m="1" x="306"/>
        <item x="58"/>
        <item m="1" x="418"/>
        <item m="1" x="410"/>
        <item m="1" x="431"/>
        <item m="1" x="435"/>
        <item m="1" x="441"/>
        <item m="1" x="394"/>
        <item m="1" x="419"/>
        <item m="1" x="540"/>
        <item x="59"/>
        <item m="1" x="310"/>
        <item m="1" x="370"/>
        <item m="1" x="311"/>
        <item m="1" x="307"/>
        <item x="60"/>
        <item m="1" x="160"/>
        <item m="1" x="184"/>
        <item x="61"/>
        <item x="62"/>
        <item m="1" x="161"/>
        <item x="63"/>
        <item m="1" x="262"/>
        <item m="1" x="252"/>
        <item m="1" x="176"/>
        <item x="84"/>
        <item x="85"/>
        <item x="86"/>
        <item x="34"/>
        <item x="35"/>
        <item x="36"/>
        <item x="37"/>
        <item m="1" x="241"/>
        <item m="1" x="223"/>
        <item x="38"/>
        <item x="39"/>
        <item x="40"/>
        <item m="1" x="182"/>
        <item m="1" x="222"/>
        <item m="1" x="224"/>
        <item x="41"/>
        <item m="1" x="225"/>
        <item m="1" x="183"/>
        <item x="42"/>
        <item x="43"/>
        <item m="1" x="280"/>
        <item m="1" x="522"/>
        <item m="1" x="392"/>
        <item m="1" x="436"/>
        <item m="1" x="462"/>
        <item m="1" x="253"/>
        <item m="1" x="265"/>
        <item m="1" x="512"/>
        <item m="1" x="442"/>
        <item m="1" x="395"/>
        <item m="1" x="162"/>
        <item m="1" x="432"/>
        <item m="1" x="371"/>
        <item m="1" x="420"/>
        <item m="1" x="403"/>
        <item m="1" x="198"/>
        <item m="1" x="496"/>
        <item m="1" x="312"/>
        <item m="1" x="472"/>
        <item m="1" x="463"/>
        <item m="1" x="433"/>
        <item m="1" x="434"/>
        <item m="1" x="477"/>
        <item m="1" x="254"/>
        <item m="1" x="309"/>
        <item m="1" x="404"/>
        <item m="1" x="464"/>
        <item m="1" x="257"/>
        <item x="64"/>
        <item x="65"/>
        <item m="1" x="405"/>
        <item m="1" x="386"/>
        <item x="66"/>
        <item x="67"/>
        <item x="68"/>
        <item m="1" x="372"/>
        <item m="1" x="261"/>
        <item x="69"/>
        <item m="1" x="163"/>
        <item m="1" x="278"/>
        <item m="1" x="255"/>
        <item x="70"/>
        <item x="71"/>
        <item x="72"/>
        <item m="1" x="242"/>
        <item m="1" x="263"/>
        <item m="1" x="227"/>
        <item m="1" x="256"/>
        <item m="1" x="181"/>
        <item x="73"/>
        <item m="1" x="340"/>
        <item m="1" x="473"/>
        <item m="1" x="541"/>
        <item m="1" x="539"/>
        <item m="1" x="527"/>
        <item m="1" x="487"/>
        <item m="1" x="470"/>
        <item m="1" x="503"/>
        <item m="1" x="486"/>
        <item m="1" x="523"/>
        <item m="1" x="341"/>
        <item m="1" x="326"/>
        <item m="1" x="494"/>
        <item m="1" x="533"/>
        <item m="1" x="542"/>
        <item m="1" x="530"/>
        <item m="1" x="495"/>
        <item m="1" x="499"/>
        <item m="1" x="471"/>
        <item m="1" x="476"/>
        <item m="1" x="543"/>
        <item m="1" x="481"/>
        <item m="1" x="488"/>
        <item m="1" x="491"/>
        <item m="1" x="500"/>
        <item m="1" x="505"/>
        <item m="1" x="508"/>
        <item m="1" x="513"/>
        <item m="1" x="518"/>
        <item m="1" x="536"/>
        <item m="1" x="528"/>
        <item m="1" x="537"/>
        <item m="1" x="544"/>
        <item m="1" x="492"/>
        <item m="1" x="506"/>
        <item x="0"/>
      </items>
    </pivotField>
    <pivotField axis="axisRow" compact="0" outline="0" subtotalTop="0" showAll="0" defaultSubtotal="0">
      <items count="983">
        <item m="1" x="723"/>
        <item m="1" x="962"/>
        <item m="1" x="805"/>
        <item m="1" x="741"/>
        <item m="1" x="838"/>
        <item m="1" x="841"/>
        <item m="1" x="654"/>
        <item m="1" x="855"/>
        <item m="1" x="609"/>
        <item m="1" x="601"/>
        <item m="1" x="622"/>
        <item m="1" x="915"/>
        <item m="1" x="794"/>
        <item m="1" x="791"/>
        <item m="1" x="979"/>
        <item m="1" x="936"/>
        <item m="1" x="754"/>
        <item m="1" x="812"/>
        <item m="1" x="858"/>
        <item m="1" x="850"/>
        <item m="1" x="833"/>
        <item m="1" x="814"/>
        <item m="1" x="894"/>
        <item m="1" x="820"/>
        <item m="1" x="766"/>
        <item m="1" x="787"/>
        <item m="1" x="795"/>
        <item m="1" x="925"/>
        <item m="1" x="856"/>
        <item m="1" x="941"/>
        <item m="1" x="895"/>
        <item m="1" x="767"/>
        <item m="1" x="867"/>
        <item m="1" x="779"/>
        <item m="1" x="728"/>
        <item m="1" x="828"/>
        <item m="1" x="904"/>
        <item m="1" x="807"/>
        <item m="1" x="777"/>
        <item m="1" x="758"/>
        <item m="1" x="849"/>
        <item m="1" x="765"/>
        <item m="1" x="942"/>
        <item m="1" x="906"/>
        <item m="1" x="829"/>
        <item m="1" x="862"/>
        <item m="1" x="907"/>
        <item m="1" x="798"/>
        <item m="1" x="796"/>
        <item m="1" x="751"/>
        <item m="1" x="963"/>
        <item m="1" x="908"/>
        <item m="1" x="732"/>
        <item m="1" x="859"/>
        <item m="1" x="744"/>
        <item m="1" x="853"/>
        <item m="1" x="810"/>
        <item m="1" x="938"/>
        <item m="1" x="878"/>
        <item m="1" x="800"/>
        <item m="1" x="740"/>
        <item m="1" x="956"/>
        <item m="1" x="877"/>
        <item m="1" x="905"/>
        <item m="1" x="868"/>
        <item m="1" x="950"/>
        <item m="1" x="900"/>
        <item m="1" x="769"/>
        <item m="1" x="948"/>
        <item m="1" x="921"/>
        <item m="1" x="885"/>
        <item m="1" x="772"/>
        <item m="1" x="952"/>
        <item m="1" x="745"/>
        <item m="1" x="783"/>
        <item m="1" x="955"/>
        <item m="1" x="869"/>
        <item m="1" x="978"/>
        <item m="1" x="821"/>
        <item m="1" x="816"/>
        <item m="1" x="756"/>
        <item m="1" x="746"/>
        <item m="1" x="784"/>
        <item m="1" x="917"/>
        <item m="1" x="922"/>
        <item m="1" x="893"/>
        <item m="1" x="739"/>
        <item m="1" x="945"/>
        <item m="1" x="830"/>
        <item m="1" x="909"/>
        <item m="1" x="749"/>
        <item m="1" x="873"/>
        <item m="1" x="788"/>
        <item m="1" x="822"/>
        <item m="1" x="736"/>
        <item m="1" x="792"/>
        <item m="1" x="801"/>
        <item m="1" x="935"/>
        <item m="1" x="897"/>
        <item m="1" x="971"/>
        <item m="1" x="931"/>
        <item m="1" x="752"/>
        <item m="1" x="879"/>
        <item m="1" x="918"/>
        <item m="1" x="910"/>
        <item m="1" x="759"/>
        <item m="1" x="937"/>
        <item m="1" x="965"/>
        <item m="1" x="916"/>
        <item m="1" x="901"/>
        <item m="1" x="866"/>
        <item m="1" x="840"/>
        <item m="1" x="730"/>
        <item m="1" x="802"/>
        <item m="1" x="870"/>
        <item m="1" x="864"/>
        <item m="1" x="871"/>
        <item m="1" x="776"/>
        <item m="1" x="726"/>
        <item m="1" x="780"/>
        <item m="1" x="797"/>
        <item m="1" x="735"/>
        <item m="1" x="837"/>
        <item m="1" x="763"/>
        <item m="1" x="770"/>
        <item m="1" x="889"/>
        <item m="1" x="815"/>
        <item m="1" x="774"/>
        <item m="1" x="876"/>
        <item m="1" x="851"/>
        <item m="1" x="842"/>
        <item m="1" x="902"/>
        <item m="1" x="890"/>
        <item m="1" x="847"/>
        <item m="1" x="733"/>
        <item m="1" x="742"/>
        <item m="1" x="923"/>
        <item m="1" x="961"/>
        <item m="1" x="831"/>
        <item m="1" x="843"/>
        <item m="1" x="762"/>
        <item m="1" x="898"/>
        <item m="1" x="874"/>
        <item m="1" x="899"/>
        <item m="1" x="964"/>
        <item m="1" x="768"/>
        <item m="1" x="981"/>
        <item m="1" x="861"/>
        <item m="1" x="924"/>
        <item m="1" x="832"/>
        <item m="1" x="790"/>
        <item m="1" x="750"/>
        <item m="1" x="927"/>
        <item m="1" x="761"/>
        <item m="1" x="775"/>
        <item m="1" x="934"/>
        <item m="1" x="939"/>
        <item m="1" x="827"/>
        <item m="1" x="920"/>
        <item m="1" x="725"/>
        <item m="1" x="743"/>
        <item m="1" x="803"/>
        <item m="1" x="852"/>
        <item m="1" x="826"/>
        <item m="1" x="737"/>
        <item m="1" x="947"/>
        <item m="1" x="771"/>
        <item m="1" x="857"/>
        <item m="1" x="865"/>
        <item m="1" x="835"/>
        <item m="1" x="806"/>
        <item m="1" x="929"/>
        <item m="1" x="919"/>
        <item m="1" x="882"/>
        <item m="1" x="872"/>
        <item m="1" x="891"/>
        <item m="1" x="883"/>
        <item m="1" x="970"/>
        <item m="1" x="951"/>
        <item m="1" x="968"/>
        <item m="1" x="887"/>
        <item m="1" x="755"/>
        <item m="1" x="943"/>
        <item m="1" x="817"/>
        <item m="1" x="930"/>
        <item m="1" x="757"/>
        <item m="1" x="911"/>
        <item m="1" x="926"/>
        <item m="1" x="903"/>
        <item m="1" x="785"/>
        <item m="1" x="786"/>
        <item m="1" x="912"/>
        <item m="1" x="913"/>
        <item m="1" x="892"/>
        <item m="1" x="949"/>
        <item m="1" x="944"/>
        <item m="1" x="818"/>
        <item m="1" x="729"/>
        <item m="1" x="967"/>
        <item m="1" x="734"/>
        <item x="0"/>
        <item m="1" x="953"/>
        <item m="1" x="799"/>
        <item m="1" x="959"/>
        <item m="1" x="982"/>
        <item m="1" x="753"/>
        <item m="1" x="946"/>
        <item m="1" x="957"/>
        <item m="1" x="960"/>
        <item m="1" x="824"/>
        <item m="1" x="958"/>
        <item m="1" x="760"/>
        <item m="1" x="914"/>
        <item m="1" x="836"/>
        <item m="1" x="863"/>
        <item m="1" x="973"/>
        <item m="1" x="966"/>
        <item m="1" x="881"/>
        <item m="1" x="980"/>
        <item m="1" x="844"/>
        <item m="1" x="880"/>
        <item m="1" x="724"/>
        <item m="1" x="747"/>
        <item m="1" x="808"/>
        <item m="1" x="854"/>
        <item m="1" x="834"/>
        <item m="1" x="778"/>
        <item m="1" x="793"/>
        <item m="1" x="748"/>
        <item m="1" x="977"/>
        <item m="1" x="875"/>
        <item m="1" x="764"/>
        <item m="1" x="886"/>
        <item m="1" x="773"/>
        <item m="1" x="896"/>
        <item m="1" x="888"/>
        <item m="1" x="782"/>
        <item m="1" x="811"/>
        <item x="1"/>
        <item m="1" x="272"/>
        <item m="1" x="664"/>
        <item m="1" x="666"/>
        <item m="1" x="701"/>
        <item m="1" x="280"/>
        <item m="1" x="281"/>
        <item m="1" x="282"/>
        <item m="1" x="702"/>
        <item m="1" x="974"/>
        <item m="1" x="621"/>
        <item m="1" x="599"/>
        <item m="1" x="637"/>
        <item m="1" x="638"/>
        <item m="1" x="639"/>
        <item m="1" x="600"/>
        <item m="1" x="602"/>
        <item m="1" x="532"/>
        <item m="1" x="490"/>
        <item m="1" x="703"/>
        <item m="1" x="704"/>
        <item m="1" x="705"/>
        <item m="1" x="706"/>
        <item m="1" x="707"/>
        <item m="1" x="507"/>
        <item m="1" x="508"/>
        <item m="1" x="509"/>
        <item m="1" x="571"/>
        <item m="1" x="603"/>
        <item m="1" x="322"/>
        <item m="1" x="839"/>
        <item m="1" x="640"/>
        <item m="1" x="546"/>
        <item m="1" x="330"/>
        <item m="1" x="825"/>
        <item m="1" x="636"/>
        <item m="1" x="643"/>
        <item m="1" x="709"/>
        <item m="1" x="848"/>
        <item m="1" x="809"/>
        <item m="1" x="665"/>
        <item m="1" x="687"/>
        <item m="1" x="691"/>
        <item m="1" x="698"/>
        <item m="1" x="644"/>
        <item m="1" x="674"/>
        <item m="1" x="516"/>
        <item m="1" x="641"/>
        <item m="1" x="720"/>
        <item m="1" x="474"/>
        <item m="1" x="342"/>
        <item m="1" x="823"/>
        <item m="1" x="699"/>
        <item m="1" x="334"/>
        <item m="1" x="688"/>
        <item m="1" x="615"/>
        <item m="1" x="675"/>
        <item m="1" x="656"/>
        <item m="1" x="335"/>
        <item m="1" x="731"/>
        <item m="1" x="789"/>
        <item m="1" x="721"/>
        <item m="1" x="940"/>
        <item m="1" x="475"/>
        <item m="1" x="722"/>
        <item m="1" x="346"/>
        <item m="1" x="347"/>
        <item m="1" x="348"/>
        <item m="1" x="710"/>
        <item m="1" x="619"/>
        <item m="1" x="672"/>
        <item m="1" x="932"/>
        <item m="1" x="353"/>
        <item m="1" x="354"/>
        <item m="1" x="285"/>
        <item m="1" x="286"/>
        <item m="1" x="287"/>
        <item m="1" x="494"/>
        <item m="1" x="447"/>
        <item m="1" x="506"/>
        <item m="1" x="975"/>
        <item m="1" x="538"/>
        <item m="1" x="845"/>
        <item m="1" x="804"/>
        <item m="1" x="677"/>
        <item m="1" x="574"/>
        <item m="1" x="595"/>
        <item m="1" x="575"/>
        <item m="1" x="360"/>
        <item m="1" x="576"/>
        <item m="1" x="678"/>
        <item m="1" x="727"/>
        <item m="1" x="693"/>
        <item m="1" x="521"/>
        <item m="1" x="813"/>
        <item m="1" x="712"/>
        <item m="1" x="846"/>
        <item m="1" x="972"/>
        <item m="1" x="302"/>
        <item m="1" x="713"/>
        <item m="1" x="976"/>
        <item m="1" x="651"/>
        <item m="1" x="681"/>
        <item m="1" x="652"/>
        <item x="99"/>
        <item m="1" x="584"/>
        <item m="1" x="606"/>
        <item m="1" x="585"/>
        <item m="1" x="586"/>
        <item m="1" x="465"/>
        <item m="1" x="369"/>
        <item m="1" x="370"/>
        <item m="1" x="371"/>
        <item m="1" x="372"/>
        <item m="1" x="448"/>
        <item m="1" x="373"/>
        <item m="1" x="374"/>
        <item m="1" x="714"/>
        <item m="1" x="715"/>
        <item m="1" x="375"/>
        <item m="1" x="502"/>
        <item m="1" x="377"/>
        <item m="1" x="378"/>
        <item m="1" x="659"/>
        <item m="1" x="503"/>
        <item m="1" x="716"/>
        <item m="1" x="400"/>
        <item m="1" x="401"/>
        <item m="1" x="591"/>
        <item m="1" x="623"/>
        <item m="1" x="646"/>
        <item m="1" x="624"/>
        <item m="1" x="607"/>
        <item m="1" x="626"/>
        <item m="1" x="647"/>
        <item m="1" x="648"/>
        <item m="1" x="627"/>
        <item m="1" x="628"/>
        <item m="1" x="629"/>
        <item m="1" x="649"/>
        <item m="1" x="542"/>
        <item m="1" x="403"/>
        <item m="1" x="419"/>
        <item m="1" x="608"/>
        <item m="1" x="717"/>
        <item m="1" x="610"/>
        <item m="1" x="662"/>
        <item m="1" x="682"/>
        <item m="1" x="421"/>
        <item m="1" x="718"/>
        <item m="1" x="954"/>
        <item m="1" x="719"/>
        <item m="1" x="430"/>
        <item m="1" x="431"/>
        <item m="1" x="969"/>
        <item m="1" x="453"/>
        <item m="1" x="432"/>
        <item m="1" x="433"/>
        <item m="1" x="593"/>
        <item m="1" x="738"/>
        <item m="1" x="933"/>
        <item m="1" x="492"/>
        <item m="1" x="928"/>
        <item m="1" x="884"/>
        <item m="1" x="711"/>
        <item m="1" x="695"/>
        <item m="1" x="522"/>
        <item m="1" x="679"/>
        <item m="1" x="321"/>
        <item m="1" x="529"/>
        <item m="1" x="581"/>
        <item m="1" x="700"/>
        <item m="1" x="632"/>
        <item m="1" x="689"/>
        <item m="1" x="690"/>
        <item m="1" x="819"/>
        <item m="1" x="658"/>
        <item m="1" x="351"/>
        <item m="1" x="668"/>
        <item m="1" x="556"/>
        <item m="1" x="781"/>
        <item m="1" x="528"/>
        <item m="1" x="380"/>
        <item m="1" x="633"/>
        <item m="1" x="338"/>
        <item m="1" x="708"/>
        <item m="1" x="634"/>
        <item m="1" x="663"/>
        <item m="1" x="552"/>
        <item m="1" x="692"/>
        <item m="1" x="669"/>
        <item m="1" x="660"/>
        <item m="1" x="543"/>
        <item m="1" x="683"/>
        <item m="1" x="325"/>
        <item m="1" x="696"/>
        <item m="1" x="340"/>
        <item m="1" x="352"/>
        <item m="1" x="860"/>
        <item m="1" x="555"/>
        <item m="1" x="686"/>
        <item m="1" x="559"/>
        <item m="1" x="670"/>
        <item m="1" x="653"/>
        <item m="1" x="554"/>
        <item m="1" x="694"/>
        <item m="1" x="550"/>
        <item m="1" x="680"/>
        <item m="1" x="404"/>
        <item m="1" x="510"/>
        <item m="1" x="515"/>
        <item m="1" x="673"/>
        <item m="1" x="645"/>
        <item m="1" x="657"/>
        <item m="1" x="667"/>
        <item m="1" x="655"/>
        <item m="1" x="561"/>
        <item m="1" x="661"/>
        <item m="1" x="273"/>
        <item m="1" x="569"/>
        <item m="1" x="631"/>
        <item m="1" x="618"/>
        <item m="1" x="697"/>
        <item m="1" x="577"/>
        <item m="1" x="578"/>
        <item m="1" x="530"/>
        <item m="1" x="611"/>
        <item m="1" x="671"/>
        <item m="1" x="323"/>
        <item m="1" x="617"/>
        <item m="1" x="560"/>
        <item m="1" x="544"/>
        <item m="1" x="283"/>
        <item m="1" x="350"/>
        <item m="1" x="676"/>
        <item m="1" x="614"/>
        <item m="1" x="579"/>
        <item m="1" x="620"/>
        <item m="1" x="684"/>
        <item m="1" x="553"/>
        <item m="1" x="596"/>
        <item m="1" x="504"/>
        <item m="1" x="685"/>
        <item m="1" x="580"/>
        <item m="1" x="412"/>
        <item m="1" x="562"/>
        <item m="1" x="496"/>
        <item x="69"/>
        <item m="1" x="558"/>
        <item m="1" x="592"/>
        <item m="1" x="650"/>
        <item m="1" x="501"/>
        <item m="1" x="616"/>
        <item m="1" x="630"/>
        <item m="1" x="594"/>
        <item m="1" x="518"/>
        <item m="1" x="519"/>
        <item m="1" x="533"/>
        <item m="1" x="512"/>
        <item m="1" x="565"/>
        <item m="1" x="566"/>
        <item m="1" x="567"/>
        <item m="1" x="531"/>
        <item m="1" x="511"/>
        <item m="1" x="464"/>
        <item m="1" x="548"/>
        <item m="1" x="625"/>
        <item m="1" x="523"/>
        <item m="1" x="456"/>
        <item m="1" x="462"/>
        <item m="1" x="271"/>
        <item m="1" x="597"/>
        <item m="1" x="379"/>
        <item m="1" x="420"/>
        <item m="1" x="563"/>
        <item m="1" x="549"/>
        <item m="1" x="524"/>
        <item m="1" x="299"/>
        <item m="1" x="605"/>
        <item m="1" x="642"/>
        <item m="1" x="406"/>
        <item m="1" x="540"/>
        <item m="1" x="525"/>
        <item m="1" x="598"/>
        <item m="1" x="612"/>
        <item m="1" x="613"/>
        <item m="1" x="583"/>
        <item m="1" x="407"/>
        <item m="1" x="564"/>
        <item m="1" x="457"/>
        <item m="1" x="274"/>
        <item m="1" x="635"/>
        <item m="1" x="539"/>
        <item m="1" x="534"/>
        <item m="1" x="557"/>
        <item m="1" x="275"/>
        <item m="1" x="545"/>
        <item m="1" x="326"/>
        <item m="1" x="339"/>
        <item m="1" x="341"/>
        <item m="1" x="356"/>
        <item m="1" x="357"/>
        <item m="1" x="405"/>
        <item m="1" x="434"/>
        <item m="1" x="568"/>
        <item m="1" x="604"/>
        <item m="1" x="582"/>
        <item m="1" x="259"/>
        <item m="1" x="463"/>
        <item m="1" x="422"/>
        <item m="1" x="435"/>
        <item m="1" x="409"/>
        <item m="1" x="276"/>
        <item m="1" x="547"/>
        <item m="1" x="336"/>
        <item m="1" x="423"/>
        <item m="1" x="452"/>
        <item m="1" x="517"/>
        <item m="1" x="526"/>
        <item m="1" x="443"/>
        <item m="1" x="551"/>
        <item m="1" x="327"/>
        <item m="1" x="258"/>
        <item m="1" x="355"/>
        <item m="1" x="366"/>
        <item m="1" x="260"/>
        <item m="1" x="570"/>
        <item m="1" x="491"/>
        <item m="1" x="572"/>
        <item m="1" x="573"/>
        <item m="1" x="535"/>
        <item m="1" x="367"/>
        <item m="1" x="587"/>
        <item m="1" x="588"/>
        <item m="1" x="589"/>
        <item m="1" x="590"/>
        <item m="1" x="277"/>
        <item m="1" x="536"/>
        <item m="1" x="257"/>
        <item m="1" x="513"/>
        <item m="1" x="520"/>
        <item m="1" x="459"/>
        <item m="1" x="445"/>
        <item m="1" x="410"/>
        <item m="1" x="458"/>
        <item m="1" x="454"/>
        <item m="1" x="537"/>
        <item m="1" x="304"/>
        <item m="1" x="446"/>
        <item m="1" x="382"/>
        <item m="1" x="289"/>
        <item m="1" x="385"/>
        <item m="1" x="381"/>
        <item m="1" x="541"/>
        <item m="1" x="411"/>
        <item m="1" x="386"/>
        <item m="1" x="527"/>
        <item m="1" x="307"/>
        <item m="1" x="450"/>
        <item m="1" x="308"/>
        <item x="125"/>
        <item m="1" x="466"/>
        <item m="1" x="460"/>
        <item m="1" x="467"/>
        <item m="1" x="493"/>
        <item m="1" x="290"/>
        <item m="1" x="293"/>
        <item x="44"/>
        <item x="47"/>
        <item m="1" x="303"/>
        <item m="1" x="305"/>
        <item m="1" x="332"/>
        <item m="1" x="455"/>
        <item m="1" x="442"/>
        <item m="1" x="478"/>
        <item m="1" x="497"/>
        <item m="1" x="451"/>
        <item m="1" x="427"/>
        <item m="1" x="436"/>
        <item m="1" x="310"/>
        <item m="1" x="306"/>
        <item m="1" x="389"/>
        <item m="1" x="476"/>
        <item m="1" x="514"/>
        <item m="1" x="383"/>
        <item x="39"/>
        <item m="1" x="309"/>
        <item m="1" x="324"/>
        <item m="1" x="499"/>
        <item m="1" x="500"/>
        <item m="1" x="344"/>
        <item m="1" x="390"/>
        <item m="1" x="505"/>
        <item m="1" x="264"/>
        <item m="1" x="461"/>
        <item m="1" x="495"/>
        <item m="1" x="470"/>
        <item m="1" x="358"/>
        <item m="1" x="376"/>
        <item m="1" x="498"/>
        <item m="1" x="449"/>
        <item m="1" x="471"/>
        <item m="1" x="473"/>
        <item m="1" x="388"/>
        <item m="1" x="265"/>
        <item x="40"/>
        <item m="1" x="312"/>
        <item m="1" x="440"/>
        <item m="1" x="331"/>
        <item m="1" x="477"/>
        <item m="1" x="391"/>
        <item m="1" x="392"/>
        <item m="1" x="483"/>
        <item m="1" x="444"/>
        <item m="1" x="469"/>
        <item m="1" x="484"/>
        <item m="1" x="314"/>
        <item m="1" x="315"/>
        <item m="1" x="359"/>
        <item m="1" x="486"/>
        <item x="124"/>
        <item m="1" x="487"/>
        <item m="1" x="488"/>
        <item m="1" x="262"/>
        <item m="1" x="266"/>
        <item m="1" x="311"/>
        <item m="1" x="489"/>
        <item m="1" x="317"/>
        <item m="1" x="343"/>
        <item m="1" x="349"/>
        <item x="148"/>
        <item m="1" x="437"/>
        <item m="1" x="328"/>
        <item m="1" x="485"/>
        <item m="1" x="482"/>
        <item m="1" x="301"/>
        <item m="1" x="316"/>
        <item m="1" x="425"/>
        <item m="1" x="429"/>
        <item m="1" x="468"/>
        <item m="1" x="294"/>
        <item m="1" x="472"/>
        <item m="1" x="337"/>
        <item m="1" x="387"/>
        <item m="1" x="479"/>
        <item m="1" x="480"/>
        <item m="1" x="408"/>
        <item m="1" x="481"/>
        <item m="1" x="424"/>
        <item m="1" x="428"/>
        <item m="1" x="261"/>
        <item m="1" x="263"/>
        <item x="8"/>
        <item m="1" x="298"/>
        <item x="45"/>
        <item m="1" x="300"/>
        <item x="50"/>
        <item m="1" x="361"/>
        <item m="1" x="362"/>
        <item m="1" x="384"/>
        <item m="1" x="365"/>
        <item m="1" x="394"/>
        <item m="1" x="395"/>
        <item m="1" x="396"/>
        <item m="1" x="402"/>
        <item m="1" x="413"/>
        <item m="1" x="414"/>
        <item m="1" x="426"/>
        <item m="1" x="295"/>
        <item m="1" x="333"/>
        <item m="1" x="368"/>
        <item m="1" x="292"/>
        <item m="1" x="329"/>
        <item m="1" x="415"/>
        <item m="1" x="416"/>
        <item m="1" x="267"/>
        <item m="1" x="291"/>
        <item m="1" x="288"/>
        <item m="1" x="297"/>
        <item m="1" x="319"/>
        <item m="1" x="393"/>
        <item m="1" x="417"/>
        <item m="1" x="418"/>
        <item m="1" x="268"/>
        <item m="1" x="284"/>
        <item m="1" x="318"/>
        <item m="1" x="363"/>
        <item m="1" x="441"/>
        <item m="1" x="269"/>
        <item m="1" x="270"/>
        <item m="1" x="278"/>
        <item m="1" x="439"/>
        <item m="1" x="296"/>
        <item m="1" x="313"/>
        <item m="1" x="345"/>
        <item m="1" x="364"/>
        <item m="1" x="397"/>
        <item m="1" x="398"/>
        <item m="1" x="256"/>
        <item m="1" x="320"/>
        <item m="1" x="438"/>
        <item m="1" x="279"/>
        <item m="1" x="399"/>
        <item m="1" x="223"/>
        <item x="2"/>
        <item x="3"/>
        <item x="4"/>
        <item m="1" x="224"/>
        <item x="5"/>
        <item x="6"/>
        <item x="7"/>
        <item m="1" x="225"/>
        <item x="9"/>
        <item m="1" x="187"/>
        <item m="1" x="188"/>
        <item m="1" x="163"/>
        <item m="1" x="164"/>
        <item m="1" x="165"/>
        <item m="1" x="226"/>
        <item x="20"/>
        <item x="21"/>
        <item x="22"/>
        <item m="1" x="166"/>
        <item m="1" x="189"/>
        <item m="1" x="227"/>
        <item x="24"/>
        <item m="1" x="228"/>
        <item x="26"/>
        <item x="28"/>
        <item m="1" x="229"/>
        <item m="1" x="230"/>
        <item x="31"/>
        <item x="32"/>
        <item m="1" x="231"/>
        <item m="1" x="232"/>
        <item m="1" x="233"/>
        <item m="1" x="234"/>
        <item m="1" x="235"/>
        <item x="38"/>
        <item m="1" x="181"/>
        <item m="1" x="222"/>
        <item m="1" x="236"/>
        <item x="41"/>
        <item m="1" x="237"/>
        <item m="1" x="182"/>
        <item x="43"/>
        <item m="1" x="238"/>
        <item m="1" x="239"/>
        <item x="46"/>
        <item m="1" x="240"/>
        <item m="1" x="241"/>
        <item m="1" x="190"/>
        <item m="1" x="167"/>
        <item m="1" x="191"/>
        <item m="1" x="168"/>
        <item m="1" x="192"/>
        <item m="1" x="193"/>
        <item m="1" x="194"/>
        <item m="1" x="195"/>
        <item m="1" x="196"/>
        <item m="1" x="242"/>
        <item m="1" x="169"/>
        <item m="1" x="170"/>
        <item m="1" x="243"/>
        <item m="1" x="197"/>
        <item m="1" x="171"/>
        <item m="1" x="172"/>
        <item x="52"/>
        <item m="1" x="173"/>
        <item m="1" x="174"/>
        <item m="1" x="244"/>
        <item x="55"/>
        <item m="1" x="245"/>
        <item x="56"/>
        <item x="64"/>
        <item x="58"/>
        <item x="59"/>
        <item x="60"/>
        <item m="1" x="159"/>
        <item m="1" x="183"/>
        <item x="61"/>
        <item x="62"/>
        <item m="1" x="160"/>
        <item x="63"/>
        <item x="71"/>
        <item m="1" x="198"/>
        <item x="65"/>
        <item m="1" x="184"/>
        <item x="67"/>
        <item x="68"/>
        <item m="1" x="161"/>
        <item x="70"/>
        <item x="72"/>
        <item m="1" x="246"/>
        <item m="1" x="180"/>
        <item x="73"/>
        <item x="74"/>
        <item m="1" x="247"/>
        <item x="76"/>
        <item m="1" x="199"/>
        <item m="1" x="185"/>
        <item x="82"/>
        <item x="83"/>
        <item x="85"/>
        <item x="86"/>
        <item x="87"/>
        <item x="88"/>
        <item x="89"/>
        <item m="1" x="200"/>
        <item x="90"/>
        <item x="92"/>
        <item x="93"/>
        <item x="94"/>
        <item x="95"/>
        <item m="1" x="248"/>
        <item x="97"/>
        <item m="1" x="201"/>
        <item m="1" x="202"/>
        <item x="100"/>
        <item m="1" x="203"/>
        <item x="101"/>
        <item x="102"/>
        <item m="1" x="204"/>
        <item x="103"/>
        <item x="104"/>
        <item x="105"/>
        <item m="1" x="205"/>
        <item x="106"/>
        <item x="107"/>
        <item x="108"/>
        <item m="1" x="206"/>
        <item x="109"/>
        <item m="1" x="207"/>
        <item m="1" x="208"/>
        <item x="110"/>
        <item x="111"/>
        <item m="1" x="209"/>
        <item x="112"/>
        <item m="1" x="210"/>
        <item x="113"/>
        <item x="114"/>
        <item x="115"/>
        <item x="116"/>
        <item x="117"/>
        <item m="1" x="176"/>
        <item x="118"/>
        <item m="1" x="162"/>
        <item m="1" x="249"/>
        <item x="120"/>
        <item x="121"/>
        <item m="1" x="211"/>
        <item x="123"/>
        <item m="1" x="250"/>
        <item x="127"/>
        <item x="128"/>
        <item x="129"/>
        <item x="130"/>
        <item x="131"/>
        <item x="132"/>
        <item x="133"/>
        <item x="134"/>
        <item x="137"/>
        <item m="1" x="251"/>
        <item m="1" x="252"/>
        <item x="140"/>
        <item x="141"/>
        <item x="142"/>
        <item x="143"/>
        <item x="145"/>
        <item m="1" x="178"/>
        <item x="146"/>
        <item m="1" x="212"/>
        <item m="1" x="213"/>
        <item m="1" x="253"/>
        <item m="1" x="214"/>
        <item m="1" x="215"/>
        <item m="1" x="216"/>
        <item m="1" x="254"/>
        <item m="1" x="217"/>
        <item x="152"/>
        <item x="153"/>
        <item x="154"/>
        <item x="155"/>
        <item m="1" x="218"/>
        <item m="1" x="219"/>
        <item x="156"/>
        <item m="1" x="220"/>
        <item m="1" x="221"/>
        <item m="1" x="255"/>
        <item m="1" x="186"/>
        <item x="10"/>
        <item x="19"/>
        <item x="23"/>
        <item x="25"/>
        <item x="29"/>
        <item x="30"/>
        <item x="34"/>
        <item x="35"/>
        <item x="36"/>
        <item x="37"/>
        <item x="48"/>
        <item x="51"/>
        <item x="53"/>
        <item x="57"/>
        <item m="1" x="175"/>
        <item x="75"/>
        <item x="96"/>
        <item x="98"/>
        <item x="135"/>
        <item x="138"/>
        <item x="139"/>
        <item m="1" x="177"/>
        <item x="147"/>
        <item m="1" x="179"/>
        <item x="150"/>
        <item x="157"/>
        <item x="33"/>
        <item x="49"/>
        <item x="151"/>
        <item x="11"/>
        <item x="15"/>
        <item x="27"/>
        <item x="136"/>
        <item x="149"/>
        <item x="158"/>
        <item x="17"/>
        <item x="42"/>
        <item x="54"/>
        <item x="66"/>
        <item x="12"/>
        <item x="14"/>
        <item x="16"/>
        <item x="122"/>
        <item x="13"/>
        <item x="77"/>
        <item x="80"/>
        <item x="78"/>
        <item x="79"/>
        <item x="81"/>
        <item x="84"/>
        <item x="18"/>
        <item x="91"/>
        <item x="119"/>
        <item x="126"/>
        <item x="14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0"/>
    <field x="1"/>
  </rowFields>
  <rowItems count="160">
    <i>
      <x v="5"/>
      <x v="342"/>
    </i>
    <i>
      <x v="6"/>
      <x v="238"/>
    </i>
    <i>
      <x v="23"/>
      <x v="843"/>
    </i>
    <i>
      <x v="24"/>
      <x v="844"/>
    </i>
    <i>
      <x v="25"/>
      <x v="845"/>
    </i>
    <i>
      <x v="27"/>
      <x v="847"/>
    </i>
    <i>
      <x v="28"/>
      <x v="658"/>
    </i>
    <i>
      <x v="29"/>
      <x v="979"/>
    </i>
    <i>
      <x v="38"/>
      <x v="908"/>
    </i>
    <i>
      <x v="41"/>
      <x v="950"/>
    </i>
    <i>
      <x v="43"/>
      <x v="668"/>
    </i>
    <i>
      <x v="46"/>
      <x v="961"/>
    </i>
    <i>
      <x v="54"/>
      <x v="598"/>
    </i>
    <i>
      <x v="59"/>
      <x v="952"/>
    </i>
    <i>
      <x v="61"/>
      <x v="956"/>
    </i>
    <i>
      <x v="63"/>
      <x v="932"/>
    </i>
    <i>
      <x v="64"/>
      <x v="933"/>
    </i>
    <i>
      <x v="66"/>
      <x v="758"/>
    </i>
    <i>
      <x v="100"/>
      <x v="848"/>
    </i>
    <i>
      <x v="138"/>
      <x v="742"/>
    </i>
    <i>
      <x v="152"/>
      <x v="759"/>
    </i>
    <i>
      <x v="158"/>
      <x v="769"/>
    </i>
    <i>
      <x v="182"/>
      <x v="743"/>
    </i>
    <i>
      <x v="184"/>
      <x v="744"/>
    </i>
    <i>
      <x v="187"/>
      <x v="930"/>
    </i>
    <i>
      <x v="188"/>
      <x v="763"/>
    </i>
    <i>
      <x v="202"/>
      <x v="746"/>
    </i>
    <i>
      <x v="203"/>
      <x v="747"/>
    </i>
    <i>
      <x v="205"/>
      <x v="748"/>
    </i>
    <i>
      <x v="206"/>
      <x v="605"/>
    </i>
    <i>
      <x v="207"/>
      <x v="690"/>
    </i>
    <i>
      <x v="211"/>
      <x v="750"/>
    </i>
    <i>
      <x v="212"/>
      <x v="692"/>
    </i>
    <i>
      <x v="214"/>
      <x v="694"/>
    </i>
    <i>
      <x v="216"/>
      <x v="849"/>
    </i>
    <i>
      <x v="219"/>
      <x v="939"/>
    </i>
    <i>
      <x v="224"/>
      <x v="805"/>
    </i>
    <i>
      <x v="225"/>
      <x v="850"/>
    </i>
    <i>
      <x v="226"/>
      <x v="931"/>
    </i>
    <i>
      <x v="232"/>
      <x v="851"/>
    </i>
    <i>
      <x v="233"/>
      <x v="944"/>
    </i>
    <i>
      <x v="234"/>
      <x v="940"/>
    </i>
    <i>
      <x v="236"/>
      <x v="928"/>
    </i>
    <i>
      <x v="237"/>
      <x v="765"/>
    </i>
    <i>
      <x v="238"/>
      <x v="957"/>
    </i>
    <i>
      <x v="239"/>
      <x v="965"/>
    </i>
    <i>
      <x v="240"/>
      <x v="959"/>
    </i>
    <i>
      <x v="241"/>
      <x v="967"/>
    </i>
    <i>
      <x v="242"/>
      <x v="971"/>
    </i>
    <i>
      <x v="243"/>
      <x v="968"/>
    </i>
    <i>
      <x v="244"/>
      <x v="958"/>
    </i>
    <i>
      <x v="245"/>
      <x v="969"/>
    </i>
    <i>
      <x v="246"/>
      <x v="963"/>
    </i>
    <i>
      <x v="247"/>
      <x v="978"/>
    </i>
    <i>
      <x v="248"/>
      <x v="981"/>
    </i>
    <i>
      <x v="249"/>
      <x v="809"/>
    </i>
    <i>
      <x v="250"/>
      <x v="766"/>
    </i>
    <i>
      <x v="256"/>
      <x v="856"/>
    </i>
    <i>
      <x v="258"/>
      <x v="858"/>
    </i>
    <i>
      <x v="262"/>
      <x v="859"/>
    </i>
    <i>
      <x v="274"/>
      <x v="861"/>
    </i>
    <i>
      <x v="277"/>
      <x v="862"/>
    </i>
    <i>
      <x v="279"/>
      <x v="917"/>
    </i>
    <i>
      <x v="280"/>
      <x v="918"/>
    </i>
    <i>
      <x v="285"/>
      <x v="863"/>
    </i>
    <i>
      <x v="291"/>
      <x v="919"/>
    </i>
    <i>
      <x v="292"/>
      <x v="865"/>
    </i>
    <i>
      <x v="293"/>
      <x v="866"/>
    </i>
    <i>
      <x v="294"/>
      <x v="867"/>
    </i>
    <i>
      <x v="295"/>
      <x v="920"/>
    </i>
    <i>
      <x v="299"/>
      <x v="891"/>
    </i>
    <i>
      <x v="307"/>
      <x v="892"/>
    </i>
    <i>
      <x v="313"/>
      <x v="891"/>
    </i>
    <i>
      <x v="314"/>
      <x v="899"/>
    </i>
    <i>
      <x v="317"/>
      <x v="786"/>
    </i>
    <i>
      <x v="318"/>
      <x v="893"/>
    </i>
    <i>
      <x v="319"/>
      <x v="894"/>
    </i>
    <i>
      <x v="320"/>
      <x v="895"/>
    </i>
    <i>
      <x v="322"/>
      <x v="869"/>
    </i>
    <i>
      <x v="326"/>
      <x v="896"/>
    </i>
    <i>
      <x v="328"/>
      <x v="897"/>
    </i>
    <i>
      <x v="329"/>
      <x v="872"/>
    </i>
    <i>
      <x v="330"/>
      <x v="898"/>
    </i>
    <i>
      <x v="331"/>
      <x v="873"/>
    </i>
    <i>
      <x v="333"/>
      <x v="923"/>
    </i>
    <i>
      <x v="334"/>
      <x v="606"/>
    </i>
    <i>
      <x v="335"/>
      <x v="875"/>
    </i>
    <i>
      <x v="337"/>
      <x v="877"/>
    </i>
    <i>
      <x v="339"/>
      <x v="947"/>
    </i>
    <i>
      <x v="340"/>
      <x v="878"/>
    </i>
    <i>
      <x v="341"/>
      <x v="879"/>
    </i>
    <i>
      <x v="342"/>
      <x v="880"/>
    </i>
    <i>
      <x v="343"/>
      <x v="938"/>
    </i>
    <i>
      <x v="344"/>
      <x v="929"/>
    </i>
    <i>
      <x v="346"/>
      <x v="948"/>
    </i>
    <i>
      <x v="347"/>
      <x v="881"/>
    </i>
    <i>
      <x v="348"/>
      <x v="853"/>
    </i>
    <i>
      <x v="349"/>
      <x v="902"/>
    </i>
    <i>
      <x v="350"/>
      <x v="903"/>
    </i>
    <i>
      <x v="352"/>
      <x v="904"/>
    </i>
    <i>
      <x v="354"/>
      <x v="883"/>
    </i>
    <i>
      <x v="355"/>
      <x v="980"/>
    </i>
    <i>
      <x v="356"/>
      <x v="905"/>
    </i>
    <i>
      <x v="357"/>
      <x v="955"/>
    </i>
    <i>
      <x v="358"/>
      <x v="945"/>
    </i>
    <i>
      <x v="359"/>
      <x v="886"/>
    </i>
    <i>
      <x v="360"/>
      <x v="887"/>
    </i>
    <i>
      <x v="361"/>
      <x v="953"/>
    </i>
    <i>
      <x v="362"/>
      <x v="946"/>
    </i>
    <i>
      <x v="363"/>
      <x v="960"/>
    </i>
    <i>
      <x v="364"/>
      <x v="962"/>
    </i>
    <i>
      <x v="365"/>
      <x v="970"/>
    </i>
    <i>
      <x v="366"/>
      <x v="982"/>
    </i>
    <i>
      <x v="368"/>
      <x v="889"/>
    </i>
    <i>
      <x v="370"/>
      <x v="757"/>
    </i>
    <i>
      <x v="371"/>
      <x v="906"/>
    </i>
    <i>
      <x v="373"/>
      <x v="834"/>
    </i>
    <i>
      <x v="375"/>
      <x v="770"/>
    </i>
    <i>
      <x v="376"/>
      <x v="954"/>
    </i>
    <i>
      <x v="377"/>
      <x v="943"/>
    </i>
    <i>
      <x v="378"/>
      <x v="836"/>
    </i>
    <i>
      <x v="387"/>
      <x v="811"/>
    </i>
    <i>
      <x v="388"/>
      <x v="941"/>
    </i>
    <i>
      <x v="389"/>
      <x v="972"/>
    </i>
    <i>
      <x v="390"/>
      <x v="974"/>
    </i>
    <i>
      <x v="391"/>
      <x v="975"/>
    </i>
    <i>
      <x v="392"/>
      <x v="973"/>
    </i>
    <i>
      <x v="393"/>
      <x v="976"/>
    </i>
    <i>
      <x v="404"/>
      <x v="839"/>
    </i>
    <i>
      <x v="413"/>
      <x v="840"/>
    </i>
    <i>
      <x v="417"/>
      <x v="813"/>
    </i>
    <i>
      <x v="426"/>
      <x v="814"/>
    </i>
    <i>
      <x v="431"/>
      <x v="815"/>
    </i>
    <i>
      <x v="434"/>
      <x v="818"/>
    </i>
    <i>
      <x v="435"/>
      <x v="819"/>
    </i>
    <i>
      <x v="437"/>
      <x v="821"/>
    </i>
    <i>
      <x v="441"/>
      <x v="977"/>
    </i>
    <i>
      <x v="442"/>
      <x v="841"/>
    </i>
    <i>
      <x v="443"/>
      <x v="842"/>
    </i>
    <i>
      <x v="444"/>
      <x v="934"/>
    </i>
    <i>
      <x v="445"/>
      <x v="935"/>
    </i>
    <i>
      <x v="446"/>
      <x v="936"/>
    </i>
    <i>
      <x v="447"/>
      <x v="937"/>
    </i>
    <i>
      <x v="450"/>
      <x v="776"/>
    </i>
    <i>
      <x v="451"/>
      <x v="623"/>
    </i>
    <i>
      <x v="452"/>
      <x v="643"/>
    </i>
    <i>
      <x v="456"/>
      <x v="780"/>
    </i>
    <i>
      <x v="459"/>
      <x v="964"/>
    </i>
    <i>
      <x v="460"/>
      <x v="783"/>
    </i>
    <i>
      <x v="489"/>
      <x v="812"/>
    </i>
    <i>
      <x v="490"/>
      <x v="824"/>
    </i>
    <i>
      <x v="493"/>
      <x v="966"/>
    </i>
    <i>
      <x v="494"/>
      <x v="826"/>
    </i>
    <i>
      <x v="495"/>
      <x v="827"/>
    </i>
    <i>
      <x v="498"/>
      <x v="485"/>
    </i>
    <i>
      <x v="502"/>
      <x v="829"/>
    </i>
    <i>
      <x v="503"/>
      <x v="822"/>
    </i>
    <i>
      <x v="504"/>
      <x v="830"/>
    </i>
    <i>
      <x v="510"/>
      <x v="833"/>
    </i>
    <i>
      <x v="546"/>
      <x v="200"/>
    </i>
  </rowItems>
  <colItems count="1">
    <i/>
  </colItems>
  <formats count="21">
    <format dxfId="106">
      <pivotArea dataOnly="0" labelOnly="1" outline="0" fieldPosition="0">
        <references count="1">
          <reference field="0" count="1">
            <x v="125"/>
          </reference>
        </references>
      </pivotArea>
    </format>
    <format dxfId="105">
      <pivotArea dataOnly="0" labelOnly="1" outline="0" fieldPosition="0">
        <references count="1">
          <reference field="0" count="1">
            <x v="273"/>
          </reference>
        </references>
      </pivotArea>
    </format>
    <format dxfId="104">
      <pivotArea dataOnly="0" labelOnly="1" outline="0" fieldPosition="0">
        <references count="1">
          <reference field="0" count="1">
            <x v="85"/>
          </reference>
        </references>
      </pivotArea>
    </format>
    <format dxfId="103">
      <pivotArea dataOnly="0" labelOnly="1" outline="0" fieldPosition="0">
        <references count="1">
          <reference field="0" count="1">
            <x v="259"/>
          </reference>
        </references>
      </pivotArea>
    </format>
    <format dxfId="102">
      <pivotArea dataOnly="0" labelOnly="1" outline="0" fieldPosition="0">
        <references count="1">
          <reference field="0" count="1">
            <x v="271"/>
          </reference>
        </references>
      </pivotArea>
    </format>
    <format dxfId="101">
      <pivotArea dataOnly="0" labelOnly="1" outline="0" fieldPosition="0">
        <references count="1">
          <reference field="0" count="1">
            <x v="76"/>
          </reference>
        </references>
      </pivotArea>
    </format>
    <format dxfId="100">
      <pivotArea dataOnly="0" labelOnly="1" outline="0" fieldPosition="0">
        <references count="1">
          <reference field="0" count="1">
            <x v="84"/>
          </reference>
        </references>
      </pivotArea>
    </format>
    <format dxfId="99">
      <pivotArea dataOnly="0" labelOnly="1" outline="0" fieldPosition="0">
        <references count="1">
          <reference field="0" count="1">
            <x v="72"/>
          </reference>
        </references>
      </pivotArea>
    </format>
    <format dxfId="98">
      <pivotArea dataOnly="0" labelOnly="1" outline="0" fieldPosition="0">
        <references count="1">
          <reference field="0" count="1">
            <x v="275"/>
          </reference>
        </references>
      </pivotArea>
    </format>
    <format dxfId="97">
      <pivotArea dataOnly="0" labelOnly="1" outline="0" fieldPosition="0">
        <references count="1">
          <reference field="0" count="1">
            <x v="288"/>
          </reference>
        </references>
      </pivotArea>
    </format>
    <format dxfId="96">
      <pivotArea dataOnly="0" labelOnly="1" outline="0" fieldPosition="0">
        <references count="1">
          <reference field="0" count="1">
            <x v="97"/>
          </reference>
        </references>
      </pivotArea>
    </format>
    <format dxfId="95">
      <pivotArea dataOnly="0" labelOnly="1" outline="0" fieldPosition="0">
        <references count="1">
          <reference field="0" count="1">
            <x v="99"/>
          </reference>
        </references>
      </pivotArea>
    </format>
    <format dxfId="94">
      <pivotArea dataOnly="0" labelOnly="1" outline="0" fieldPosition="0">
        <references count="1">
          <reference field="0" count="1">
            <x v="81"/>
          </reference>
        </references>
      </pivotArea>
    </format>
    <format dxfId="93">
      <pivotArea dataOnly="0" labelOnly="1" outline="0" fieldPosition="0">
        <references count="1">
          <reference field="0" count="1">
            <x v="86"/>
          </reference>
        </references>
      </pivotArea>
    </format>
    <format dxfId="92">
      <pivotArea dataOnly="0" labelOnly="1" outline="0" fieldPosition="0">
        <references count="1">
          <reference field="0" count="1">
            <x v="79"/>
          </reference>
        </references>
      </pivotArea>
    </format>
    <format dxfId="91">
      <pivotArea dataOnly="0" labelOnly="1" outline="0" fieldPosition="0">
        <references count="1">
          <reference field="0" count="1">
            <x v="255"/>
          </reference>
        </references>
      </pivotArea>
    </format>
    <format dxfId="90">
      <pivotArea dataOnly="0" labelOnly="1" outline="0" fieldPosition="0">
        <references count="1">
          <reference field="0" count="1">
            <x v="193"/>
          </reference>
        </references>
      </pivotArea>
    </format>
    <format dxfId="89">
      <pivotArea dataOnly="0" labelOnly="1" outline="0" fieldPosition="0">
        <references count="1">
          <reference field="0" count="1">
            <x v="291"/>
          </reference>
        </references>
      </pivotArea>
    </format>
    <format dxfId="88">
      <pivotArea dataOnly="0" labelOnly="1" outline="0" fieldPosition="0">
        <references count="1">
          <reference field="0" count="1">
            <x v="295"/>
          </reference>
        </references>
      </pivotArea>
    </format>
    <format dxfId="87">
      <pivotArea dataOnly="0" labelOnly="1" outline="0" fieldPosition="0">
        <references count="1">
          <reference field="0" count="2">
            <x v="324"/>
            <x v="325"/>
          </reference>
        </references>
      </pivotArea>
    </format>
    <format dxfId="86">
      <pivotArea dataOnly="0" labelOnly="1" outline="0" fieldPosition="0">
        <references count="1">
          <reference field="0" count="1">
            <x v="33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59E1A4-4E2A-409D-903B-B0D73EB9F972}" name="Table3" displayName="Table3" ref="A4:O1411" totalsRowShown="0" headerRowDxfId="85">
  <autoFilter ref="A4:O1411" xr:uid="{A059E1A4-4E2A-409D-903B-B0D73EB9F972}"/>
  <tableColumns count="15">
    <tableColumn id="1" xr3:uid="{5F9F6F13-6768-4DCA-84D0-EA0A3C9EB95F}" name="Job No" dataDxfId="84">
      <calculatedColumnFormula>LEFT(C5,FIND(" ",C5)-1)</calculatedColumnFormula>
    </tableColumn>
    <tableColumn id="2" xr3:uid="{51828C92-0F6D-4868-A59F-B4B99F21E648}" name="Description">
      <calculatedColumnFormula>RIGHT(C5,LEN(C5)-FIND(" ",C5))</calculatedColumnFormula>
    </tableColumn>
    <tableColumn id="3" xr3:uid="{F2C1577B-B6D6-44FA-8BCA-65CFDAD5ECCD}" name="Job"/>
    <tableColumn id="4" xr3:uid="{7378BB7E-B3B0-4DD4-A404-EF36B262C9D8}" name="Earned_x000a_Revenue" dataDxfId="83"/>
    <tableColumn id="5" xr3:uid="{7FC0F653-5D0F-4890-B1CA-5A4EFF40601F}" name="Acutal_x000a_Cost" dataDxfId="82"/>
    <tableColumn id="6" xr3:uid="{F07800FC-5131-4129-85E5-B549903CDFCA}" name="Gross_x000a_Profit" dataDxfId="81"/>
    <tableColumn id="7" xr3:uid="{CABB937D-5529-4681-B2E7-1B4B6E8FE845}" name="GP %" dataDxfId="80"/>
    <tableColumn id="8" xr3:uid="{0229F4CD-3641-43DE-866E-6266E9A72EB4}" name="Billed" dataDxfId="79"/>
    <tableColumn id="9" xr3:uid="{F88A3240-FAEC-445C-A1D8-AC80700DE67C}" name="WIP" dataDxfId="78"/>
    <tableColumn id="10" xr3:uid="{7EA5064E-299B-44EF-9014-E207A047E76D}" name="Contract_x000a_Value" dataDxfId="77"/>
    <tableColumn id="11" xr3:uid="{3A36F960-096D-4844-9634-4F634B8F0B10}" name="JTD Earned Rev" dataDxfId="76"/>
    <tableColumn id="12" xr3:uid="{ED74D683-D741-421F-80EF-8F078827DE58}" name="Actual_x000a_Cost2" dataDxfId="75"/>
    <tableColumn id="13" xr3:uid="{68127311-E0E3-4B1D-80F1-42D6543679EF}" name="JTD Gross Profit" dataDxfId="74"/>
    <tableColumn id="14" xr3:uid="{27850C04-E6E3-411B-9C7D-EF9D5A424264}" name="JTD GP %" dataDxfId="73"/>
    <tableColumn id="15" xr3:uid="{B8943B55-20DE-4FD0-8595-C82A4A8AF07D}" name="CV" dataDxfId="72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9010C-3001-4D47-B8BA-8B9343A8A956}" name="Table1" displayName="Table1" ref="B2:H309" totalsRowShown="0">
  <autoFilter ref="B2:H309" xr:uid="{EED9010C-3001-4D47-B8BA-8B9343A8A956}"/>
  <tableColumns count="7">
    <tableColumn id="1" xr3:uid="{9C18BF60-5965-48D9-846A-8CC2A373F4AF}" name="Contract"/>
    <tableColumn id="2" xr3:uid="{1565D482-8B37-46AA-8040-534A84F92895}" name="REVN"/>
    <tableColumn id="3" xr3:uid="{BE5537F5-5887-4E67-A2FE-590A8B36A8EB}" name="COER"/>
    <tableColumn id="4" xr3:uid="{96F8DD43-5AD8-4177-95EA-DE19AF6A07DF}" name="D&amp;A"/>
    <tableColumn id="5" xr3:uid="{F9F35D7F-8174-4079-B9D0-DE77E0DD8948}" name="G&amp;A"/>
    <tableColumn id="7" xr3:uid="{6622378D-BD96-4316-BF40-F01673ACEBE9}" name="Total Revenue" dataDxfId="71">
      <calculatedColumnFormula>SUM(Table1[[#This Row],[REVN]]*-1)</calculatedColumnFormula>
    </tableColumn>
    <tableColumn id="6" xr3:uid="{CCEBA4E9-0A75-47D9-BDF7-EB23FF6033BF}" name="Total Expens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C5218C-574D-487E-AC42-A7321815463A}" name="Table2" displayName="Table2" ref="A1:M197" totalsRowShown="0" headerRowDxfId="70" dataDxfId="69" headerRowCellStyle="Comma" dataCellStyle="Comma">
  <autoFilter ref="A1:M197" xr:uid="{85C5218C-574D-487E-AC42-A7321815463A}"/>
  <tableColumns count="13">
    <tableColumn id="1" xr3:uid="{CA34D833-C44A-4C4F-9049-EEEC27B3999B}" name="Legacy Project #" dataDxfId="68"/>
    <tableColumn id="2" xr3:uid="{372BEDAE-9C5D-4F15-97A2-FCF239433A67}" name="SAP Conract" dataDxfId="67"/>
    <tableColumn id="3" xr3:uid="{836128A2-DB46-4237-8712-996B2A80C0ED}" name="Project Description" dataDxfId="66"/>
    <tableColumn id="4" xr3:uid="{3C6DAA38-EC26-4890-A164-B56C0FCA1AEE}" name="Profit Center" dataDxfId="65" dataCellStyle="Comma"/>
    <tableColumn id="5" xr3:uid="{87481214-B777-44FE-8F7A-D4D5EC4AC5A6}" name="Total" dataDxfId="64" dataCellStyle="Comma"/>
    <tableColumn id="6" xr3:uid="{D30B0B71-6361-41B4-A464-33B801F4A801}" name="0-30 Days" dataDxfId="63" dataCellStyle="Comma"/>
    <tableColumn id="7" xr3:uid="{DA043FFC-721E-487C-B53C-F04E8654DF57}" name="31-60 Days" dataDxfId="62" dataCellStyle="Comma"/>
    <tableColumn id="8" xr3:uid="{60A4A645-1DD5-45BD-8FE2-24D3F1CDCAA1}" name="61-90 Days" dataDxfId="61" dataCellStyle="Comma"/>
    <tableColumn id="9" xr3:uid="{E0B8CF92-C0DD-4C45-A35C-64560A4B435C}" name="91-120 Days" dataDxfId="60" dataCellStyle="Comma"/>
    <tableColumn id="10" xr3:uid="{FEB153F9-9DD1-407B-8DB4-922F700F4DD5}" name="121-180 Days" dataDxfId="59" dataCellStyle="Comma"/>
    <tableColumn id="11" xr3:uid="{5686A7C7-FF13-40D8-9393-FB541E410C1E}" name="181-360 Days" dataDxfId="58" dataCellStyle="Comma"/>
    <tableColumn id="12" xr3:uid="{AF62D709-B9F9-4362-9F60-2770792D8C1B}" name="361-1080 Days" dataDxfId="57" dataCellStyle="Comma"/>
    <tableColumn id="13" xr3:uid="{1844AFEE-E2F0-4447-9A14-BA5EEA73702D}" name="1081+ Days" dataDxfId="56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F454-5EF6-49CA-9915-E76A3ED51461}">
  <sheetPr>
    <tabColor rgb="FFCCCCFF"/>
    <outlinePr summaryBelow="0"/>
    <pageSetUpPr autoPageBreaks="0"/>
  </sheetPr>
  <dimension ref="A1:WVT491"/>
  <sheetViews>
    <sheetView tabSelected="1" zoomScaleNormal="100" workbookViewId="0">
      <pane ySplit="2" topLeftCell="A403" activePane="bottomLeft" state="frozen"/>
      <selection activeCell="C1" sqref="C1"/>
      <selection pane="bottomLeft" activeCell="H426" sqref="H426"/>
    </sheetView>
  </sheetViews>
  <sheetFormatPr defaultColWidth="5.21875" defaultRowHeight="12.75" customHeight="1" outlineLevelRow="1" outlineLevelCol="1" x14ac:dyDescent="0.25"/>
  <cols>
    <col min="1" max="1" width="31.6640625" style="54" customWidth="1"/>
    <col min="2" max="2" width="9.6640625" style="54" customWidth="1"/>
    <col min="3" max="3" width="10.21875" style="54" customWidth="1"/>
    <col min="4" max="4" width="10.21875" style="225" customWidth="1"/>
    <col min="5" max="5" width="12.21875" style="55" customWidth="1" outlineLevel="1"/>
    <col min="6" max="6" width="12.21875" style="55" customWidth="1"/>
    <col min="7" max="7" width="12.109375" style="55" customWidth="1" outlineLevel="1"/>
    <col min="8" max="8" width="12.21875" style="55" customWidth="1"/>
    <col min="9" max="9" width="12.88671875" style="55" customWidth="1"/>
    <col min="10" max="10" width="10.5546875" style="56" customWidth="1"/>
    <col min="11" max="11" width="12.44140625" style="194" bestFit="1" customWidth="1"/>
    <col min="12" max="13" width="12.109375" style="55" customWidth="1" outlineLevel="1"/>
    <col min="14" max="14" width="26.44140625" style="54" customWidth="1" outlineLevel="1"/>
    <col min="15" max="15" width="36.77734375" style="54" customWidth="1" outlineLevel="1"/>
    <col min="16" max="21" width="17.44140625" style="54" customWidth="1" outlineLevel="1"/>
    <col min="22" max="26" width="5.21875" style="54"/>
    <col min="27" max="243" width="0" style="54" hidden="1" customWidth="1"/>
    <col min="244" max="244" width="13.21875" style="54" hidden="1" customWidth="1"/>
    <col min="245" max="245" width="37.88671875" style="54" hidden="1" customWidth="1"/>
    <col min="246" max="246" width="11.21875" style="54" hidden="1" customWidth="1"/>
    <col min="247" max="247" width="8.21875" style="54" hidden="1" customWidth="1"/>
    <col min="248" max="249" width="12.21875" style="54" hidden="1" customWidth="1"/>
    <col min="250" max="251" width="10" style="54" hidden="1" customWidth="1"/>
    <col min="252" max="252" width="8.5546875" style="54" hidden="1" customWidth="1"/>
    <col min="253" max="253" width="5.77734375" style="54" hidden="1" customWidth="1"/>
    <col min="254" max="254" width="12.109375" style="54" hidden="1" customWidth="1"/>
    <col min="255" max="256" width="11.109375" style="54" hidden="1" customWidth="1"/>
    <col min="257" max="260" width="0" style="54" hidden="1" customWidth="1"/>
    <col min="261" max="265" width="12.109375" style="54" hidden="1" customWidth="1"/>
    <col min="266" max="266" width="11.109375" style="54" hidden="1" customWidth="1"/>
    <col min="267" max="267" width="9.5546875" style="54" hidden="1" customWidth="1"/>
    <col min="268" max="499" width="0" style="54" hidden="1" customWidth="1"/>
    <col min="500" max="500" width="13.21875" style="54" hidden="1" customWidth="1"/>
    <col min="501" max="501" width="37.88671875" style="54" hidden="1" customWidth="1"/>
    <col min="502" max="502" width="11.21875" style="54" hidden="1" customWidth="1"/>
    <col min="503" max="503" width="8.21875" style="54" hidden="1" customWidth="1"/>
    <col min="504" max="505" width="12.21875" style="54" hidden="1" customWidth="1"/>
    <col min="506" max="507" width="10" style="54" hidden="1" customWidth="1"/>
    <col min="508" max="508" width="8.5546875" style="54" hidden="1" customWidth="1"/>
    <col min="509" max="509" width="5.77734375" style="54" hidden="1" customWidth="1"/>
    <col min="510" max="510" width="12.109375" style="54" hidden="1" customWidth="1"/>
    <col min="511" max="512" width="11.109375" style="54" hidden="1" customWidth="1"/>
    <col min="513" max="516" width="0" style="54" hidden="1" customWidth="1"/>
    <col min="517" max="521" width="12.109375" style="54" hidden="1" customWidth="1"/>
    <col min="522" max="522" width="11.109375" style="54" hidden="1" customWidth="1"/>
    <col min="523" max="523" width="9.5546875" style="54" hidden="1" customWidth="1"/>
    <col min="524" max="755" width="0" style="54" hidden="1" customWidth="1"/>
    <col min="756" max="756" width="13.21875" style="54" hidden="1" customWidth="1"/>
    <col min="757" max="757" width="37.88671875" style="54" hidden="1" customWidth="1"/>
    <col min="758" max="758" width="11.21875" style="54" hidden="1" customWidth="1"/>
    <col min="759" max="759" width="8.21875" style="54" hidden="1" customWidth="1"/>
    <col min="760" max="761" width="12.21875" style="54" hidden="1" customWidth="1"/>
    <col min="762" max="763" width="10" style="54" hidden="1" customWidth="1"/>
    <col min="764" max="764" width="8.5546875" style="54" hidden="1" customWidth="1"/>
    <col min="765" max="765" width="5.77734375" style="54" hidden="1" customWidth="1"/>
    <col min="766" max="766" width="12.109375" style="54" hidden="1" customWidth="1"/>
    <col min="767" max="768" width="11.109375" style="54" hidden="1" customWidth="1"/>
    <col min="769" max="772" width="0" style="54" hidden="1" customWidth="1"/>
    <col min="773" max="777" width="12.109375" style="54" hidden="1" customWidth="1"/>
    <col min="778" max="778" width="11.109375" style="54" hidden="1" customWidth="1"/>
    <col min="779" max="779" width="9.5546875" style="54" hidden="1" customWidth="1"/>
    <col min="780" max="1011" width="0" style="54" hidden="1" customWidth="1"/>
    <col min="1012" max="1012" width="13.21875" style="54" hidden="1" customWidth="1"/>
    <col min="1013" max="1013" width="37.88671875" style="54" hidden="1" customWidth="1"/>
    <col min="1014" max="1014" width="11.21875" style="54" hidden="1" customWidth="1"/>
    <col min="1015" max="1015" width="8.21875" style="54" hidden="1" customWidth="1"/>
    <col min="1016" max="1017" width="12.21875" style="54" hidden="1" customWidth="1"/>
    <col min="1018" max="1019" width="10" style="54" hidden="1" customWidth="1"/>
    <col min="1020" max="1020" width="8.5546875" style="54" hidden="1" customWidth="1"/>
    <col min="1021" max="1021" width="5.77734375" style="54" hidden="1" customWidth="1"/>
    <col min="1022" max="1022" width="12.109375" style="54" hidden="1" customWidth="1"/>
    <col min="1023" max="1024" width="11.109375" style="54" hidden="1" customWidth="1"/>
    <col min="1025" max="1028" width="0" style="54" hidden="1" customWidth="1"/>
    <col min="1029" max="1033" width="12.109375" style="54" hidden="1" customWidth="1"/>
    <col min="1034" max="1034" width="11.109375" style="54" hidden="1" customWidth="1"/>
    <col min="1035" max="1035" width="9.5546875" style="54" hidden="1" customWidth="1"/>
    <col min="1036" max="1267" width="0" style="54" hidden="1" customWidth="1"/>
    <col min="1268" max="1268" width="13.21875" style="54" hidden="1" customWidth="1"/>
    <col min="1269" max="1269" width="37.88671875" style="54" hidden="1" customWidth="1"/>
    <col min="1270" max="1270" width="11.21875" style="54" hidden="1" customWidth="1"/>
    <col min="1271" max="1271" width="8.21875" style="54" hidden="1" customWidth="1"/>
    <col min="1272" max="1273" width="12.21875" style="54" hidden="1" customWidth="1"/>
    <col min="1274" max="1275" width="10" style="54" hidden="1" customWidth="1"/>
    <col min="1276" max="1276" width="8.5546875" style="54" hidden="1" customWidth="1"/>
    <col min="1277" max="1277" width="5.77734375" style="54" hidden="1" customWidth="1"/>
    <col min="1278" max="1278" width="12.109375" style="54" hidden="1" customWidth="1"/>
    <col min="1279" max="1280" width="11.109375" style="54" hidden="1" customWidth="1"/>
    <col min="1281" max="1284" width="0" style="54" hidden="1" customWidth="1"/>
    <col min="1285" max="1289" width="12.109375" style="54" hidden="1" customWidth="1"/>
    <col min="1290" max="1290" width="11.109375" style="54" hidden="1" customWidth="1"/>
    <col min="1291" max="1291" width="9.5546875" style="54" hidden="1" customWidth="1"/>
    <col min="1292" max="1523" width="0" style="54" hidden="1" customWidth="1"/>
    <col min="1524" max="1524" width="13.21875" style="54" hidden="1" customWidth="1"/>
    <col min="1525" max="1525" width="37.88671875" style="54" hidden="1" customWidth="1"/>
    <col min="1526" max="1526" width="11.21875" style="54" hidden="1" customWidth="1"/>
    <col min="1527" max="1527" width="8.21875" style="54" hidden="1" customWidth="1"/>
    <col min="1528" max="1529" width="12.21875" style="54" hidden="1" customWidth="1"/>
    <col min="1530" max="1531" width="10" style="54" hidden="1" customWidth="1"/>
    <col min="1532" max="1532" width="8.5546875" style="54" hidden="1" customWidth="1"/>
    <col min="1533" max="1533" width="5.77734375" style="54" hidden="1" customWidth="1"/>
    <col min="1534" max="1534" width="12.109375" style="54" hidden="1" customWidth="1"/>
    <col min="1535" max="1536" width="11.109375" style="54" hidden="1" customWidth="1"/>
    <col min="1537" max="1540" width="0" style="54" hidden="1" customWidth="1"/>
    <col min="1541" max="1545" width="12.109375" style="54" hidden="1" customWidth="1"/>
    <col min="1546" max="1546" width="11.109375" style="54" hidden="1" customWidth="1"/>
    <col min="1547" max="1547" width="9.5546875" style="54" hidden="1" customWidth="1"/>
    <col min="1548" max="1779" width="0" style="54" hidden="1" customWidth="1"/>
    <col min="1780" max="1780" width="13.21875" style="54" hidden="1" customWidth="1"/>
    <col min="1781" max="1781" width="37.88671875" style="54" hidden="1" customWidth="1"/>
    <col min="1782" max="1782" width="11.21875" style="54" hidden="1" customWidth="1"/>
    <col min="1783" max="1783" width="8.21875" style="54" hidden="1" customWidth="1"/>
    <col min="1784" max="1785" width="12.21875" style="54" hidden="1" customWidth="1"/>
    <col min="1786" max="1787" width="10" style="54" hidden="1" customWidth="1"/>
    <col min="1788" max="1788" width="8.5546875" style="54" hidden="1" customWidth="1"/>
    <col min="1789" max="1789" width="5.77734375" style="54" hidden="1" customWidth="1"/>
    <col min="1790" max="1790" width="12.109375" style="54" hidden="1" customWidth="1"/>
    <col min="1791" max="1792" width="11.109375" style="54" hidden="1" customWidth="1"/>
    <col min="1793" max="1796" width="0" style="54" hidden="1" customWidth="1"/>
    <col min="1797" max="1801" width="12.109375" style="54" hidden="1" customWidth="1"/>
    <col min="1802" max="1802" width="11.109375" style="54" hidden="1" customWidth="1"/>
    <col min="1803" max="1803" width="9.5546875" style="54" hidden="1" customWidth="1"/>
    <col min="1804" max="2035" width="0" style="54" hidden="1" customWidth="1"/>
    <col min="2036" max="2036" width="13.21875" style="54" hidden="1" customWidth="1"/>
    <col min="2037" max="2037" width="37.88671875" style="54" hidden="1" customWidth="1"/>
    <col min="2038" max="2038" width="11.21875" style="54" hidden="1" customWidth="1"/>
    <col min="2039" max="2039" width="8.21875" style="54" hidden="1" customWidth="1"/>
    <col min="2040" max="2041" width="12.21875" style="54" hidden="1" customWidth="1"/>
    <col min="2042" max="2043" width="10" style="54" hidden="1" customWidth="1"/>
    <col min="2044" max="2044" width="8.5546875" style="54" hidden="1" customWidth="1"/>
    <col min="2045" max="2045" width="5.77734375" style="54" hidden="1" customWidth="1"/>
    <col min="2046" max="2046" width="12.109375" style="54" hidden="1" customWidth="1"/>
    <col min="2047" max="2048" width="11.109375" style="54" hidden="1" customWidth="1"/>
    <col min="2049" max="2052" width="0" style="54" hidden="1" customWidth="1"/>
    <col min="2053" max="2057" width="12.109375" style="54" hidden="1" customWidth="1"/>
    <col min="2058" max="2058" width="11.109375" style="54" hidden="1" customWidth="1"/>
    <col min="2059" max="2059" width="9.5546875" style="54" hidden="1" customWidth="1"/>
    <col min="2060" max="2291" width="0" style="54" hidden="1" customWidth="1"/>
    <col min="2292" max="2292" width="13.21875" style="54" hidden="1" customWidth="1"/>
    <col min="2293" max="2293" width="37.88671875" style="54" hidden="1" customWidth="1"/>
    <col min="2294" max="2294" width="11.21875" style="54" hidden="1" customWidth="1"/>
    <col min="2295" max="2295" width="8.21875" style="54" hidden="1" customWidth="1"/>
    <col min="2296" max="2297" width="12.21875" style="54" hidden="1" customWidth="1"/>
    <col min="2298" max="2299" width="10" style="54" hidden="1" customWidth="1"/>
    <col min="2300" max="2300" width="8.5546875" style="54" hidden="1" customWidth="1"/>
    <col min="2301" max="2301" width="5.77734375" style="54" hidden="1" customWidth="1"/>
    <col min="2302" max="2302" width="12.109375" style="54" hidden="1" customWidth="1"/>
    <col min="2303" max="2304" width="11.109375" style="54" hidden="1" customWidth="1"/>
    <col min="2305" max="2308" width="0" style="54" hidden="1" customWidth="1"/>
    <col min="2309" max="2313" width="12.109375" style="54" hidden="1" customWidth="1"/>
    <col min="2314" max="2314" width="11.109375" style="54" hidden="1" customWidth="1"/>
    <col min="2315" max="2315" width="9.5546875" style="54" hidden="1" customWidth="1"/>
    <col min="2316" max="2547" width="0" style="54" hidden="1" customWidth="1"/>
    <col min="2548" max="2548" width="13.21875" style="54" hidden="1" customWidth="1"/>
    <col min="2549" max="2549" width="37.88671875" style="54" hidden="1" customWidth="1"/>
    <col min="2550" max="2550" width="11.21875" style="54" hidden="1" customWidth="1"/>
    <col min="2551" max="2551" width="8.21875" style="54" hidden="1" customWidth="1"/>
    <col min="2552" max="2553" width="12.21875" style="54" hidden="1" customWidth="1"/>
    <col min="2554" max="2555" width="10" style="54" hidden="1" customWidth="1"/>
    <col min="2556" max="2556" width="8.5546875" style="54" hidden="1" customWidth="1"/>
    <col min="2557" max="2557" width="5.77734375" style="54" hidden="1" customWidth="1"/>
    <col min="2558" max="2558" width="12.109375" style="54" hidden="1" customWidth="1"/>
    <col min="2559" max="2560" width="11.109375" style="54" hidden="1" customWidth="1"/>
    <col min="2561" max="2564" width="0" style="54" hidden="1" customWidth="1"/>
    <col min="2565" max="2569" width="12.109375" style="54" hidden="1" customWidth="1"/>
    <col min="2570" max="2570" width="11.109375" style="54" hidden="1" customWidth="1"/>
    <col min="2571" max="2571" width="9.5546875" style="54" hidden="1" customWidth="1"/>
    <col min="2572" max="2803" width="0" style="54" hidden="1" customWidth="1"/>
    <col min="2804" max="2804" width="13.21875" style="54" hidden="1" customWidth="1"/>
    <col min="2805" max="2805" width="37.88671875" style="54" hidden="1" customWidth="1"/>
    <col min="2806" max="2806" width="11.21875" style="54" hidden="1" customWidth="1"/>
    <col min="2807" max="2807" width="8.21875" style="54" hidden="1" customWidth="1"/>
    <col min="2808" max="2809" width="12.21875" style="54" hidden="1" customWidth="1"/>
    <col min="2810" max="2811" width="10" style="54" hidden="1" customWidth="1"/>
    <col min="2812" max="2812" width="8.5546875" style="54" hidden="1" customWidth="1"/>
    <col min="2813" max="2813" width="5.77734375" style="54" hidden="1" customWidth="1"/>
    <col min="2814" max="2814" width="12.109375" style="54" hidden="1" customWidth="1"/>
    <col min="2815" max="2816" width="11.109375" style="54" hidden="1" customWidth="1"/>
    <col min="2817" max="2820" width="0" style="54" hidden="1" customWidth="1"/>
    <col min="2821" max="2825" width="12.109375" style="54" hidden="1" customWidth="1"/>
    <col min="2826" max="2826" width="11.109375" style="54" hidden="1" customWidth="1"/>
    <col min="2827" max="2827" width="9.5546875" style="54" hidden="1" customWidth="1"/>
    <col min="2828" max="3059" width="0" style="54" hidden="1" customWidth="1"/>
    <col min="3060" max="3060" width="13.21875" style="54" hidden="1" customWidth="1"/>
    <col min="3061" max="3061" width="37.88671875" style="54" hidden="1" customWidth="1"/>
    <col min="3062" max="3062" width="11.21875" style="54" hidden="1" customWidth="1"/>
    <col min="3063" max="3063" width="8.21875" style="54" hidden="1" customWidth="1"/>
    <col min="3064" max="3065" width="12.21875" style="54" hidden="1" customWidth="1"/>
    <col min="3066" max="3067" width="10" style="54" hidden="1" customWidth="1"/>
    <col min="3068" max="3068" width="8.5546875" style="54" hidden="1" customWidth="1"/>
    <col min="3069" max="3069" width="5.77734375" style="54" hidden="1" customWidth="1"/>
    <col min="3070" max="3070" width="12.109375" style="54" hidden="1" customWidth="1"/>
    <col min="3071" max="3072" width="11.109375" style="54" hidden="1" customWidth="1"/>
    <col min="3073" max="3076" width="0" style="54" hidden="1" customWidth="1"/>
    <col min="3077" max="3081" width="12.109375" style="54" hidden="1" customWidth="1"/>
    <col min="3082" max="3082" width="11.109375" style="54" hidden="1" customWidth="1"/>
    <col min="3083" max="3083" width="9.5546875" style="54" hidden="1" customWidth="1"/>
    <col min="3084" max="3315" width="0" style="54" hidden="1" customWidth="1"/>
    <col min="3316" max="3316" width="13.21875" style="54" hidden="1" customWidth="1"/>
    <col min="3317" max="3317" width="37.88671875" style="54" hidden="1" customWidth="1"/>
    <col min="3318" max="3318" width="11.21875" style="54" hidden="1" customWidth="1"/>
    <col min="3319" max="3319" width="8.21875" style="54" hidden="1" customWidth="1"/>
    <col min="3320" max="3321" width="12.21875" style="54" hidden="1" customWidth="1"/>
    <col min="3322" max="3323" width="10" style="54" hidden="1" customWidth="1"/>
    <col min="3324" max="3324" width="8.5546875" style="54" hidden="1" customWidth="1"/>
    <col min="3325" max="3325" width="5.77734375" style="54" hidden="1" customWidth="1"/>
    <col min="3326" max="3326" width="12.109375" style="54" hidden="1" customWidth="1"/>
    <col min="3327" max="3328" width="11.109375" style="54" hidden="1" customWidth="1"/>
    <col min="3329" max="3332" width="0" style="54" hidden="1" customWidth="1"/>
    <col min="3333" max="3337" width="12.109375" style="54" hidden="1" customWidth="1"/>
    <col min="3338" max="3338" width="11.109375" style="54" hidden="1" customWidth="1"/>
    <col min="3339" max="3339" width="9.5546875" style="54" hidden="1" customWidth="1"/>
    <col min="3340" max="3571" width="0" style="54" hidden="1" customWidth="1"/>
    <col min="3572" max="3572" width="13.21875" style="54" hidden="1" customWidth="1"/>
    <col min="3573" max="3573" width="37.88671875" style="54" hidden="1" customWidth="1"/>
    <col min="3574" max="3574" width="11.21875" style="54" hidden="1" customWidth="1"/>
    <col min="3575" max="3575" width="8.21875" style="54" hidden="1" customWidth="1"/>
    <col min="3576" max="3577" width="12.21875" style="54" hidden="1" customWidth="1"/>
    <col min="3578" max="3579" width="10" style="54" hidden="1" customWidth="1"/>
    <col min="3580" max="3580" width="8.5546875" style="54" hidden="1" customWidth="1"/>
    <col min="3581" max="3581" width="5.77734375" style="54" hidden="1" customWidth="1"/>
    <col min="3582" max="3582" width="12.109375" style="54" hidden="1" customWidth="1"/>
    <col min="3583" max="3584" width="11.109375" style="54" hidden="1" customWidth="1"/>
    <col min="3585" max="3588" width="0" style="54" hidden="1" customWidth="1"/>
    <col min="3589" max="3593" width="12.109375" style="54" hidden="1" customWidth="1"/>
    <col min="3594" max="3594" width="11.109375" style="54" hidden="1" customWidth="1"/>
    <col min="3595" max="3595" width="9.5546875" style="54" hidden="1" customWidth="1"/>
    <col min="3596" max="3827" width="0" style="54" hidden="1" customWidth="1"/>
    <col min="3828" max="3828" width="13.21875" style="54" hidden="1" customWidth="1"/>
    <col min="3829" max="3829" width="37.88671875" style="54" hidden="1" customWidth="1"/>
    <col min="3830" max="3830" width="11.21875" style="54" hidden="1" customWidth="1"/>
    <col min="3831" max="3831" width="8.21875" style="54" hidden="1" customWidth="1"/>
    <col min="3832" max="3833" width="12.21875" style="54" hidden="1" customWidth="1"/>
    <col min="3834" max="3835" width="10" style="54" hidden="1" customWidth="1"/>
    <col min="3836" max="3836" width="8.5546875" style="54" hidden="1" customWidth="1"/>
    <col min="3837" max="3837" width="5.77734375" style="54" hidden="1" customWidth="1"/>
    <col min="3838" max="3838" width="12.109375" style="54" hidden="1" customWidth="1"/>
    <col min="3839" max="3840" width="11.109375" style="54" hidden="1" customWidth="1"/>
    <col min="3841" max="3844" width="0" style="54" hidden="1" customWidth="1"/>
    <col min="3845" max="3849" width="12.109375" style="54" hidden="1" customWidth="1"/>
    <col min="3850" max="3850" width="11.109375" style="54" hidden="1" customWidth="1"/>
    <col min="3851" max="3851" width="9.5546875" style="54" hidden="1" customWidth="1"/>
    <col min="3852" max="4083" width="0" style="54" hidden="1" customWidth="1"/>
    <col min="4084" max="4084" width="13.21875" style="54" hidden="1" customWidth="1"/>
    <col min="4085" max="4085" width="37.88671875" style="54" hidden="1" customWidth="1"/>
    <col min="4086" max="4086" width="11.21875" style="54" hidden="1" customWidth="1"/>
    <col min="4087" max="4087" width="8.21875" style="54" hidden="1" customWidth="1"/>
    <col min="4088" max="4089" width="12.21875" style="54" hidden="1" customWidth="1"/>
    <col min="4090" max="4091" width="10" style="54" hidden="1" customWidth="1"/>
    <col min="4092" max="4092" width="8.5546875" style="54" hidden="1" customWidth="1"/>
    <col min="4093" max="4093" width="5.77734375" style="54" hidden="1" customWidth="1"/>
    <col min="4094" max="4094" width="12.109375" style="54" hidden="1" customWidth="1"/>
    <col min="4095" max="4096" width="11.109375" style="54" hidden="1" customWidth="1"/>
    <col min="4097" max="4100" width="0" style="54" hidden="1" customWidth="1"/>
    <col min="4101" max="4105" width="12.109375" style="54" hidden="1" customWidth="1"/>
    <col min="4106" max="4106" width="11.109375" style="54" hidden="1" customWidth="1"/>
    <col min="4107" max="4107" width="9.5546875" style="54" hidden="1" customWidth="1"/>
    <col min="4108" max="4339" width="0" style="54" hidden="1" customWidth="1"/>
    <col min="4340" max="4340" width="13.21875" style="54" hidden="1" customWidth="1"/>
    <col min="4341" max="4341" width="37.88671875" style="54" hidden="1" customWidth="1"/>
    <col min="4342" max="4342" width="11.21875" style="54" hidden="1" customWidth="1"/>
    <col min="4343" max="4343" width="8.21875" style="54" hidden="1" customWidth="1"/>
    <col min="4344" max="4345" width="12.21875" style="54" hidden="1" customWidth="1"/>
    <col min="4346" max="4347" width="10" style="54" hidden="1" customWidth="1"/>
    <col min="4348" max="4348" width="8.5546875" style="54" hidden="1" customWidth="1"/>
    <col min="4349" max="4349" width="5.77734375" style="54" hidden="1" customWidth="1"/>
    <col min="4350" max="4350" width="12.109375" style="54" hidden="1" customWidth="1"/>
    <col min="4351" max="4352" width="11.109375" style="54" hidden="1" customWidth="1"/>
    <col min="4353" max="4356" width="0" style="54" hidden="1" customWidth="1"/>
    <col min="4357" max="4361" width="12.109375" style="54" hidden="1" customWidth="1"/>
    <col min="4362" max="4362" width="11.109375" style="54" hidden="1" customWidth="1"/>
    <col min="4363" max="4363" width="9.5546875" style="54" hidden="1" customWidth="1"/>
    <col min="4364" max="4595" width="0" style="54" hidden="1" customWidth="1"/>
    <col min="4596" max="4596" width="13.21875" style="54" hidden="1" customWidth="1"/>
    <col min="4597" max="4597" width="37.88671875" style="54" hidden="1" customWidth="1"/>
    <col min="4598" max="4598" width="11.21875" style="54" hidden="1" customWidth="1"/>
    <col min="4599" max="4599" width="8.21875" style="54" hidden="1" customWidth="1"/>
    <col min="4600" max="4601" width="12.21875" style="54" hidden="1" customWidth="1"/>
    <col min="4602" max="4603" width="10" style="54" hidden="1" customWidth="1"/>
    <col min="4604" max="4604" width="8.5546875" style="54" hidden="1" customWidth="1"/>
    <col min="4605" max="4605" width="5.77734375" style="54" hidden="1" customWidth="1"/>
    <col min="4606" max="4606" width="12.109375" style="54" hidden="1" customWidth="1"/>
    <col min="4607" max="4608" width="11.109375" style="54" hidden="1" customWidth="1"/>
    <col min="4609" max="4612" width="0" style="54" hidden="1" customWidth="1"/>
    <col min="4613" max="4617" width="12.109375" style="54" hidden="1" customWidth="1"/>
    <col min="4618" max="4618" width="11.109375" style="54" hidden="1" customWidth="1"/>
    <col min="4619" max="4619" width="9.5546875" style="54" hidden="1" customWidth="1"/>
    <col min="4620" max="4851" width="0" style="54" hidden="1" customWidth="1"/>
    <col min="4852" max="4852" width="13.21875" style="54" hidden="1" customWidth="1"/>
    <col min="4853" max="4853" width="37.88671875" style="54" hidden="1" customWidth="1"/>
    <col min="4854" max="4854" width="11.21875" style="54" hidden="1" customWidth="1"/>
    <col min="4855" max="4855" width="8.21875" style="54" hidden="1" customWidth="1"/>
    <col min="4856" max="4857" width="12.21875" style="54" hidden="1" customWidth="1"/>
    <col min="4858" max="4859" width="10" style="54" hidden="1" customWidth="1"/>
    <col min="4860" max="4860" width="8.5546875" style="54" hidden="1" customWidth="1"/>
    <col min="4861" max="4861" width="5.77734375" style="54" hidden="1" customWidth="1"/>
    <col min="4862" max="4862" width="12.109375" style="54" hidden="1" customWidth="1"/>
    <col min="4863" max="4864" width="11.109375" style="54" hidden="1" customWidth="1"/>
    <col min="4865" max="4868" width="0" style="54" hidden="1" customWidth="1"/>
    <col min="4869" max="4873" width="12.109375" style="54" hidden="1" customWidth="1"/>
    <col min="4874" max="4874" width="11.109375" style="54" hidden="1" customWidth="1"/>
    <col min="4875" max="4875" width="9.5546875" style="54" hidden="1" customWidth="1"/>
    <col min="4876" max="5107" width="0" style="54" hidden="1" customWidth="1"/>
    <col min="5108" max="5108" width="13.21875" style="54" hidden="1" customWidth="1"/>
    <col min="5109" max="5109" width="37.88671875" style="54" hidden="1" customWidth="1"/>
    <col min="5110" max="5110" width="11.21875" style="54" hidden="1" customWidth="1"/>
    <col min="5111" max="5111" width="8.21875" style="54" hidden="1" customWidth="1"/>
    <col min="5112" max="5113" width="12.21875" style="54" hidden="1" customWidth="1"/>
    <col min="5114" max="5115" width="10" style="54" hidden="1" customWidth="1"/>
    <col min="5116" max="5116" width="8.5546875" style="54" hidden="1" customWidth="1"/>
    <col min="5117" max="5117" width="5.77734375" style="54" hidden="1" customWidth="1"/>
    <col min="5118" max="5118" width="12.109375" style="54" hidden="1" customWidth="1"/>
    <col min="5119" max="5120" width="11.109375" style="54" hidden="1" customWidth="1"/>
    <col min="5121" max="5124" width="0" style="54" hidden="1" customWidth="1"/>
    <col min="5125" max="5129" width="12.109375" style="54" hidden="1" customWidth="1"/>
    <col min="5130" max="5130" width="11.109375" style="54" hidden="1" customWidth="1"/>
    <col min="5131" max="5131" width="9.5546875" style="54" hidden="1" customWidth="1"/>
    <col min="5132" max="5363" width="0" style="54" hidden="1" customWidth="1"/>
    <col min="5364" max="5364" width="13.21875" style="54" hidden="1" customWidth="1"/>
    <col min="5365" max="5365" width="37.88671875" style="54" hidden="1" customWidth="1"/>
    <col min="5366" max="5366" width="11.21875" style="54" hidden="1" customWidth="1"/>
    <col min="5367" max="5367" width="8.21875" style="54" hidden="1" customWidth="1"/>
    <col min="5368" max="5369" width="12.21875" style="54" hidden="1" customWidth="1"/>
    <col min="5370" max="5371" width="10" style="54" hidden="1" customWidth="1"/>
    <col min="5372" max="5372" width="8.5546875" style="54" hidden="1" customWidth="1"/>
    <col min="5373" max="5373" width="5.77734375" style="54" hidden="1" customWidth="1"/>
    <col min="5374" max="5374" width="12.109375" style="54" hidden="1" customWidth="1"/>
    <col min="5375" max="5376" width="11.109375" style="54" hidden="1" customWidth="1"/>
    <col min="5377" max="5380" width="0" style="54" hidden="1" customWidth="1"/>
    <col min="5381" max="5385" width="12.109375" style="54" hidden="1" customWidth="1"/>
    <col min="5386" max="5386" width="11.109375" style="54" hidden="1" customWidth="1"/>
    <col min="5387" max="5387" width="9.5546875" style="54" hidden="1" customWidth="1"/>
    <col min="5388" max="5619" width="0" style="54" hidden="1" customWidth="1"/>
    <col min="5620" max="5620" width="13.21875" style="54" hidden="1" customWidth="1"/>
    <col min="5621" max="5621" width="37.88671875" style="54" hidden="1" customWidth="1"/>
    <col min="5622" max="5622" width="11.21875" style="54" hidden="1" customWidth="1"/>
    <col min="5623" max="5623" width="8.21875" style="54" hidden="1" customWidth="1"/>
    <col min="5624" max="5625" width="12.21875" style="54" hidden="1" customWidth="1"/>
    <col min="5626" max="5627" width="10" style="54" hidden="1" customWidth="1"/>
    <col min="5628" max="5628" width="8.5546875" style="54" hidden="1" customWidth="1"/>
    <col min="5629" max="5629" width="5.77734375" style="54" hidden="1" customWidth="1"/>
    <col min="5630" max="5630" width="12.109375" style="54" hidden="1" customWidth="1"/>
    <col min="5631" max="5632" width="11.109375" style="54" hidden="1" customWidth="1"/>
    <col min="5633" max="5636" width="0" style="54" hidden="1" customWidth="1"/>
    <col min="5637" max="5641" width="12.109375" style="54" hidden="1" customWidth="1"/>
    <col min="5642" max="5642" width="11.109375" style="54" hidden="1" customWidth="1"/>
    <col min="5643" max="5643" width="9.5546875" style="54" hidden="1" customWidth="1"/>
    <col min="5644" max="5875" width="0" style="54" hidden="1" customWidth="1"/>
    <col min="5876" max="5876" width="13.21875" style="54" hidden="1" customWidth="1"/>
    <col min="5877" max="5877" width="37.88671875" style="54" hidden="1" customWidth="1"/>
    <col min="5878" max="5878" width="11.21875" style="54" hidden="1" customWidth="1"/>
    <col min="5879" max="5879" width="8.21875" style="54" hidden="1" customWidth="1"/>
    <col min="5880" max="5881" width="12.21875" style="54" hidden="1" customWidth="1"/>
    <col min="5882" max="5883" width="10" style="54" hidden="1" customWidth="1"/>
    <col min="5884" max="5884" width="8.5546875" style="54" hidden="1" customWidth="1"/>
    <col min="5885" max="5885" width="5.77734375" style="54" hidden="1" customWidth="1"/>
    <col min="5886" max="5886" width="12.109375" style="54" hidden="1" customWidth="1"/>
    <col min="5887" max="5888" width="11.109375" style="54" hidden="1" customWidth="1"/>
    <col min="5889" max="5892" width="0" style="54" hidden="1" customWidth="1"/>
    <col min="5893" max="5897" width="12.109375" style="54" hidden="1" customWidth="1"/>
    <col min="5898" max="5898" width="11.109375" style="54" hidden="1" customWidth="1"/>
    <col min="5899" max="5899" width="9.5546875" style="54" hidden="1" customWidth="1"/>
    <col min="5900" max="6131" width="0" style="54" hidden="1" customWidth="1"/>
    <col min="6132" max="6132" width="13.21875" style="54" hidden="1" customWidth="1"/>
    <col min="6133" max="6133" width="37.88671875" style="54" hidden="1" customWidth="1"/>
    <col min="6134" max="6134" width="11.21875" style="54" hidden="1" customWidth="1"/>
    <col min="6135" max="6135" width="8.21875" style="54" hidden="1" customWidth="1"/>
    <col min="6136" max="6137" width="12.21875" style="54" hidden="1" customWidth="1"/>
    <col min="6138" max="6139" width="10" style="54" hidden="1" customWidth="1"/>
    <col min="6140" max="6140" width="8.5546875" style="54" hidden="1" customWidth="1"/>
    <col min="6141" max="6141" width="5.77734375" style="54" hidden="1" customWidth="1"/>
    <col min="6142" max="6142" width="12.109375" style="54" hidden="1" customWidth="1"/>
    <col min="6143" max="6144" width="11.109375" style="54" hidden="1" customWidth="1"/>
    <col min="6145" max="6148" width="0" style="54" hidden="1" customWidth="1"/>
    <col min="6149" max="6153" width="12.109375" style="54" hidden="1" customWidth="1"/>
    <col min="6154" max="6154" width="11.109375" style="54" hidden="1" customWidth="1"/>
    <col min="6155" max="6155" width="9.5546875" style="54" hidden="1" customWidth="1"/>
    <col min="6156" max="6387" width="0" style="54" hidden="1" customWidth="1"/>
    <col min="6388" max="6388" width="13.21875" style="54" hidden="1" customWidth="1"/>
    <col min="6389" max="6389" width="37.88671875" style="54" hidden="1" customWidth="1"/>
    <col min="6390" max="6390" width="11.21875" style="54" hidden="1" customWidth="1"/>
    <col min="6391" max="6391" width="8.21875" style="54" hidden="1" customWidth="1"/>
    <col min="6392" max="6393" width="12.21875" style="54" hidden="1" customWidth="1"/>
    <col min="6394" max="6395" width="10" style="54" hidden="1" customWidth="1"/>
    <col min="6396" max="6396" width="8.5546875" style="54" hidden="1" customWidth="1"/>
    <col min="6397" max="6397" width="5.77734375" style="54" hidden="1" customWidth="1"/>
    <col min="6398" max="6398" width="12.109375" style="54" hidden="1" customWidth="1"/>
    <col min="6399" max="6400" width="11.109375" style="54" hidden="1" customWidth="1"/>
    <col min="6401" max="6404" width="0" style="54" hidden="1" customWidth="1"/>
    <col min="6405" max="6409" width="12.109375" style="54" hidden="1" customWidth="1"/>
    <col min="6410" max="6410" width="11.109375" style="54" hidden="1" customWidth="1"/>
    <col min="6411" max="6411" width="9.5546875" style="54" hidden="1" customWidth="1"/>
    <col min="6412" max="6643" width="0" style="54" hidden="1" customWidth="1"/>
    <col min="6644" max="6644" width="13.21875" style="54" hidden="1" customWidth="1"/>
    <col min="6645" max="6645" width="37.88671875" style="54" hidden="1" customWidth="1"/>
    <col min="6646" max="6646" width="11.21875" style="54" hidden="1" customWidth="1"/>
    <col min="6647" max="6647" width="8.21875" style="54" hidden="1" customWidth="1"/>
    <col min="6648" max="6649" width="12.21875" style="54" hidden="1" customWidth="1"/>
    <col min="6650" max="6651" width="10" style="54" hidden="1" customWidth="1"/>
    <col min="6652" max="6652" width="8.5546875" style="54" hidden="1" customWidth="1"/>
    <col min="6653" max="6653" width="5.77734375" style="54" hidden="1" customWidth="1"/>
    <col min="6654" max="6654" width="12.109375" style="54" hidden="1" customWidth="1"/>
    <col min="6655" max="6656" width="11.109375" style="54" hidden="1" customWidth="1"/>
    <col min="6657" max="6660" width="0" style="54" hidden="1" customWidth="1"/>
    <col min="6661" max="6665" width="12.109375" style="54" hidden="1" customWidth="1"/>
    <col min="6666" max="6666" width="11.109375" style="54" hidden="1" customWidth="1"/>
    <col min="6667" max="6667" width="9.5546875" style="54" hidden="1" customWidth="1"/>
    <col min="6668" max="6899" width="0" style="54" hidden="1" customWidth="1"/>
    <col min="6900" max="6900" width="13.21875" style="54" hidden="1" customWidth="1"/>
    <col min="6901" max="6901" width="37.88671875" style="54" hidden="1" customWidth="1"/>
    <col min="6902" max="6902" width="11.21875" style="54" hidden="1" customWidth="1"/>
    <col min="6903" max="6903" width="8.21875" style="54" hidden="1" customWidth="1"/>
    <col min="6904" max="6905" width="12.21875" style="54" hidden="1" customWidth="1"/>
    <col min="6906" max="6907" width="10" style="54" hidden="1" customWidth="1"/>
    <col min="6908" max="6908" width="8.5546875" style="54" hidden="1" customWidth="1"/>
    <col min="6909" max="6909" width="5.77734375" style="54" hidden="1" customWidth="1"/>
    <col min="6910" max="6910" width="12.109375" style="54" hidden="1" customWidth="1"/>
    <col min="6911" max="6912" width="11.109375" style="54" hidden="1" customWidth="1"/>
    <col min="6913" max="6916" width="0" style="54" hidden="1" customWidth="1"/>
    <col min="6917" max="6921" width="12.109375" style="54" hidden="1" customWidth="1"/>
    <col min="6922" max="6922" width="11.109375" style="54" hidden="1" customWidth="1"/>
    <col min="6923" max="6923" width="9.5546875" style="54" hidden="1" customWidth="1"/>
    <col min="6924" max="7155" width="0" style="54" hidden="1" customWidth="1"/>
    <col min="7156" max="7156" width="13.21875" style="54" hidden="1" customWidth="1"/>
    <col min="7157" max="7157" width="37.88671875" style="54" hidden="1" customWidth="1"/>
    <col min="7158" max="7158" width="11.21875" style="54" hidden="1" customWidth="1"/>
    <col min="7159" max="7159" width="8.21875" style="54" hidden="1" customWidth="1"/>
    <col min="7160" max="7161" width="12.21875" style="54" hidden="1" customWidth="1"/>
    <col min="7162" max="7163" width="10" style="54" hidden="1" customWidth="1"/>
    <col min="7164" max="7164" width="8.5546875" style="54" hidden="1" customWidth="1"/>
    <col min="7165" max="7165" width="5.77734375" style="54" hidden="1" customWidth="1"/>
    <col min="7166" max="7166" width="12.109375" style="54" hidden="1" customWidth="1"/>
    <col min="7167" max="7168" width="11.109375" style="54" hidden="1" customWidth="1"/>
    <col min="7169" max="7172" width="0" style="54" hidden="1" customWidth="1"/>
    <col min="7173" max="7177" width="12.109375" style="54" hidden="1" customWidth="1"/>
    <col min="7178" max="7178" width="11.109375" style="54" hidden="1" customWidth="1"/>
    <col min="7179" max="7179" width="9.5546875" style="54" hidden="1" customWidth="1"/>
    <col min="7180" max="7411" width="0" style="54" hidden="1" customWidth="1"/>
    <col min="7412" max="7412" width="13.21875" style="54" hidden="1" customWidth="1"/>
    <col min="7413" max="7413" width="37.88671875" style="54" hidden="1" customWidth="1"/>
    <col min="7414" max="7414" width="11.21875" style="54" hidden="1" customWidth="1"/>
    <col min="7415" max="7415" width="8.21875" style="54" hidden="1" customWidth="1"/>
    <col min="7416" max="7417" width="12.21875" style="54" hidden="1" customWidth="1"/>
    <col min="7418" max="7419" width="10" style="54" hidden="1" customWidth="1"/>
    <col min="7420" max="7420" width="8.5546875" style="54" hidden="1" customWidth="1"/>
    <col min="7421" max="7421" width="5.77734375" style="54" hidden="1" customWidth="1"/>
    <col min="7422" max="7422" width="12.109375" style="54" hidden="1" customWidth="1"/>
    <col min="7423" max="7424" width="11.109375" style="54" hidden="1" customWidth="1"/>
    <col min="7425" max="7428" width="0" style="54" hidden="1" customWidth="1"/>
    <col min="7429" max="7433" width="12.109375" style="54" hidden="1" customWidth="1"/>
    <col min="7434" max="7434" width="11.109375" style="54" hidden="1" customWidth="1"/>
    <col min="7435" max="7435" width="9.5546875" style="54" hidden="1" customWidth="1"/>
    <col min="7436" max="7667" width="0" style="54" hidden="1" customWidth="1"/>
    <col min="7668" max="7668" width="13.21875" style="54" hidden="1" customWidth="1"/>
    <col min="7669" max="7669" width="37.88671875" style="54" hidden="1" customWidth="1"/>
    <col min="7670" max="7670" width="11.21875" style="54" hidden="1" customWidth="1"/>
    <col min="7671" max="7671" width="8.21875" style="54" hidden="1" customWidth="1"/>
    <col min="7672" max="7673" width="12.21875" style="54" hidden="1" customWidth="1"/>
    <col min="7674" max="7675" width="10" style="54" hidden="1" customWidth="1"/>
    <col min="7676" max="7676" width="8.5546875" style="54" hidden="1" customWidth="1"/>
    <col min="7677" max="7677" width="5.77734375" style="54" hidden="1" customWidth="1"/>
    <col min="7678" max="7678" width="12.109375" style="54" hidden="1" customWidth="1"/>
    <col min="7679" max="7680" width="11.109375" style="54" hidden="1" customWidth="1"/>
    <col min="7681" max="7684" width="0" style="54" hidden="1" customWidth="1"/>
    <col min="7685" max="7689" width="12.109375" style="54" hidden="1" customWidth="1"/>
    <col min="7690" max="7690" width="11.109375" style="54" hidden="1" customWidth="1"/>
    <col min="7691" max="7691" width="9.5546875" style="54" hidden="1" customWidth="1"/>
    <col min="7692" max="7923" width="0" style="54" hidden="1" customWidth="1"/>
    <col min="7924" max="7924" width="13.21875" style="54" hidden="1" customWidth="1"/>
    <col min="7925" max="7925" width="37.88671875" style="54" hidden="1" customWidth="1"/>
    <col min="7926" max="7926" width="11.21875" style="54" hidden="1" customWidth="1"/>
    <col min="7927" max="7927" width="8.21875" style="54" hidden="1" customWidth="1"/>
    <col min="7928" max="7929" width="12.21875" style="54" hidden="1" customWidth="1"/>
    <col min="7930" max="7931" width="10" style="54" hidden="1" customWidth="1"/>
    <col min="7932" max="7932" width="8.5546875" style="54" hidden="1" customWidth="1"/>
    <col min="7933" max="7933" width="5.77734375" style="54" hidden="1" customWidth="1"/>
    <col min="7934" max="7934" width="12.109375" style="54" hidden="1" customWidth="1"/>
    <col min="7935" max="7936" width="11.109375" style="54" hidden="1" customWidth="1"/>
    <col min="7937" max="7940" width="0" style="54" hidden="1" customWidth="1"/>
    <col min="7941" max="7945" width="12.109375" style="54" hidden="1" customWidth="1"/>
    <col min="7946" max="7946" width="11.109375" style="54" hidden="1" customWidth="1"/>
    <col min="7947" max="7947" width="9.5546875" style="54" hidden="1" customWidth="1"/>
    <col min="7948" max="8179" width="0" style="54" hidden="1" customWidth="1"/>
    <col min="8180" max="8180" width="13.21875" style="54" hidden="1" customWidth="1"/>
    <col min="8181" max="8181" width="37.88671875" style="54" hidden="1" customWidth="1"/>
    <col min="8182" max="8182" width="11.21875" style="54" hidden="1" customWidth="1"/>
    <col min="8183" max="8183" width="8.21875" style="54" hidden="1" customWidth="1"/>
    <col min="8184" max="8185" width="12.21875" style="54" hidden="1" customWidth="1"/>
    <col min="8186" max="8187" width="10" style="54" hidden="1" customWidth="1"/>
    <col min="8188" max="8188" width="8.5546875" style="54" hidden="1" customWidth="1"/>
    <col min="8189" max="8189" width="5.77734375" style="54" hidden="1" customWidth="1"/>
    <col min="8190" max="8190" width="12.109375" style="54" hidden="1" customWidth="1"/>
    <col min="8191" max="8192" width="11.109375" style="54" hidden="1" customWidth="1"/>
    <col min="8193" max="8196" width="0" style="54" hidden="1" customWidth="1"/>
    <col min="8197" max="8201" width="12.109375" style="54" hidden="1" customWidth="1"/>
    <col min="8202" max="8202" width="11.109375" style="54" hidden="1" customWidth="1"/>
    <col min="8203" max="8203" width="9.5546875" style="54" hidden="1" customWidth="1"/>
    <col min="8204" max="8435" width="0" style="54" hidden="1" customWidth="1"/>
    <col min="8436" max="8436" width="13.21875" style="54" hidden="1" customWidth="1"/>
    <col min="8437" max="8437" width="37.88671875" style="54" hidden="1" customWidth="1"/>
    <col min="8438" max="8438" width="11.21875" style="54" hidden="1" customWidth="1"/>
    <col min="8439" max="8439" width="8.21875" style="54" hidden="1" customWidth="1"/>
    <col min="8440" max="8441" width="12.21875" style="54" hidden="1" customWidth="1"/>
    <col min="8442" max="8443" width="10" style="54" hidden="1" customWidth="1"/>
    <col min="8444" max="8444" width="8.5546875" style="54" hidden="1" customWidth="1"/>
    <col min="8445" max="8445" width="5.77734375" style="54" hidden="1" customWidth="1"/>
    <col min="8446" max="8446" width="12.109375" style="54" hidden="1" customWidth="1"/>
    <col min="8447" max="8448" width="11.109375" style="54" hidden="1" customWidth="1"/>
    <col min="8449" max="8452" width="0" style="54" hidden="1" customWidth="1"/>
    <col min="8453" max="8457" width="12.109375" style="54" hidden="1" customWidth="1"/>
    <col min="8458" max="8458" width="11.109375" style="54" hidden="1" customWidth="1"/>
    <col min="8459" max="8459" width="9.5546875" style="54" hidden="1" customWidth="1"/>
    <col min="8460" max="8691" width="0" style="54" hidden="1" customWidth="1"/>
    <col min="8692" max="8692" width="13.21875" style="54" hidden="1" customWidth="1"/>
    <col min="8693" max="8693" width="37.88671875" style="54" hidden="1" customWidth="1"/>
    <col min="8694" max="8694" width="11.21875" style="54" hidden="1" customWidth="1"/>
    <col min="8695" max="8695" width="8.21875" style="54" hidden="1" customWidth="1"/>
    <col min="8696" max="8697" width="12.21875" style="54" hidden="1" customWidth="1"/>
    <col min="8698" max="8699" width="10" style="54" hidden="1" customWidth="1"/>
    <col min="8700" max="8700" width="8.5546875" style="54" hidden="1" customWidth="1"/>
    <col min="8701" max="8701" width="5.77734375" style="54" hidden="1" customWidth="1"/>
    <col min="8702" max="8702" width="12.109375" style="54" hidden="1" customWidth="1"/>
    <col min="8703" max="8704" width="11.109375" style="54" hidden="1" customWidth="1"/>
    <col min="8705" max="8708" width="0" style="54" hidden="1" customWidth="1"/>
    <col min="8709" max="8713" width="12.109375" style="54" hidden="1" customWidth="1"/>
    <col min="8714" max="8714" width="11.109375" style="54" hidden="1" customWidth="1"/>
    <col min="8715" max="8715" width="9.5546875" style="54" hidden="1" customWidth="1"/>
    <col min="8716" max="8947" width="0" style="54" hidden="1" customWidth="1"/>
    <col min="8948" max="8948" width="13.21875" style="54" hidden="1" customWidth="1"/>
    <col min="8949" max="8949" width="37.88671875" style="54" hidden="1" customWidth="1"/>
    <col min="8950" max="8950" width="11.21875" style="54" hidden="1" customWidth="1"/>
    <col min="8951" max="8951" width="8.21875" style="54" hidden="1" customWidth="1"/>
    <col min="8952" max="8953" width="12.21875" style="54" hidden="1" customWidth="1"/>
    <col min="8954" max="8955" width="10" style="54" hidden="1" customWidth="1"/>
    <col min="8956" max="8956" width="8.5546875" style="54" hidden="1" customWidth="1"/>
    <col min="8957" max="8957" width="5.77734375" style="54" hidden="1" customWidth="1"/>
    <col min="8958" max="8958" width="12.109375" style="54" hidden="1" customWidth="1"/>
    <col min="8959" max="8960" width="11.109375" style="54" hidden="1" customWidth="1"/>
    <col min="8961" max="8964" width="0" style="54" hidden="1" customWidth="1"/>
    <col min="8965" max="8969" width="12.109375" style="54" hidden="1" customWidth="1"/>
    <col min="8970" max="8970" width="11.109375" style="54" hidden="1" customWidth="1"/>
    <col min="8971" max="8971" width="9.5546875" style="54" hidden="1" customWidth="1"/>
    <col min="8972" max="9203" width="0" style="54" hidden="1" customWidth="1"/>
    <col min="9204" max="9204" width="13.21875" style="54" hidden="1" customWidth="1"/>
    <col min="9205" max="9205" width="37.88671875" style="54" hidden="1" customWidth="1"/>
    <col min="9206" max="9206" width="11.21875" style="54" hidden="1" customWidth="1"/>
    <col min="9207" max="9207" width="8.21875" style="54" hidden="1" customWidth="1"/>
    <col min="9208" max="9209" width="12.21875" style="54" hidden="1" customWidth="1"/>
    <col min="9210" max="9211" width="10" style="54" hidden="1" customWidth="1"/>
    <col min="9212" max="9212" width="8.5546875" style="54" hidden="1" customWidth="1"/>
    <col min="9213" max="9213" width="5.77734375" style="54" hidden="1" customWidth="1"/>
    <col min="9214" max="9214" width="12.109375" style="54" hidden="1" customWidth="1"/>
    <col min="9215" max="9216" width="11.109375" style="54" hidden="1" customWidth="1"/>
    <col min="9217" max="9220" width="0" style="54" hidden="1" customWidth="1"/>
    <col min="9221" max="9225" width="12.109375" style="54" hidden="1" customWidth="1"/>
    <col min="9226" max="9226" width="11.109375" style="54" hidden="1" customWidth="1"/>
    <col min="9227" max="9227" width="9.5546875" style="54" hidden="1" customWidth="1"/>
    <col min="9228" max="9459" width="0" style="54" hidden="1" customWidth="1"/>
    <col min="9460" max="9460" width="13.21875" style="54" hidden="1" customWidth="1"/>
    <col min="9461" max="9461" width="37.88671875" style="54" hidden="1" customWidth="1"/>
    <col min="9462" max="9462" width="11.21875" style="54" hidden="1" customWidth="1"/>
    <col min="9463" max="9463" width="8.21875" style="54" hidden="1" customWidth="1"/>
    <col min="9464" max="9465" width="12.21875" style="54" hidden="1" customWidth="1"/>
    <col min="9466" max="9467" width="10" style="54" hidden="1" customWidth="1"/>
    <col min="9468" max="9468" width="8.5546875" style="54" hidden="1" customWidth="1"/>
    <col min="9469" max="9469" width="5.77734375" style="54" hidden="1" customWidth="1"/>
    <col min="9470" max="9470" width="12.109375" style="54" hidden="1" customWidth="1"/>
    <col min="9471" max="9472" width="11.109375" style="54" hidden="1" customWidth="1"/>
    <col min="9473" max="9476" width="0" style="54" hidden="1" customWidth="1"/>
    <col min="9477" max="9481" width="12.109375" style="54" hidden="1" customWidth="1"/>
    <col min="9482" max="9482" width="11.109375" style="54" hidden="1" customWidth="1"/>
    <col min="9483" max="9483" width="9.5546875" style="54" hidden="1" customWidth="1"/>
    <col min="9484" max="9715" width="0" style="54" hidden="1" customWidth="1"/>
    <col min="9716" max="9716" width="13.21875" style="54" hidden="1" customWidth="1"/>
    <col min="9717" max="9717" width="37.88671875" style="54" hidden="1" customWidth="1"/>
    <col min="9718" max="9718" width="11.21875" style="54" hidden="1" customWidth="1"/>
    <col min="9719" max="9719" width="8.21875" style="54" hidden="1" customWidth="1"/>
    <col min="9720" max="9721" width="12.21875" style="54" hidden="1" customWidth="1"/>
    <col min="9722" max="9723" width="10" style="54" hidden="1" customWidth="1"/>
    <col min="9724" max="9724" width="8.5546875" style="54" hidden="1" customWidth="1"/>
    <col min="9725" max="9725" width="5.77734375" style="54" hidden="1" customWidth="1"/>
    <col min="9726" max="9726" width="12.109375" style="54" hidden="1" customWidth="1"/>
    <col min="9727" max="9728" width="11.109375" style="54" hidden="1" customWidth="1"/>
    <col min="9729" max="9732" width="0" style="54" hidden="1" customWidth="1"/>
    <col min="9733" max="9737" width="12.109375" style="54" hidden="1" customWidth="1"/>
    <col min="9738" max="9738" width="11.109375" style="54" hidden="1" customWidth="1"/>
    <col min="9739" max="9739" width="9.5546875" style="54" hidden="1" customWidth="1"/>
    <col min="9740" max="9971" width="0" style="54" hidden="1" customWidth="1"/>
    <col min="9972" max="9972" width="13.21875" style="54" hidden="1" customWidth="1"/>
    <col min="9973" max="9973" width="37.88671875" style="54" hidden="1" customWidth="1"/>
    <col min="9974" max="9974" width="11.21875" style="54" hidden="1" customWidth="1"/>
    <col min="9975" max="9975" width="8.21875" style="54" hidden="1" customWidth="1"/>
    <col min="9976" max="9977" width="12.21875" style="54" hidden="1" customWidth="1"/>
    <col min="9978" max="9979" width="10" style="54" hidden="1" customWidth="1"/>
    <col min="9980" max="9980" width="8.5546875" style="54" hidden="1" customWidth="1"/>
    <col min="9981" max="9981" width="5.77734375" style="54" hidden="1" customWidth="1"/>
    <col min="9982" max="9982" width="12.109375" style="54" hidden="1" customWidth="1"/>
    <col min="9983" max="9984" width="11.109375" style="54" hidden="1" customWidth="1"/>
    <col min="9985" max="9988" width="0" style="54" hidden="1" customWidth="1"/>
    <col min="9989" max="9993" width="12.109375" style="54" hidden="1" customWidth="1"/>
    <col min="9994" max="9994" width="11.109375" style="54" hidden="1" customWidth="1"/>
    <col min="9995" max="9995" width="9.5546875" style="54" hidden="1" customWidth="1"/>
    <col min="9996" max="10227" width="0" style="54" hidden="1" customWidth="1"/>
    <col min="10228" max="10228" width="13.21875" style="54" hidden="1" customWidth="1"/>
    <col min="10229" max="10229" width="37.88671875" style="54" hidden="1" customWidth="1"/>
    <col min="10230" max="10230" width="11.21875" style="54" hidden="1" customWidth="1"/>
    <col min="10231" max="10231" width="8.21875" style="54" hidden="1" customWidth="1"/>
    <col min="10232" max="10233" width="12.21875" style="54" hidden="1" customWidth="1"/>
    <col min="10234" max="10235" width="10" style="54" hidden="1" customWidth="1"/>
    <col min="10236" max="10236" width="8.5546875" style="54" hidden="1" customWidth="1"/>
    <col min="10237" max="10237" width="5.77734375" style="54" hidden="1" customWidth="1"/>
    <col min="10238" max="10238" width="12.109375" style="54" hidden="1" customWidth="1"/>
    <col min="10239" max="10240" width="11.109375" style="54" hidden="1" customWidth="1"/>
    <col min="10241" max="10244" width="0" style="54" hidden="1" customWidth="1"/>
    <col min="10245" max="10249" width="12.109375" style="54" hidden="1" customWidth="1"/>
    <col min="10250" max="10250" width="11.109375" style="54" hidden="1" customWidth="1"/>
    <col min="10251" max="10251" width="9.5546875" style="54" hidden="1" customWidth="1"/>
    <col min="10252" max="10483" width="0" style="54" hidden="1" customWidth="1"/>
    <col min="10484" max="10484" width="13.21875" style="54" hidden="1" customWidth="1"/>
    <col min="10485" max="10485" width="37.88671875" style="54" hidden="1" customWidth="1"/>
    <col min="10486" max="10486" width="11.21875" style="54" hidden="1" customWidth="1"/>
    <col min="10487" max="10487" width="8.21875" style="54" hidden="1" customWidth="1"/>
    <col min="10488" max="10489" width="12.21875" style="54" hidden="1" customWidth="1"/>
    <col min="10490" max="10491" width="10" style="54" hidden="1" customWidth="1"/>
    <col min="10492" max="10492" width="8.5546875" style="54" hidden="1" customWidth="1"/>
    <col min="10493" max="10493" width="5.77734375" style="54" hidden="1" customWidth="1"/>
    <col min="10494" max="10494" width="12.109375" style="54" hidden="1" customWidth="1"/>
    <col min="10495" max="10496" width="11.109375" style="54" hidden="1" customWidth="1"/>
    <col min="10497" max="10500" width="0" style="54" hidden="1" customWidth="1"/>
    <col min="10501" max="10505" width="12.109375" style="54" hidden="1" customWidth="1"/>
    <col min="10506" max="10506" width="11.109375" style="54" hidden="1" customWidth="1"/>
    <col min="10507" max="10507" width="9.5546875" style="54" hidden="1" customWidth="1"/>
    <col min="10508" max="10739" width="0" style="54" hidden="1" customWidth="1"/>
    <col min="10740" max="10740" width="13.21875" style="54" hidden="1" customWidth="1"/>
    <col min="10741" max="10741" width="37.88671875" style="54" hidden="1" customWidth="1"/>
    <col min="10742" max="10742" width="11.21875" style="54" hidden="1" customWidth="1"/>
    <col min="10743" max="10743" width="8.21875" style="54" hidden="1" customWidth="1"/>
    <col min="10744" max="10745" width="12.21875" style="54" hidden="1" customWidth="1"/>
    <col min="10746" max="10747" width="10" style="54" hidden="1" customWidth="1"/>
    <col min="10748" max="10748" width="8.5546875" style="54" hidden="1" customWidth="1"/>
    <col min="10749" max="10749" width="5.77734375" style="54" hidden="1" customWidth="1"/>
    <col min="10750" max="10750" width="12.109375" style="54" hidden="1" customWidth="1"/>
    <col min="10751" max="10752" width="11.109375" style="54" hidden="1" customWidth="1"/>
    <col min="10753" max="10756" width="0" style="54" hidden="1" customWidth="1"/>
    <col min="10757" max="10761" width="12.109375" style="54" hidden="1" customWidth="1"/>
    <col min="10762" max="10762" width="11.109375" style="54" hidden="1" customWidth="1"/>
    <col min="10763" max="10763" width="9.5546875" style="54" hidden="1" customWidth="1"/>
    <col min="10764" max="10995" width="0" style="54" hidden="1" customWidth="1"/>
    <col min="10996" max="10996" width="13.21875" style="54" hidden="1" customWidth="1"/>
    <col min="10997" max="10997" width="37.88671875" style="54" hidden="1" customWidth="1"/>
    <col min="10998" max="10998" width="11.21875" style="54" hidden="1" customWidth="1"/>
    <col min="10999" max="10999" width="8.21875" style="54" hidden="1" customWidth="1"/>
    <col min="11000" max="11001" width="12.21875" style="54" hidden="1" customWidth="1"/>
    <col min="11002" max="11003" width="10" style="54" hidden="1" customWidth="1"/>
    <col min="11004" max="11004" width="8.5546875" style="54" hidden="1" customWidth="1"/>
    <col min="11005" max="11005" width="5.77734375" style="54" hidden="1" customWidth="1"/>
    <col min="11006" max="11006" width="12.109375" style="54" hidden="1" customWidth="1"/>
    <col min="11007" max="11008" width="11.109375" style="54" hidden="1" customWidth="1"/>
    <col min="11009" max="11012" width="0" style="54" hidden="1" customWidth="1"/>
    <col min="11013" max="11017" width="12.109375" style="54" hidden="1" customWidth="1"/>
    <col min="11018" max="11018" width="11.109375" style="54" hidden="1" customWidth="1"/>
    <col min="11019" max="11019" width="9.5546875" style="54" hidden="1" customWidth="1"/>
    <col min="11020" max="11251" width="0" style="54" hidden="1" customWidth="1"/>
    <col min="11252" max="11252" width="13.21875" style="54" hidden="1" customWidth="1"/>
    <col min="11253" max="11253" width="37.88671875" style="54" hidden="1" customWidth="1"/>
    <col min="11254" max="11254" width="11.21875" style="54" hidden="1" customWidth="1"/>
    <col min="11255" max="11255" width="8.21875" style="54" hidden="1" customWidth="1"/>
    <col min="11256" max="11257" width="12.21875" style="54" hidden="1" customWidth="1"/>
    <col min="11258" max="11259" width="10" style="54" hidden="1" customWidth="1"/>
    <col min="11260" max="11260" width="8.5546875" style="54" hidden="1" customWidth="1"/>
    <col min="11261" max="11261" width="5.77734375" style="54" hidden="1" customWidth="1"/>
    <col min="11262" max="11262" width="12.109375" style="54" hidden="1" customWidth="1"/>
    <col min="11263" max="11264" width="11.109375" style="54" hidden="1" customWidth="1"/>
    <col min="11265" max="11268" width="0" style="54" hidden="1" customWidth="1"/>
    <col min="11269" max="11273" width="12.109375" style="54" hidden="1" customWidth="1"/>
    <col min="11274" max="11274" width="11.109375" style="54" hidden="1" customWidth="1"/>
    <col min="11275" max="11275" width="9.5546875" style="54" hidden="1" customWidth="1"/>
    <col min="11276" max="11507" width="0" style="54" hidden="1" customWidth="1"/>
    <col min="11508" max="11508" width="13.21875" style="54" hidden="1" customWidth="1"/>
    <col min="11509" max="11509" width="37.88671875" style="54" hidden="1" customWidth="1"/>
    <col min="11510" max="11510" width="11.21875" style="54" hidden="1" customWidth="1"/>
    <col min="11511" max="11511" width="8.21875" style="54" hidden="1" customWidth="1"/>
    <col min="11512" max="11513" width="12.21875" style="54" hidden="1" customWidth="1"/>
    <col min="11514" max="11515" width="10" style="54" hidden="1" customWidth="1"/>
    <col min="11516" max="11516" width="8.5546875" style="54" hidden="1" customWidth="1"/>
    <col min="11517" max="11517" width="5.77734375" style="54" hidden="1" customWidth="1"/>
    <col min="11518" max="11518" width="12.109375" style="54" hidden="1" customWidth="1"/>
    <col min="11519" max="11520" width="11.109375" style="54" hidden="1" customWidth="1"/>
    <col min="11521" max="11524" width="0" style="54" hidden="1" customWidth="1"/>
    <col min="11525" max="11529" width="12.109375" style="54" hidden="1" customWidth="1"/>
    <col min="11530" max="11530" width="11.109375" style="54" hidden="1" customWidth="1"/>
    <col min="11531" max="11531" width="9.5546875" style="54" hidden="1" customWidth="1"/>
    <col min="11532" max="11763" width="0" style="54" hidden="1" customWidth="1"/>
    <col min="11764" max="11764" width="13.21875" style="54" hidden="1" customWidth="1"/>
    <col min="11765" max="11765" width="37.88671875" style="54" hidden="1" customWidth="1"/>
    <col min="11766" max="11766" width="11.21875" style="54" hidden="1" customWidth="1"/>
    <col min="11767" max="11767" width="8.21875" style="54" hidden="1" customWidth="1"/>
    <col min="11768" max="11769" width="12.21875" style="54" hidden="1" customWidth="1"/>
    <col min="11770" max="11771" width="10" style="54" hidden="1" customWidth="1"/>
    <col min="11772" max="11772" width="8.5546875" style="54" hidden="1" customWidth="1"/>
    <col min="11773" max="11773" width="5.77734375" style="54" hidden="1" customWidth="1"/>
    <col min="11774" max="11774" width="12.109375" style="54" hidden="1" customWidth="1"/>
    <col min="11775" max="11776" width="11.109375" style="54" hidden="1" customWidth="1"/>
    <col min="11777" max="11780" width="0" style="54" hidden="1" customWidth="1"/>
    <col min="11781" max="11785" width="12.109375" style="54" hidden="1" customWidth="1"/>
    <col min="11786" max="11786" width="11.109375" style="54" hidden="1" customWidth="1"/>
    <col min="11787" max="11787" width="9.5546875" style="54" hidden="1" customWidth="1"/>
    <col min="11788" max="12019" width="0" style="54" hidden="1" customWidth="1"/>
    <col min="12020" max="12020" width="13.21875" style="54" hidden="1" customWidth="1"/>
    <col min="12021" max="12021" width="37.88671875" style="54" hidden="1" customWidth="1"/>
    <col min="12022" max="12022" width="11.21875" style="54" hidden="1" customWidth="1"/>
    <col min="12023" max="12023" width="8.21875" style="54" hidden="1" customWidth="1"/>
    <col min="12024" max="12025" width="12.21875" style="54" hidden="1" customWidth="1"/>
    <col min="12026" max="12027" width="10" style="54" hidden="1" customWidth="1"/>
    <col min="12028" max="12028" width="8.5546875" style="54" hidden="1" customWidth="1"/>
    <col min="12029" max="12029" width="5.77734375" style="54" hidden="1" customWidth="1"/>
    <col min="12030" max="12030" width="12.109375" style="54" hidden="1" customWidth="1"/>
    <col min="12031" max="12032" width="11.109375" style="54" hidden="1" customWidth="1"/>
    <col min="12033" max="12036" width="0" style="54" hidden="1" customWidth="1"/>
    <col min="12037" max="12041" width="12.109375" style="54" hidden="1" customWidth="1"/>
    <col min="12042" max="12042" width="11.109375" style="54" hidden="1" customWidth="1"/>
    <col min="12043" max="12043" width="9.5546875" style="54" hidden="1" customWidth="1"/>
    <col min="12044" max="12275" width="0" style="54" hidden="1" customWidth="1"/>
    <col min="12276" max="12276" width="13.21875" style="54" hidden="1" customWidth="1"/>
    <col min="12277" max="12277" width="37.88671875" style="54" hidden="1" customWidth="1"/>
    <col min="12278" max="12278" width="11.21875" style="54" hidden="1" customWidth="1"/>
    <col min="12279" max="12279" width="8.21875" style="54" hidden="1" customWidth="1"/>
    <col min="12280" max="12281" width="12.21875" style="54" hidden="1" customWidth="1"/>
    <col min="12282" max="12283" width="10" style="54" hidden="1" customWidth="1"/>
    <col min="12284" max="12284" width="8.5546875" style="54" hidden="1" customWidth="1"/>
    <col min="12285" max="12285" width="5.77734375" style="54" hidden="1" customWidth="1"/>
    <col min="12286" max="12286" width="12.109375" style="54" hidden="1" customWidth="1"/>
    <col min="12287" max="12288" width="11.109375" style="54" hidden="1" customWidth="1"/>
    <col min="12289" max="12292" width="0" style="54" hidden="1" customWidth="1"/>
    <col min="12293" max="12297" width="12.109375" style="54" hidden="1" customWidth="1"/>
    <col min="12298" max="12298" width="11.109375" style="54" hidden="1" customWidth="1"/>
    <col min="12299" max="12299" width="9.5546875" style="54" hidden="1" customWidth="1"/>
    <col min="12300" max="12531" width="0" style="54" hidden="1" customWidth="1"/>
    <col min="12532" max="12532" width="13.21875" style="54" hidden="1" customWidth="1"/>
    <col min="12533" max="12533" width="37.88671875" style="54" hidden="1" customWidth="1"/>
    <col min="12534" max="12534" width="11.21875" style="54" hidden="1" customWidth="1"/>
    <col min="12535" max="12535" width="8.21875" style="54" hidden="1" customWidth="1"/>
    <col min="12536" max="12537" width="12.21875" style="54" hidden="1" customWidth="1"/>
    <col min="12538" max="12539" width="10" style="54" hidden="1" customWidth="1"/>
    <col min="12540" max="12540" width="8.5546875" style="54" hidden="1" customWidth="1"/>
    <col min="12541" max="12541" width="5.77734375" style="54" hidden="1" customWidth="1"/>
    <col min="12542" max="12542" width="12.109375" style="54" hidden="1" customWidth="1"/>
    <col min="12543" max="12544" width="11.109375" style="54" hidden="1" customWidth="1"/>
    <col min="12545" max="12548" width="0" style="54" hidden="1" customWidth="1"/>
    <col min="12549" max="12553" width="12.109375" style="54" hidden="1" customWidth="1"/>
    <col min="12554" max="12554" width="11.109375" style="54" hidden="1" customWidth="1"/>
    <col min="12555" max="12555" width="9.5546875" style="54" hidden="1" customWidth="1"/>
    <col min="12556" max="12787" width="0" style="54" hidden="1" customWidth="1"/>
    <col min="12788" max="12788" width="13.21875" style="54" hidden="1" customWidth="1"/>
    <col min="12789" max="12789" width="37.88671875" style="54" hidden="1" customWidth="1"/>
    <col min="12790" max="12790" width="11.21875" style="54" hidden="1" customWidth="1"/>
    <col min="12791" max="12791" width="8.21875" style="54" hidden="1" customWidth="1"/>
    <col min="12792" max="12793" width="12.21875" style="54" hidden="1" customWidth="1"/>
    <col min="12794" max="12795" width="10" style="54" hidden="1" customWidth="1"/>
    <col min="12796" max="12796" width="8.5546875" style="54" hidden="1" customWidth="1"/>
    <col min="12797" max="12797" width="5.77734375" style="54" hidden="1" customWidth="1"/>
    <col min="12798" max="12798" width="12.109375" style="54" hidden="1" customWidth="1"/>
    <col min="12799" max="12800" width="11.109375" style="54" hidden="1" customWidth="1"/>
    <col min="12801" max="12804" width="0" style="54" hidden="1" customWidth="1"/>
    <col min="12805" max="12809" width="12.109375" style="54" hidden="1" customWidth="1"/>
    <col min="12810" max="12810" width="11.109375" style="54" hidden="1" customWidth="1"/>
    <col min="12811" max="12811" width="9.5546875" style="54" hidden="1" customWidth="1"/>
    <col min="12812" max="13043" width="0" style="54" hidden="1" customWidth="1"/>
    <col min="13044" max="13044" width="13.21875" style="54" hidden="1" customWidth="1"/>
    <col min="13045" max="13045" width="37.88671875" style="54" hidden="1" customWidth="1"/>
    <col min="13046" max="13046" width="11.21875" style="54" hidden="1" customWidth="1"/>
    <col min="13047" max="13047" width="8.21875" style="54" hidden="1" customWidth="1"/>
    <col min="13048" max="13049" width="12.21875" style="54" hidden="1" customWidth="1"/>
    <col min="13050" max="13051" width="10" style="54" hidden="1" customWidth="1"/>
    <col min="13052" max="13052" width="8.5546875" style="54" hidden="1" customWidth="1"/>
    <col min="13053" max="13053" width="5.77734375" style="54" hidden="1" customWidth="1"/>
    <col min="13054" max="13054" width="12.109375" style="54" hidden="1" customWidth="1"/>
    <col min="13055" max="13056" width="11.109375" style="54" hidden="1" customWidth="1"/>
    <col min="13057" max="13060" width="0" style="54" hidden="1" customWidth="1"/>
    <col min="13061" max="13065" width="12.109375" style="54" hidden="1" customWidth="1"/>
    <col min="13066" max="13066" width="11.109375" style="54" hidden="1" customWidth="1"/>
    <col min="13067" max="13067" width="9.5546875" style="54" hidden="1" customWidth="1"/>
    <col min="13068" max="13299" width="0" style="54" hidden="1" customWidth="1"/>
    <col min="13300" max="13300" width="13.21875" style="54" hidden="1" customWidth="1"/>
    <col min="13301" max="13301" width="37.88671875" style="54" hidden="1" customWidth="1"/>
    <col min="13302" max="13302" width="11.21875" style="54" hidden="1" customWidth="1"/>
    <col min="13303" max="13303" width="8.21875" style="54" hidden="1" customWidth="1"/>
    <col min="13304" max="13305" width="12.21875" style="54" hidden="1" customWidth="1"/>
    <col min="13306" max="13307" width="10" style="54" hidden="1" customWidth="1"/>
    <col min="13308" max="13308" width="8.5546875" style="54" hidden="1" customWidth="1"/>
    <col min="13309" max="13309" width="5.77734375" style="54" hidden="1" customWidth="1"/>
    <col min="13310" max="13310" width="12.109375" style="54" hidden="1" customWidth="1"/>
    <col min="13311" max="13312" width="11.109375" style="54" hidden="1" customWidth="1"/>
    <col min="13313" max="13316" width="0" style="54" hidden="1" customWidth="1"/>
    <col min="13317" max="13321" width="12.109375" style="54" hidden="1" customWidth="1"/>
    <col min="13322" max="13322" width="11.109375" style="54" hidden="1" customWidth="1"/>
    <col min="13323" max="13323" width="9.5546875" style="54" hidden="1" customWidth="1"/>
    <col min="13324" max="13555" width="0" style="54" hidden="1" customWidth="1"/>
    <col min="13556" max="13556" width="13.21875" style="54" hidden="1" customWidth="1"/>
    <col min="13557" max="13557" width="37.88671875" style="54" hidden="1" customWidth="1"/>
    <col min="13558" max="13558" width="11.21875" style="54" hidden="1" customWidth="1"/>
    <col min="13559" max="13559" width="8.21875" style="54" hidden="1" customWidth="1"/>
    <col min="13560" max="13561" width="12.21875" style="54" hidden="1" customWidth="1"/>
    <col min="13562" max="13563" width="10" style="54" hidden="1" customWidth="1"/>
    <col min="13564" max="13564" width="8.5546875" style="54" hidden="1" customWidth="1"/>
    <col min="13565" max="13565" width="5.77734375" style="54" hidden="1" customWidth="1"/>
    <col min="13566" max="13566" width="12.109375" style="54" hidden="1" customWidth="1"/>
    <col min="13567" max="13568" width="11.109375" style="54" hidden="1" customWidth="1"/>
    <col min="13569" max="13572" width="0" style="54" hidden="1" customWidth="1"/>
    <col min="13573" max="13577" width="12.109375" style="54" hidden="1" customWidth="1"/>
    <col min="13578" max="13578" width="11.109375" style="54" hidden="1" customWidth="1"/>
    <col min="13579" max="13579" width="9.5546875" style="54" hidden="1" customWidth="1"/>
    <col min="13580" max="13811" width="0" style="54" hidden="1" customWidth="1"/>
    <col min="13812" max="13812" width="13.21875" style="54" hidden="1" customWidth="1"/>
    <col min="13813" max="13813" width="37.88671875" style="54" hidden="1" customWidth="1"/>
    <col min="13814" max="13814" width="11.21875" style="54" hidden="1" customWidth="1"/>
    <col min="13815" max="13815" width="8.21875" style="54" hidden="1" customWidth="1"/>
    <col min="13816" max="13817" width="12.21875" style="54" hidden="1" customWidth="1"/>
    <col min="13818" max="13819" width="10" style="54" hidden="1" customWidth="1"/>
    <col min="13820" max="13820" width="8.5546875" style="54" hidden="1" customWidth="1"/>
    <col min="13821" max="13821" width="5.77734375" style="54" hidden="1" customWidth="1"/>
    <col min="13822" max="13822" width="12.109375" style="54" hidden="1" customWidth="1"/>
    <col min="13823" max="13824" width="11.109375" style="54" hidden="1" customWidth="1"/>
    <col min="13825" max="13828" width="0" style="54" hidden="1" customWidth="1"/>
    <col min="13829" max="13833" width="12.109375" style="54" hidden="1" customWidth="1"/>
    <col min="13834" max="13834" width="11.109375" style="54" hidden="1" customWidth="1"/>
    <col min="13835" max="13835" width="9.5546875" style="54" hidden="1" customWidth="1"/>
    <col min="13836" max="14067" width="0" style="54" hidden="1" customWidth="1"/>
    <col min="14068" max="14068" width="13.21875" style="54" hidden="1" customWidth="1"/>
    <col min="14069" max="14069" width="37.88671875" style="54" hidden="1" customWidth="1"/>
    <col min="14070" max="14070" width="11.21875" style="54" hidden="1" customWidth="1"/>
    <col min="14071" max="14071" width="8.21875" style="54" hidden="1" customWidth="1"/>
    <col min="14072" max="14073" width="12.21875" style="54" hidden="1" customWidth="1"/>
    <col min="14074" max="14075" width="10" style="54" hidden="1" customWidth="1"/>
    <col min="14076" max="14076" width="8.5546875" style="54" hidden="1" customWidth="1"/>
    <col min="14077" max="14077" width="5.77734375" style="54" hidden="1" customWidth="1"/>
    <col min="14078" max="14078" width="12.109375" style="54" hidden="1" customWidth="1"/>
    <col min="14079" max="14080" width="11.109375" style="54" hidden="1" customWidth="1"/>
    <col min="14081" max="14084" width="0" style="54" hidden="1" customWidth="1"/>
    <col min="14085" max="14089" width="12.109375" style="54" hidden="1" customWidth="1"/>
    <col min="14090" max="14090" width="11.109375" style="54" hidden="1" customWidth="1"/>
    <col min="14091" max="14091" width="9.5546875" style="54" hidden="1" customWidth="1"/>
    <col min="14092" max="14323" width="0" style="54" hidden="1" customWidth="1"/>
    <col min="14324" max="14324" width="13.21875" style="54" hidden="1" customWidth="1"/>
    <col min="14325" max="14325" width="37.88671875" style="54" hidden="1" customWidth="1"/>
    <col min="14326" max="14326" width="11.21875" style="54" hidden="1" customWidth="1"/>
    <col min="14327" max="14327" width="8.21875" style="54" hidden="1" customWidth="1"/>
    <col min="14328" max="14329" width="12.21875" style="54" hidden="1" customWidth="1"/>
    <col min="14330" max="14331" width="10" style="54" hidden="1" customWidth="1"/>
    <col min="14332" max="14332" width="8.5546875" style="54" hidden="1" customWidth="1"/>
    <col min="14333" max="14333" width="5.77734375" style="54" hidden="1" customWidth="1"/>
    <col min="14334" max="14334" width="12.109375" style="54" hidden="1" customWidth="1"/>
    <col min="14335" max="14336" width="11.109375" style="54" hidden="1" customWidth="1"/>
    <col min="14337" max="14340" width="0" style="54" hidden="1" customWidth="1"/>
    <col min="14341" max="14345" width="12.109375" style="54" hidden="1" customWidth="1"/>
    <col min="14346" max="14346" width="11.109375" style="54" hidden="1" customWidth="1"/>
    <col min="14347" max="14347" width="9.5546875" style="54" hidden="1" customWidth="1"/>
    <col min="14348" max="14579" width="0" style="54" hidden="1" customWidth="1"/>
    <col min="14580" max="14580" width="13.21875" style="54" hidden="1" customWidth="1"/>
    <col min="14581" max="14581" width="37.88671875" style="54" hidden="1" customWidth="1"/>
    <col min="14582" max="14582" width="11.21875" style="54" hidden="1" customWidth="1"/>
    <col min="14583" max="14583" width="8.21875" style="54" hidden="1" customWidth="1"/>
    <col min="14584" max="14585" width="12.21875" style="54" hidden="1" customWidth="1"/>
    <col min="14586" max="14587" width="10" style="54" hidden="1" customWidth="1"/>
    <col min="14588" max="14588" width="8.5546875" style="54" hidden="1" customWidth="1"/>
    <col min="14589" max="14589" width="5.77734375" style="54" hidden="1" customWidth="1"/>
    <col min="14590" max="14590" width="12.109375" style="54" hidden="1" customWidth="1"/>
    <col min="14591" max="14592" width="11.109375" style="54" hidden="1" customWidth="1"/>
    <col min="14593" max="14596" width="0" style="54" hidden="1" customWidth="1"/>
    <col min="14597" max="14601" width="12.109375" style="54" hidden="1" customWidth="1"/>
    <col min="14602" max="14602" width="11.109375" style="54" hidden="1" customWidth="1"/>
    <col min="14603" max="14603" width="9.5546875" style="54" hidden="1" customWidth="1"/>
    <col min="14604" max="14835" width="0" style="54" hidden="1" customWidth="1"/>
    <col min="14836" max="14836" width="13.21875" style="54" hidden="1" customWidth="1"/>
    <col min="14837" max="14837" width="37.88671875" style="54" hidden="1" customWidth="1"/>
    <col min="14838" max="14838" width="11.21875" style="54" hidden="1" customWidth="1"/>
    <col min="14839" max="14839" width="8.21875" style="54" hidden="1" customWidth="1"/>
    <col min="14840" max="14841" width="12.21875" style="54" hidden="1" customWidth="1"/>
    <col min="14842" max="14843" width="10" style="54" hidden="1" customWidth="1"/>
    <col min="14844" max="14844" width="8.5546875" style="54" hidden="1" customWidth="1"/>
    <col min="14845" max="14845" width="5.77734375" style="54" hidden="1" customWidth="1"/>
    <col min="14846" max="14846" width="12.109375" style="54" hidden="1" customWidth="1"/>
    <col min="14847" max="14848" width="11.109375" style="54" hidden="1" customWidth="1"/>
    <col min="14849" max="14852" width="0" style="54" hidden="1" customWidth="1"/>
    <col min="14853" max="14857" width="12.109375" style="54" hidden="1" customWidth="1"/>
    <col min="14858" max="14858" width="11.109375" style="54" hidden="1" customWidth="1"/>
    <col min="14859" max="14859" width="9.5546875" style="54" hidden="1" customWidth="1"/>
    <col min="14860" max="15091" width="0" style="54" hidden="1" customWidth="1"/>
    <col min="15092" max="15092" width="13.21875" style="54" hidden="1" customWidth="1"/>
    <col min="15093" max="15093" width="37.88671875" style="54" hidden="1" customWidth="1"/>
    <col min="15094" max="15094" width="11.21875" style="54" hidden="1" customWidth="1"/>
    <col min="15095" max="15095" width="8.21875" style="54" hidden="1" customWidth="1"/>
    <col min="15096" max="15097" width="12.21875" style="54" hidden="1" customWidth="1"/>
    <col min="15098" max="15099" width="10" style="54" hidden="1" customWidth="1"/>
    <col min="15100" max="15100" width="8.5546875" style="54" hidden="1" customWidth="1"/>
    <col min="15101" max="15101" width="5.77734375" style="54" hidden="1" customWidth="1"/>
    <col min="15102" max="15102" width="12.109375" style="54" hidden="1" customWidth="1"/>
    <col min="15103" max="15104" width="11.109375" style="54" hidden="1" customWidth="1"/>
    <col min="15105" max="15108" width="0" style="54" hidden="1" customWidth="1"/>
    <col min="15109" max="15113" width="12.109375" style="54" hidden="1" customWidth="1"/>
    <col min="15114" max="15114" width="11.109375" style="54" hidden="1" customWidth="1"/>
    <col min="15115" max="15115" width="9.5546875" style="54" hidden="1" customWidth="1"/>
    <col min="15116" max="15347" width="0" style="54" hidden="1" customWidth="1"/>
    <col min="15348" max="15348" width="13.21875" style="54" hidden="1" customWidth="1"/>
    <col min="15349" max="15349" width="37.88671875" style="54" hidden="1" customWidth="1"/>
    <col min="15350" max="15350" width="11.21875" style="54" hidden="1" customWidth="1"/>
    <col min="15351" max="15351" width="8.21875" style="54" hidden="1" customWidth="1"/>
    <col min="15352" max="15353" width="12.21875" style="54" hidden="1" customWidth="1"/>
    <col min="15354" max="15355" width="10" style="54" hidden="1" customWidth="1"/>
    <col min="15356" max="15356" width="8.5546875" style="54" hidden="1" customWidth="1"/>
    <col min="15357" max="15357" width="5.77734375" style="54" hidden="1" customWidth="1"/>
    <col min="15358" max="15358" width="12.109375" style="54" hidden="1" customWidth="1"/>
    <col min="15359" max="15360" width="11.109375" style="54" hidden="1" customWidth="1"/>
    <col min="15361" max="15364" width="0" style="54" hidden="1" customWidth="1"/>
    <col min="15365" max="15369" width="12.109375" style="54" hidden="1" customWidth="1"/>
    <col min="15370" max="15370" width="11.109375" style="54" hidden="1" customWidth="1"/>
    <col min="15371" max="15371" width="9.5546875" style="54" hidden="1" customWidth="1"/>
    <col min="15372" max="15603" width="0" style="54" hidden="1" customWidth="1"/>
    <col min="15604" max="15604" width="13.21875" style="54" hidden="1" customWidth="1"/>
    <col min="15605" max="15605" width="37.88671875" style="54" hidden="1" customWidth="1"/>
    <col min="15606" max="15606" width="11.21875" style="54" hidden="1" customWidth="1"/>
    <col min="15607" max="15607" width="8.21875" style="54" hidden="1" customWidth="1"/>
    <col min="15608" max="15609" width="12.21875" style="54" hidden="1" customWidth="1"/>
    <col min="15610" max="15611" width="10" style="54" hidden="1" customWidth="1"/>
    <col min="15612" max="15612" width="8.5546875" style="54" hidden="1" customWidth="1"/>
    <col min="15613" max="15613" width="5.77734375" style="54" hidden="1" customWidth="1"/>
    <col min="15614" max="15614" width="12.109375" style="54" hidden="1" customWidth="1"/>
    <col min="15615" max="15616" width="11.109375" style="54" hidden="1" customWidth="1"/>
    <col min="15617" max="15620" width="0" style="54" hidden="1" customWidth="1"/>
    <col min="15621" max="15625" width="12.109375" style="54" hidden="1" customWidth="1"/>
    <col min="15626" max="15626" width="11.109375" style="54" hidden="1" customWidth="1"/>
    <col min="15627" max="15627" width="9.5546875" style="54" hidden="1" customWidth="1"/>
    <col min="15628" max="15859" width="0" style="54" hidden="1" customWidth="1"/>
    <col min="15860" max="15860" width="13.21875" style="54" hidden="1" customWidth="1"/>
    <col min="15861" max="15861" width="37.88671875" style="54" hidden="1" customWidth="1"/>
    <col min="15862" max="15862" width="11.21875" style="54" hidden="1" customWidth="1"/>
    <col min="15863" max="15863" width="8.21875" style="54" hidden="1" customWidth="1"/>
    <col min="15864" max="15865" width="12.21875" style="54" hidden="1" customWidth="1"/>
    <col min="15866" max="15867" width="10" style="54" hidden="1" customWidth="1"/>
    <col min="15868" max="15868" width="8.5546875" style="54" hidden="1" customWidth="1"/>
    <col min="15869" max="15869" width="5.77734375" style="54" hidden="1" customWidth="1"/>
    <col min="15870" max="15870" width="12.109375" style="54" hidden="1" customWidth="1"/>
    <col min="15871" max="15872" width="11.109375" style="54" hidden="1" customWidth="1"/>
    <col min="15873" max="15876" width="0" style="54" hidden="1" customWidth="1"/>
    <col min="15877" max="15881" width="12.109375" style="54" hidden="1" customWidth="1"/>
    <col min="15882" max="15882" width="11.109375" style="54" hidden="1" customWidth="1"/>
    <col min="15883" max="15883" width="9.5546875" style="54" hidden="1" customWidth="1"/>
    <col min="15884" max="16115" width="0" style="54" hidden="1" customWidth="1"/>
    <col min="16116" max="16116" width="13.21875" style="54" hidden="1" customWidth="1"/>
    <col min="16117" max="16117" width="37.88671875" style="54" hidden="1" customWidth="1"/>
    <col min="16118" max="16118" width="11.21875" style="54" hidden="1" customWidth="1"/>
    <col min="16119" max="16119" width="8.21875" style="54" hidden="1" customWidth="1"/>
    <col min="16120" max="16121" width="12.21875" style="54" hidden="1" customWidth="1"/>
    <col min="16122" max="16123" width="10" style="54" hidden="1" customWidth="1"/>
    <col min="16124" max="16124" width="8.5546875" style="54" hidden="1" customWidth="1"/>
    <col min="16125" max="16125" width="5.77734375" style="54" hidden="1" customWidth="1"/>
    <col min="16126" max="16126" width="12.109375" style="54" hidden="1" customWidth="1"/>
    <col min="16127" max="16128" width="11.109375" style="54" hidden="1" customWidth="1"/>
    <col min="16129" max="16132" width="0" style="54" hidden="1" customWidth="1"/>
    <col min="16133" max="16137" width="12.109375" style="54" hidden="1" customWidth="1"/>
    <col min="16138" max="16138" width="11.109375" style="54" hidden="1" customWidth="1"/>
    <col min="16139" max="16140" width="9.5546875" style="54" hidden="1" customWidth="1"/>
    <col min="16141" max="16142" width="0" style="54" hidden="1" customWidth="1"/>
    <col min="16143" max="16384" width="5.21875" style="54"/>
  </cols>
  <sheetData>
    <row r="1" spans="1:21" ht="18.75" thickBot="1" x14ac:dyDescent="0.3">
      <c r="A1" s="86" t="s">
        <v>4758</v>
      </c>
      <c r="B1" s="86"/>
      <c r="C1" s="86"/>
      <c r="D1" s="221"/>
    </row>
    <row r="2" spans="1:21" s="27" customFormat="1" ht="55.15" customHeight="1" thickTop="1" thickBot="1" x14ac:dyDescent="0.25">
      <c r="A2" s="142" t="s">
        <v>1175</v>
      </c>
      <c r="B2" s="192" t="s">
        <v>1150</v>
      </c>
      <c r="C2" s="192" t="s">
        <v>1147</v>
      </c>
      <c r="D2" s="222" t="s">
        <v>2782</v>
      </c>
      <c r="E2" s="22" t="s">
        <v>0</v>
      </c>
      <c r="F2" s="23" t="s">
        <v>1</v>
      </c>
      <c r="G2" s="22" t="s">
        <v>2</v>
      </c>
      <c r="H2" s="24" t="s">
        <v>3</v>
      </c>
      <c r="I2" s="23" t="s">
        <v>4</v>
      </c>
      <c r="J2" s="25" t="s">
        <v>5</v>
      </c>
      <c r="K2" s="195" t="s">
        <v>2705</v>
      </c>
      <c r="L2" s="21" t="s">
        <v>1148</v>
      </c>
      <c r="M2" s="21" t="s">
        <v>1149</v>
      </c>
      <c r="N2" s="20" t="s">
        <v>561</v>
      </c>
      <c r="O2" s="26" t="s">
        <v>90</v>
      </c>
      <c r="P2" s="191" t="s">
        <v>2743</v>
      </c>
      <c r="Q2" s="190" t="s">
        <v>2744</v>
      </c>
      <c r="R2" s="191" t="s">
        <v>2745</v>
      </c>
      <c r="S2" s="190" t="s">
        <v>2746</v>
      </c>
      <c r="T2" s="190" t="s">
        <v>2755</v>
      </c>
      <c r="U2" s="190" t="s">
        <v>2756</v>
      </c>
    </row>
    <row r="3" spans="1:21" s="57" customFormat="1" ht="15.75" thickTop="1" thickBot="1" x14ac:dyDescent="0.3">
      <c r="A3" s="37" t="s">
        <v>428</v>
      </c>
      <c r="B3" s="37"/>
      <c r="C3" s="37"/>
      <c r="D3" s="223"/>
      <c r="E3" s="39"/>
      <c r="F3" s="39"/>
      <c r="G3" s="38"/>
      <c r="H3" s="38"/>
      <c r="I3" s="38"/>
      <c r="J3" s="38"/>
      <c r="K3" s="196"/>
      <c r="L3" s="38"/>
      <c r="M3" s="38"/>
      <c r="N3" s="38"/>
      <c r="O3" s="38"/>
      <c r="P3" s="38"/>
      <c r="Q3" s="38"/>
      <c r="R3" s="38"/>
      <c r="S3" s="38"/>
      <c r="T3" s="38"/>
      <c r="U3" s="38"/>
    </row>
    <row r="4" spans="1:21" ht="14.1" customHeight="1" thickTop="1" x14ac:dyDescent="0.25">
      <c r="A4" s="58" t="s">
        <v>119</v>
      </c>
      <c r="B4" s="106"/>
      <c r="C4" s="106"/>
      <c r="D4" s="224"/>
      <c r="E4" s="60"/>
      <c r="F4" s="61"/>
      <c r="G4" s="60"/>
      <c r="H4" s="61"/>
      <c r="I4" s="61"/>
      <c r="J4" s="62"/>
      <c r="K4" s="197"/>
      <c r="L4" s="60"/>
      <c r="M4" s="60"/>
      <c r="N4" s="63"/>
      <c r="O4" s="63"/>
      <c r="P4" s="63"/>
      <c r="Q4" s="63"/>
      <c r="R4" s="63"/>
      <c r="S4" s="63"/>
      <c r="T4" s="63"/>
      <c r="U4" s="63"/>
    </row>
    <row r="5" spans="1:21" x14ac:dyDescent="0.25">
      <c r="A5" s="54" t="str">
        <f>VLOOKUP(B5,'SAP Contracts'!A:J,10,FALSE)</f>
        <v>American Tower Corporation-WA</v>
      </c>
      <c r="B5" s="54">
        <f>VLOOKUP(C5,'Active North Sky Projects'!C:D,2,FALSE)</f>
        <v>21171</v>
      </c>
      <c r="C5" s="108" t="s">
        <v>346</v>
      </c>
      <c r="D5" s="225">
        <f>IFERROR(VLOOKUP(B5,'MTD Hours Paste Data'!A:C,3,FALSE),"")</f>
        <v>55.36</v>
      </c>
      <c r="E5" s="64">
        <f>IFERROR(VLOOKUP(B5,'ACDOCA - Paste Data'!B:G,6,FALSE),0)</f>
        <v>10001</v>
      </c>
      <c r="F5" s="64">
        <f t="shared" ref="F5:F36" si="0">E5 +L5</f>
        <v>10001</v>
      </c>
      <c r="G5" s="64">
        <f>IFERROR(VLOOKUP(B5,'ACDOCA - Paste Data'!B:H,7,FALSE),0)</f>
        <v>9014.15</v>
      </c>
      <c r="H5" s="64">
        <f t="shared" ref="H5:H36" si="1">G5+M5</f>
        <v>9014.15</v>
      </c>
      <c r="I5" s="64">
        <f t="shared" ref="I5:I36" si="2">F5-H5</f>
        <v>986.85000000000036</v>
      </c>
      <c r="J5" s="65">
        <f t="shared" ref="J5:J36" si="3">IFERROR(I5/F5,0)</f>
        <v>9.867513248675136E-2</v>
      </c>
      <c r="K5" s="198">
        <f>IFERROR(VLOOKUP(B5,'WIP - Paste Data'!B:E,4,FALSE),"")</f>
        <v>10001</v>
      </c>
      <c r="L5" s="64"/>
      <c r="M5" s="64"/>
      <c r="N5" s="66"/>
      <c r="O5" s="66"/>
      <c r="P5" s="189">
        <f>IFERROR(VLOOKUP(B5,'JTD Paste Data'!A:B,2,FALSE),"0")</f>
        <v>37883.740000000005</v>
      </c>
      <c r="Q5" s="189">
        <f>SUM(P5+L5)</f>
        <v>37883.740000000005</v>
      </c>
      <c r="R5" s="189">
        <f>IFERROR(VLOOKUP(B5,'JTD Paste Data'!A:C,3,FALSE),"0")</f>
        <v>33776.75</v>
      </c>
      <c r="S5" s="189">
        <f>SUM(R5+M5)</f>
        <v>33776.75</v>
      </c>
      <c r="T5" s="189">
        <f>SUM(Q5-S5)</f>
        <v>4106.9900000000052</v>
      </c>
      <c r="U5" s="193">
        <f>IFERROR(T5/Q5,0)</f>
        <v>0.1084103628628009</v>
      </c>
    </row>
    <row r="6" spans="1:21" x14ac:dyDescent="0.25">
      <c r="A6" s="54" t="str">
        <f>VLOOKUP(B6,'SAP Contracts'!A:J,10,FALSE)</f>
        <v>Astound - WA - Drone Work</v>
      </c>
      <c r="B6" s="54">
        <f>VLOOKUP(C6,'Active North Sky Projects'!C:D,2,FALSE)</f>
        <v>21053</v>
      </c>
      <c r="C6" s="107" t="s">
        <v>1025</v>
      </c>
      <c r="D6" s="225" t="str">
        <f>IFERROR(VLOOKUP(B6,'MTD Hours Paste Data'!A:C,3,FALSE),"")</f>
        <v/>
      </c>
      <c r="E6" s="64">
        <f>IFERROR(VLOOKUP(B6,'ACDOCA - Paste Data'!B:G,6,FALSE),0)</f>
        <v>0</v>
      </c>
      <c r="F6" s="64">
        <f t="shared" si="0"/>
        <v>0</v>
      </c>
      <c r="G6" s="64">
        <f>IFERROR(VLOOKUP(B6,'ACDOCA - Paste Data'!B:H,7,FALSE),0)</f>
        <v>0</v>
      </c>
      <c r="H6" s="64">
        <f t="shared" si="1"/>
        <v>0</v>
      </c>
      <c r="I6" s="64">
        <f t="shared" ref="I6" si="4">F6-H6</f>
        <v>0</v>
      </c>
      <c r="J6" s="65">
        <f t="shared" ref="J6" si="5">IFERROR(I6/F6,0)</f>
        <v>0</v>
      </c>
      <c r="K6" s="198" t="str">
        <f>IFERROR(VLOOKUP(B6,'WIP - Paste Data'!B:E,4,FALSE),"")</f>
        <v/>
      </c>
      <c r="L6" s="64"/>
      <c r="M6" s="64"/>
      <c r="N6" s="66"/>
      <c r="O6" s="66"/>
      <c r="P6" s="189">
        <f>IFERROR(VLOOKUP(B6,'JTD Paste Data'!A:B,2,FALSE),"0")</f>
        <v>6500</v>
      </c>
      <c r="Q6" s="189">
        <f t="shared" ref="Q6:Q36" si="6">SUM(P6+L6)</f>
        <v>6500</v>
      </c>
      <c r="R6" s="189">
        <f>IFERROR(VLOOKUP(B6,'JTD Paste Data'!A:C,3,FALSE),"0")</f>
        <v>4309.1099999999997</v>
      </c>
      <c r="S6" s="189">
        <f t="shared" ref="S6:S36" si="7">SUM(R6+M6)</f>
        <v>4309.1099999999997</v>
      </c>
      <c r="T6" s="189">
        <f t="shared" ref="T6:T36" si="8">SUM(Q6-S6)</f>
        <v>2190.8900000000003</v>
      </c>
      <c r="U6" s="193">
        <f t="shared" ref="U6:U36" si="9">IFERROR(T6/Q6,0)</f>
        <v>0.33706000000000003</v>
      </c>
    </row>
    <row r="7" spans="1:21" x14ac:dyDescent="0.25">
      <c r="A7" s="54" t="str">
        <f>VLOOKUP(B7,'SAP Contracts'!A:J,10,FALSE)</f>
        <v>Astound - WA - Lewis River</v>
      </c>
      <c r="B7" s="54">
        <f>VLOOKUP(C7,'Active North Sky Projects'!C:D,2,FALSE)</f>
        <v>21395</v>
      </c>
      <c r="C7" s="107" t="s">
        <v>815</v>
      </c>
      <c r="D7" s="225" t="str">
        <f>IFERROR(VLOOKUP(B7,'MTD Hours Paste Data'!A:C,3,FALSE),"")</f>
        <v/>
      </c>
      <c r="E7" s="64">
        <f>IFERROR(VLOOKUP(B7,'ACDOCA - Paste Data'!B:G,6,FALSE),0)</f>
        <v>0</v>
      </c>
      <c r="F7" s="64">
        <f t="shared" si="0"/>
        <v>0</v>
      </c>
      <c r="G7" s="64">
        <f>IFERROR(VLOOKUP(B7,'ACDOCA - Paste Data'!B:H,7,FALSE),0)</f>
        <v>0</v>
      </c>
      <c r="H7" s="64">
        <f t="shared" si="1"/>
        <v>0</v>
      </c>
      <c r="I7" s="64">
        <f t="shared" si="2"/>
        <v>0</v>
      </c>
      <c r="J7" s="65">
        <f t="shared" si="3"/>
        <v>0</v>
      </c>
      <c r="K7" s="198" t="str">
        <f>IFERROR(VLOOKUP(B7,'WIP - Paste Data'!B:E,4,FALSE),"")</f>
        <v/>
      </c>
      <c r="L7" s="64"/>
      <c r="M7" s="64"/>
      <c r="N7" s="66"/>
      <c r="O7" s="66"/>
      <c r="P7" s="189">
        <f>IFERROR(VLOOKUP(B7,'JTD Paste Data'!A:B,2,FALSE),"0")</f>
        <v>121030</v>
      </c>
      <c r="Q7" s="189">
        <f t="shared" si="6"/>
        <v>121030</v>
      </c>
      <c r="R7" s="189">
        <f>IFERROR(VLOOKUP(B7,'JTD Paste Data'!A:C,3,FALSE),"0")</f>
        <v>94039.27</v>
      </c>
      <c r="S7" s="189">
        <f t="shared" si="7"/>
        <v>94039.27</v>
      </c>
      <c r="T7" s="189">
        <f t="shared" si="8"/>
        <v>26990.729999999996</v>
      </c>
      <c r="U7" s="193">
        <f t="shared" si="9"/>
        <v>0.22300859291084851</v>
      </c>
    </row>
    <row r="8" spans="1:21" x14ac:dyDescent="0.25">
      <c r="A8" s="54" t="str">
        <f>VLOOKUP(B8,'SAP Contracts'!A:J,10,FALSE)</f>
        <v>Astound - WA- Oak Harbor</v>
      </c>
      <c r="B8" s="54">
        <f>VLOOKUP(C8,'Active North Sky Projects'!C:D,2,FALSE)</f>
        <v>21387</v>
      </c>
      <c r="C8" s="107" t="s">
        <v>813</v>
      </c>
      <c r="D8" s="225" t="str">
        <f>IFERROR(VLOOKUP(B8,'MTD Hours Paste Data'!A:C,3,FALSE),"")</f>
        <v/>
      </c>
      <c r="E8" s="64">
        <f>IFERROR(VLOOKUP(B8,'ACDOCA - Paste Data'!B:G,6,FALSE),0)</f>
        <v>0</v>
      </c>
      <c r="F8" s="64">
        <f t="shared" si="0"/>
        <v>0</v>
      </c>
      <c r="G8" s="64">
        <f>IFERROR(VLOOKUP(B8,'ACDOCA - Paste Data'!B:H,7,FALSE),0)</f>
        <v>0</v>
      </c>
      <c r="H8" s="64">
        <f t="shared" si="1"/>
        <v>0</v>
      </c>
      <c r="I8" s="64">
        <f t="shared" si="2"/>
        <v>0</v>
      </c>
      <c r="J8" s="65">
        <f t="shared" si="3"/>
        <v>0</v>
      </c>
      <c r="K8" s="198">
        <f>IFERROR(VLOOKUP(B8,'WIP - Paste Data'!B:E,4,FALSE),"")</f>
        <v>8400</v>
      </c>
      <c r="L8" s="64"/>
      <c r="M8" s="64"/>
      <c r="N8" s="66"/>
      <c r="O8" s="66"/>
      <c r="P8" s="189">
        <f>IFERROR(VLOOKUP(B8,'JTD Paste Data'!A:B,2,FALSE),"0")</f>
        <v>8400</v>
      </c>
      <c r="Q8" s="189">
        <f t="shared" si="6"/>
        <v>8400</v>
      </c>
      <c r="R8" s="189">
        <f>IFERROR(VLOOKUP(B8,'JTD Paste Data'!A:C,3,FALSE),"0")</f>
        <v>6564.52</v>
      </c>
      <c r="S8" s="189">
        <f t="shared" si="7"/>
        <v>6564.52</v>
      </c>
      <c r="T8" s="189">
        <f t="shared" si="8"/>
        <v>1835.4799999999996</v>
      </c>
      <c r="U8" s="193">
        <f t="shared" si="9"/>
        <v>0.21850952380952376</v>
      </c>
    </row>
    <row r="9" spans="1:21" x14ac:dyDescent="0.25">
      <c r="A9" s="54" t="str">
        <f>VLOOKUP(B9,'SAP Contracts'!A:J,10,FALSE)</f>
        <v>Colville Tribes - MAT Solar</v>
      </c>
      <c r="B9" s="54">
        <f>VLOOKUP(C9,'Active North Sky Projects'!C:D,2,FALSE)</f>
        <v>21415</v>
      </c>
      <c r="C9" s="54" t="s">
        <v>873</v>
      </c>
      <c r="D9" s="225">
        <f>IFERROR(VLOOKUP(B9,'MTD Hours Paste Data'!A:C,3,FALSE),"")</f>
        <v>0</v>
      </c>
      <c r="E9" s="64">
        <f>IFERROR(VLOOKUP(B9,'ACDOCA - Paste Data'!B:G,6,FALSE),0)</f>
        <v>307</v>
      </c>
      <c r="F9" s="64">
        <f t="shared" si="0"/>
        <v>307</v>
      </c>
      <c r="G9" s="64">
        <f>IFERROR(VLOOKUP(B9,'ACDOCA - Paste Data'!B:H,7,FALSE),0)</f>
        <v>402.9</v>
      </c>
      <c r="H9" s="64">
        <f t="shared" si="1"/>
        <v>402.9</v>
      </c>
      <c r="I9" s="64">
        <f t="shared" si="2"/>
        <v>-95.899999999999977</v>
      </c>
      <c r="J9" s="65">
        <f t="shared" si="3"/>
        <v>-0.3123778501628664</v>
      </c>
      <c r="K9" s="198">
        <f>IFERROR(VLOOKUP(B9,'WIP - Paste Data'!B:E,4,FALSE),"")</f>
        <v>308463</v>
      </c>
      <c r="L9" s="64"/>
      <c r="M9" s="64"/>
      <c r="N9" s="66"/>
      <c r="O9" s="66"/>
      <c r="P9" s="189">
        <f>IFERROR(VLOOKUP(B9,'JTD Paste Data'!A:B,2,FALSE),"0")</f>
        <v>308463</v>
      </c>
      <c r="Q9" s="189">
        <f t="shared" si="6"/>
        <v>308463</v>
      </c>
      <c r="R9" s="189">
        <f>IFERROR(VLOOKUP(B9,'JTD Paste Data'!A:C,3,FALSE),"0")</f>
        <v>318316.45</v>
      </c>
      <c r="S9" s="189">
        <f t="shared" si="7"/>
        <v>318316.45</v>
      </c>
      <c r="T9" s="189">
        <f t="shared" si="8"/>
        <v>-9853.4500000000116</v>
      </c>
      <c r="U9" s="193">
        <f t="shared" si="9"/>
        <v>-3.1943701513633765E-2</v>
      </c>
    </row>
    <row r="10" spans="1:21" x14ac:dyDescent="0.25">
      <c r="A10" s="54" t="str">
        <f>VLOOKUP(B10,'SAP Contracts'!A:J,10,FALSE)</f>
        <v>Colville Tribes - Wireless Maintenance</v>
      </c>
      <c r="B10" s="54">
        <f>VLOOKUP(C10,'Active North Sky Projects'!C:D,2,FALSE)</f>
        <v>21412</v>
      </c>
      <c r="C10" s="108" t="s">
        <v>347</v>
      </c>
      <c r="D10" s="225">
        <f>IFERROR(VLOOKUP(B10,'MTD Hours Paste Data'!A:C,3,FALSE),"")</f>
        <v>0</v>
      </c>
      <c r="E10" s="64">
        <f>IFERROR(VLOOKUP(B10,'ACDOCA - Paste Data'!B:G,6,FALSE),0)</f>
        <v>0</v>
      </c>
      <c r="F10" s="64">
        <f t="shared" si="0"/>
        <v>0</v>
      </c>
      <c r="G10" s="64">
        <f>IFERROR(VLOOKUP(B10,'ACDOCA - Paste Data'!B:H,7,FALSE),0)</f>
        <v>0</v>
      </c>
      <c r="H10" s="64">
        <f t="shared" si="1"/>
        <v>0</v>
      </c>
      <c r="I10" s="64">
        <f t="shared" si="2"/>
        <v>0</v>
      </c>
      <c r="J10" s="65">
        <f t="shared" si="3"/>
        <v>0</v>
      </c>
      <c r="K10" s="198">
        <f>IFERROR(VLOOKUP(B10,'WIP - Paste Data'!B:E,4,FALSE),"")</f>
        <v>1200</v>
      </c>
      <c r="L10" s="64"/>
      <c r="M10" s="64"/>
      <c r="N10" s="66"/>
      <c r="O10" s="66"/>
      <c r="P10" s="189">
        <f>IFERROR(VLOOKUP(B10,'JTD Paste Data'!A:B,2,FALSE),"0")</f>
        <v>28840.560000000001</v>
      </c>
      <c r="Q10" s="189">
        <f t="shared" si="6"/>
        <v>28840.560000000001</v>
      </c>
      <c r="R10" s="189">
        <f>IFERROR(VLOOKUP(B10,'JTD Paste Data'!A:C,3,FALSE),"0")</f>
        <v>23560.93</v>
      </c>
      <c r="S10" s="189">
        <f t="shared" si="7"/>
        <v>23560.93</v>
      </c>
      <c r="T10" s="189">
        <f t="shared" si="8"/>
        <v>5279.630000000001</v>
      </c>
      <c r="U10" s="193">
        <f t="shared" si="9"/>
        <v>0.18306267284685182</v>
      </c>
    </row>
    <row r="11" spans="1:21" x14ac:dyDescent="0.25">
      <c r="A11" s="54" t="str">
        <f>VLOOKUP(B11,'SAP Contracts'!A:J,10,FALSE)</f>
        <v>Colville Tribes - Wireless Sites</v>
      </c>
      <c r="B11" s="54">
        <f>VLOOKUP(C11,'Active North Sky Projects'!C:D,2,FALSE)</f>
        <v>21407</v>
      </c>
      <c r="C11" s="54" t="s">
        <v>734</v>
      </c>
      <c r="D11" s="225">
        <f>IFERROR(VLOOKUP(B11,'MTD Hours Paste Data'!A:C,3,FALSE),"")</f>
        <v>338.1</v>
      </c>
      <c r="E11" s="64">
        <f>IFERROR(VLOOKUP(B11,'ACDOCA - Paste Data'!B:G,6,FALSE),0)</f>
        <v>115227</v>
      </c>
      <c r="F11" s="64">
        <f t="shared" si="0"/>
        <v>115227</v>
      </c>
      <c r="G11" s="64">
        <f>IFERROR(VLOOKUP(B11,'ACDOCA - Paste Data'!B:H,7,FALSE),0)</f>
        <v>134086.39999999999</v>
      </c>
      <c r="H11" s="64">
        <f t="shared" si="1"/>
        <v>134086.39999999999</v>
      </c>
      <c r="I11" s="64">
        <f t="shared" si="2"/>
        <v>-18859.399999999994</v>
      </c>
      <c r="J11" s="65">
        <f t="shared" si="3"/>
        <v>-0.16367170888767385</v>
      </c>
      <c r="K11" s="198">
        <f>IFERROR(VLOOKUP(B11,'WIP - Paste Data'!B:E,4,FALSE),"")</f>
        <v>524157.86</v>
      </c>
      <c r="L11" s="64"/>
      <c r="M11" s="64"/>
      <c r="N11" s="66"/>
      <c r="O11" s="66"/>
      <c r="P11" s="189">
        <f>IFERROR(VLOOKUP(B11,'JTD Paste Data'!A:B,2,FALSE),"0")</f>
        <v>1524157.8599999999</v>
      </c>
      <c r="Q11" s="189">
        <f t="shared" si="6"/>
        <v>1524157.8599999999</v>
      </c>
      <c r="R11" s="189">
        <f>IFERROR(VLOOKUP(B11,'JTD Paste Data'!A:C,3,FALSE),"0")</f>
        <v>1498782.81</v>
      </c>
      <c r="S11" s="189">
        <f t="shared" si="7"/>
        <v>1498782.81</v>
      </c>
      <c r="T11" s="189">
        <f t="shared" si="8"/>
        <v>25375.049999999814</v>
      </c>
      <c r="U11" s="193">
        <f t="shared" si="9"/>
        <v>1.6648570772058884E-2</v>
      </c>
    </row>
    <row r="12" spans="1:21" x14ac:dyDescent="0.25">
      <c r="A12" s="54" t="str">
        <f>VLOOKUP(B12,'SAP Contracts'!A:J,10,FALSE)</f>
        <v>Crown Castle - ID</v>
      </c>
      <c r="B12" s="54">
        <f>VLOOKUP(C12,'Active North Sky Projects'!C:D,2,FALSE)</f>
        <v>21191</v>
      </c>
      <c r="C12" s="107" t="s">
        <v>1088</v>
      </c>
      <c r="D12" s="225">
        <f>IFERROR(VLOOKUP(B12,'MTD Hours Paste Data'!A:C,3,FALSE),"")</f>
        <v>0</v>
      </c>
      <c r="E12" s="64">
        <f>IFERROR(VLOOKUP(B12,'ACDOCA - Paste Data'!B:G,6,FALSE),0)</f>
        <v>0</v>
      </c>
      <c r="F12" s="64">
        <f t="shared" si="0"/>
        <v>0</v>
      </c>
      <c r="G12" s="64">
        <f>IFERROR(VLOOKUP(B12,'ACDOCA - Paste Data'!B:H,7,FALSE),0)</f>
        <v>0</v>
      </c>
      <c r="H12" s="64">
        <f t="shared" si="1"/>
        <v>0</v>
      </c>
      <c r="I12" s="64">
        <f t="shared" ref="I12:I13" si="10">F12-H12</f>
        <v>0</v>
      </c>
      <c r="J12" s="65">
        <f t="shared" ref="J12:J13" si="11">IFERROR(I12/F12,0)</f>
        <v>0</v>
      </c>
      <c r="K12" s="198" t="str">
        <f>IFERROR(VLOOKUP(B12,'WIP - Paste Data'!B:E,4,FALSE),"")</f>
        <v/>
      </c>
      <c r="L12" s="64"/>
      <c r="M12" s="64"/>
      <c r="N12" s="66"/>
      <c r="O12" s="66"/>
      <c r="P12" s="189">
        <f>IFERROR(VLOOKUP(B12,'JTD Paste Data'!A:B,2,FALSE),"0")</f>
        <v>14864.2</v>
      </c>
      <c r="Q12" s="189">
        <f t="shared" si="6"/>
        <v>14864.2</v>
      </c>
      <c r="R12" s="189">
        <f>IFERROR(VLOOKUP(B12,'JTD Paste Data'!A:C,3,FALSE),"0")</f>
        <v>14299.7</v>
      </c>
      <c r="S12" s="189">
        <f t="shared" si="7"/>
        <v>14299.7</v>
      </c>
      <c r="T12" s="189">
        <f t="shared" si="8"/>
        <v>564.5</v>
      </c>
      <c r="U12" s="193">
        <f t="shared" si="9"/>
        <v>3.7977153159941331E-2</v>
      </c>
    </row>
    <row r="13" spans="1:21" x14ac:dyDescent="0.25">
      <c r="A13" s="54" t="str">
        <f>VLOOKUP(B13,'SAP Contracts'!A:J,10,FALSE)</f>
        <v>Spokane Tribe - WA</v>
      </c>
      <c r="B13" s="54">
        <f>VLOOKUP(C13,'Active North Sky Projects'!C:D,2,FALSE)</f>
        <v>21057</v>
      </c>
      <c r="C13" s="54" t="s">
        <v>1042</v>
      </c>
      <c r="D13" s="225">
        <f>IFERROR(VLOOKUP(B13,'MTD Hours Paste Data'!A:C,3,FALSE),"")</f>
        <v>0</v>
      </c>
      <c r="E13" s="64">
        <f>IFERROR(VLOOKUP(B13,'ACDOCA - Paste Data'!B:G,6,FALSE),0)</f>
        <v>0</v>
      </c>
      <c r="F13" s="64">
        <f t="shared" si="0"/>
        <v>0</v>
      </c>
      <c r="G13" s="64">
        <f>IFERROR(VLOOKUP(B13,'ACDOCA - Paste Data'!B:H,7,FALSE),0)</f>
        <v>0</v>
      </c>
      <c r="H13" s="64">
        <f t="shared" si="1"/>
        <v>0</v>
      </c>
      <c r="I13" s="64">
        <f t="shared" si="10"/>
        <v>0</v>
      </c>
      <c r="J13" s="65">
        <f t="shared" si="11"/>
        <v>0</v>
      </c>
      <c r="K13" s="198">
        <f>IFERROR(VLOOKUP(B13,'WIP - Paste Data'!B:E,4,FALSE),"")</f>
        <v>24462.22</v>
      </c>
      <c r="L13" s="64"/>
      <c r="M13" s="64"/>
      <c r="N13" s="66"/>
      <c r="O13" s="66"/>
      <c r="P13" s="189">
        <f>IFERROR(VLOOKUP(B13,'JTD Paste Data'!A:B,2,FALSE),"0")</f>
        <v>48099.55</v>
      </c>
      <c r="Q13" s="189">
        <f t="shared" si="6"/>
        <v>48099.55</v>
      </c>
      <c r="R13" s="189">
        <f>IFERROR(VLOOKUP(B13,'JTD Paste Data'!A:C,3,FALSE),"0")</f>
        <v>44805.259999999995</v>
      </c>
      <c r="S13" s="189">
        <f t="shared" si="7"/>
        <v>44805.259999999995</v>
      </c>
      <c r="T13" s="189">
        <f t="shared" si="8"/>
        <v>3294.2900000000081</v>
      </c>
      <c r="U13" s="193">
        <f t="shared" si="9"/>
        <v>6.8488998337822446E-2</v>
      </c>
    </row>
    <row r="14" spans="1:21" x14ac:dyDescent="0.25">
      <c r="A14" s="54" t="str">
        <f>VLOOKUP(B14,'SAP Contracts'!A:J,10,FALSE)</f>
        <v>T-Mobile- Eastern OR Market 2025-2026</v>
      </c>
      <c r="B14" s="54">
        <f>VLOOKUP(C14,'Active North Sky Projects'!C:D,2,FALSE)</f>
        <v>21288</v>
      </c>
      <c r="C14" s="108" t="s">
        <v>1006</v>
      </c>
      <c r="D14" s="225">
        <f>IFERROR(VLOOKUP(B14,'MTD Hours Paste Data'!A:C,3,FALSE),"")</f>
        <v>0</v>
      </c>
      <c r="E14" s="64">
        <f>IFERROR(VLOOKUP(B14,'ACDOCA - Paste Data'!B:G,6,FALSE),0)</f>
        <v>0</v>
      </c>
      <c r="F14" s="64">
        <f t="shared" si="0"/>
        <v>0</v>
      </c>
      <c r="G14" s="64">
        <f>IFERROR(VLOOKUP(B14,'ACDOCA - Paste Data'!B:H,7,FALSE),0)</f>
        <v>0</v>
      </c>
      <c r="H14" s="64">
        <f t="shared" si="1"/>
        <v>0</v>
      </c>
      <c r="I14" s="64">
        <f t="shared" ref="I14" si="12">F14-H14</f>
        <v>0</v>
      </c>
      <c r="J14" s="65">
        <f t="shared" ref="J14" si="13">IFERROR(I14/F14,0)</f>
        <v>0</v>
      </c>
      <c r="K14" s="198" t="str">
        <f>IFERROR(VLOOKUP(B14,'WIP - Paste Data'!B:E,4,FALSE),"")</f>
        <v/>
      </c>
      <c r="L14" s="64"/>
      <c r="M14" s="64"/>
      <c r="N14" s="66"/>
      <c r="O14" s="66"/>
      <c r="P14" s="189">
        <f>IFERROR(VLOOKUP(B14,'JTD Paste Data'!A:B,2,FALSE),"0")</f>
        <v>77676.800000000003</v>
      </c>
      <c r="Q14" s="189">
        <f t="shared" si="6"/>
        <v>77676.800000000003</v>
      </c>
      <c r="R14" s="189">
        <f>IFERROR(VLOOKUP(B14,'JTD Paste Data'!A:C,3,FALSE),"0")</f>
        <v>79399.489999999991</v>
      </c>
      <c r="S14" s="189">
        <f t="shared" si="7"/>
        <v>79399.489999999991</v>
      </c>
      <c r="T14" s="189">
        <f t="shared" si="8"/>
        <v>-1722.6899999999878</v>
      </c>
      <c r="U14" s="193">
        <f t="shared" si="9"/>
        <v>-2.2177664373403485E-2</v>
      </c>
    </row>
    <row r="15" spans="1:21" x14ac:dyDescent="0.25">
      <c r="A15" s="54" t="s">
        <v>2949</v>
      </c>
      <c r="B15" s="54">
        <v>21922</v>
      </c>
      <c r="C15" s="108">
        <v>2386061</v>
      </c>
      <c r="D15" s="225" t="str">
        <f>IFERROR(VLOOKUP(B15,'MTD Hours Paste Data'!A:C,3,FALSE),"")</f>
        <v/>
      </c>
      <c r="E15" s="64">
        <f>IFERROR(VLOOKUP(B15,'ACDOCA - Paste Data'!B:G,6,FALSE),0)</f>
        <v>44607.78</v>
      </c>
      <c r="F15" s="64">
        <f t="shared" ref="F15" si="14">E15 +L15</f>
        <v>44607.78</v>
      </c>
      <c r="G15" s="64">
        <f>IFERROR(VLOOKUP(B15,'ACDOCA - Paste Data'!B:H,7,FALSE),0)</f>
        <v>29107.599999999999</v>
      </c>
      <c r="H15" s="64">
        <f t="shared" ref="H15" si="15">G15+M15</f>
        <v>29107.599999999999</v>
      </c>
      <c r="I15" s="64">
        <f t="shared" ref="I15" si="16">F15-H15</f>
        <v>15500.18</v>
      </c>
      <c r="J15" s="65">
        <f t="shared" ref="J15" si="17">IFERROR(I15/F15,0)</f>
        <v>0.34747705445103971</v>
      </c>
      <c r="K15" s="198">
        <f>IFERROR(VLOOKUP(B15,'WIP - Paste Data'!B:E,4,FALSE),"")</f>
        <v>86609.59</v>
      </c>
      <c r="L15" s="64"/>
      <c r="M15" s="64"/>
      <c r="N15" s="66"/>
      <c r="O15" s="66"/>
      <c r="P15" s="189">
        <f>IFERROR(VLOOKUP(B15,'JTD Paste Data'!A:B,2,FALSE),"0")</f>
        <v>144125.82</v>
      </c>
      <c r="Q15" s="189">
        <f t="shared" si="6"/>
        <v>144125.82</v>
      </c>
      <c r="R15" s="189">
        <f>IFERROR(VLOOKUP(B15,'JTD Paste Data'!A:C,3,FALSE),"0")</f>
        <v>86076.79</v>
      </c>
      <c r="S15" s="189">
        <f t="shared" si="7"/>
        <v>86076.79</v>
      </c>
      <c r="T15" s="189">
        <f t="shared" si="8"/>
        <v>58049.030000000013</v>
      </c>
      <c r="U15" s="193">
        <f t="shared" si="9"/>
        <v>0.40276634679337825</v>
      </c>
    </row>
    <row r="16" spans="1:21" x14ac:dyDescent="0.25">
      <c r="A16" s="54" t="s">
        <v>2948</v>
      </c>
      <c r="B16" s="54">
        <f>VLOOKUP(C16,'Active North Sky Projects'!C:D,2,FALSE)</f>
        <v>21250</v>
      </c>
      <c r="C16" s="107" t="s">
        <v>1031</v>
      </c>
      <c r="D16" s="225">
        <f>IFERROR(VLOOKUP(B16,'MTD Hours Paste Data'!A:C,3,FALSE),"")</f>
        <v>18.010000000000002</v>
      </c>
      <c r="E16" s="64">
        <f>IFERROR(VLOOKUP(B16,'ACDOCA - Paste Data'!B:G,6,FALSE),0)</f>
        <v>3336</v>
      </c>
      <c r="F16" s="64">
        <f t="shared" si="0"/>
        <v>3336</v>
      </c>
      <c r="G16" s="64">
        <f>IFERROR(VLOOKUP(B16,'ACDOCA - Paste Data'!B:H,7,FALSE),0)</f>
        <v>2974.03</v>
      </c>
      <c r="H16" s="64">
        <f t="shared" si="1"/>
        <v>2974.03</v>
      </c>
      <c r="I16" s="64">
        <f t="shared" si="2"/>
        <v>361.9699999999998</v>
      </c>
      <c r="J16" s="65">
        <f t="shared" si="3"/>
        <v>0.10850419664268579</v>
      </c>
      <c r="K16" s="198">
        <f>IFERROR(VLOOKUP(B16,'WIP - Paste Data'!B:E,4,FALSE),"")</f>
        <v>3336</v>
      </c>
      <c r="L16" s="64"/>
      <c r="M16" s="64"/>
      <c r="N16" s="66"/>
      <c r="O16" s="66"/>
      <c r="P16" s="189">
        <f>IFERROR(VLOOKUP(B16,'JTD Paste Data'!A:B,2,FALSE),"0")</f>
        <v>175988</v>
      </c>
      <c r="Q16" s="189">
        <f t="shared" si="6"/>
        <v>175988</v>
      </c>
      <c r="R16" s="189">
        <f>IFERROR(VLOOKUP(B16,'JTD Paste Data'!A:C,3,FALSE),"0")</f>
        <v>151343.1</v>
      </c>
      <c r="S16" s="189">
        <f t="shared" si="7"/>
        <v>151343.1</v>
      </c>
      <c r="T16" s="189">
        <f t="shared" si="8"/>
        <v>24644.899999999994</v>
      </c>
      <c r="U16" s="193">
        <f t="shared" si="9"/>
        <v>0.1400373889128804</v>
      </c>
    </row>
    <row r="17" spans="1:21" x14ac:dyDescent="0.25">
      <c r="A17" s="54" t="str">
        <f>VLOOKUP(B17,'SAP Contracts'!A:J,10,FALSE)</f>
        <v>T-Mobile-Idaho Market 2025-2026</v>
      </c>
      <c r="B17" s="54">
        <f>VLOOKUP(C17,'Active North Sky Projects'!C:D,2,FALSE)</f>
        <v>21513</v>
      </c>
      <c r="C17" s="107" t="s">
        <v>752</v>
      </c>
      <c r="D17" s="225">
        <f>IFERROR(VLOOKUP(B17,'MTD Hours Paste Data'!A:C,3,FALSE),"")</f>
        <v>0</v>
      </c>
      <c r="E17" s="64">
        <f>IFERROR(VLOOKUP(B17,'ACDOCA - Paste Data'!B:G,6,FALSE),0)</f>
        <v>0</v>
      </c>
      <c r="F17" s="64">
        <f t="shared" si="0"/>
        <v>0</v>
      </c>
      <c r="G17" s="64">
        <f>IFERROR(VLOOKUP(B17,'ACDOCA - Paste Data'!B:H,7,FALSE),0)</f>
        <v>0</v>
      </c>
      <c r="H17" s="64">
        <f t="shared" si="1"/>
        <v>0</v>
      </c>
      <c r="I17" s="64">
        <f t="shared" si="2"/>
        <v>0</v>
      </c>
      <c r="J17" s="65">
        <f t="shared" si="3"/>
        <v>0</v>
      </c>
      <c r="K17" s="198" t="str">
        <f>IFERROR(VLOOKUP(B17,'WIP - Paste Data'!B:E,4,FALSE),"")</f>
        <v/>
      </c>
      <c r="L17" s="64"/>
      <c r="M17" s="64"/>
      <c r="N17" s="66"/>
      <c r="O17" s="66"/>
      <c r="P17" s="189">
        <f>IFERROR(VLOOKUP(B17,'JTD Paste Data'!A:B,2,FALSE),"0")</f>
        <v>615365.66</v>
      </c>
      <c r="Q17" s="189">
        <f t="shared" si="6"/>
        <v>615365.66</v>
      </c>
      <c r="R17" s="189">
        <f>IFERROR(VLOOKUP(B17,'JTD Paste Data'!A:C,3,FALSE),"0")</f>
        <v>595218.44000000006</v>
      </c>
      <c r="S17" s="189">
        <f t="shared" si="7"/>
        <v>595218.44000000006</v>
      </c>
      <c r="T17" s="189">
        <f t="shared" si="8"/>
        <v>20147.219999999972</v>
      </c>
      <c r="U17" s="193">
        <f t="shared" si="9"/>
        <v>3.2740240981272775E-2</v>
      </c>
    </row>
    <row r="18" spans="1:21" x14ac:dyDescent="0.25">
      <c r="A18" s="54" t="str">
        <f>VLOOKUP(B18,'SAP Contracts'!A:J,10,FALSE)</f>
        <v>T-Mobile-Portland Market  2024-2025</v>
      </c>
      <c r="B18" s="54">
        <f>VLOOKUP(C18,'Active North Sky Projects'!C:D,2,FALSE)</f>
        <v>21223</v>
      </c>
      <c r="C18" s="108" t="s">
        <v>141</v>
      </c>
      <c r="D18" s="225" t="str">
        <f>IFERROR(VLOOKUP(B18,'MTD Hours Paste Data'!A:C,3,FALSE),"")</f>
        <v/>
      </c>
      <c r="E18" s="64">
        <f>IFERROR(VLOOKUP(B18,'ACDOCA - Paste Data'!B:G,6,FALSE),0)</f>
        <v>0</v>
      </c>
      <c r="F18" s="64">
        <f t="shared" si="0"/>
        <v>0</v>
      </c>
      <c r="G18" s="64">
        <f>IFERROR(VLOOKUP(B18,'ACDOCA - Paste Data'!B:H,7,FALSE),0)</f>
        <v>0</v>
      </c>
      <c r="H18" s="64">
        <f t="shared" si="1"/>
        <v>0</v>
      </c>
      <c r="I18" s="64">
        <f t="shared" ref="I18" si="18">F18-H18</f>
        <v>0</v>
      </c>
      <c r="J18" s="65">
        <f t="shared" ref="J18" si="19">IFERROR(I18/F18,0)</f>
        <v>0</v>
      </c>
      <c r="K18" s="198" t="str">
        <f>IFERROR(VLOOKUP(B18,'WIP - Paste Data'!B:E,4,FALSE),"")</f>
        <v/>
      </c>
      <c r="L18" s="64"/>
      <c r="M18" s="64"/>
      <c r="N18" s="66"/>
      <c r="O18" s="66"/>
      <c r="P18" s="189" t="str">
        <f>IFERROR(VLOOKUP(B18,'JTD Paste Data'!A:B,2,FALSE),"0")</f>
        <v>0</v>
      </c>
      <c r="Q18" s="189">
        <f t="shared" si="6"/>
        <v>0</v>
      </c>
      <c r="R18" s="189" t="str">
        <f>IFERROR(VLOOKUP(B18,'JTD Paste Data'!A:C,3,FALSE),"0")</f>
        <v>0</v>
      </c>
      <c r="S18" s="189">
        <f t="shared" si="7"/>
        <v>0</v>
      </c>
      <c r="T18" s="189">
        <f t="shared" si="8"/>
        <v>0</v>
      </c>
      <c r="U18" s="193">
        <f t="shared" si="9"/>
        <v>0</v>
      </c>
    </row>
    <row r="19" spans="1:21" x14ac:dyDescent="0.25">
      <c r="A19" s="54" t="str">
        <f>VLOOKUP(B19,'SAP Contracts'!A:J,10,FALSE)</f>
        <v>T-Mobile-Portland Market 2025-2026</v>
      </c>
      <c r="B19" s="54">
        <f>VLOOKUP(C19,'Active North Sky Projects'!C:D,2,FALSE)</f>
        <v>21277</v>
      </c>
      <c r="C19" s="108" t="s">
        <v>754</v>
      </c>
      <c r="D19" s="225">
        <f>IFERROR(VLOOKUP(B19,'MTD Hours Paste Data'!A:C,3,FALSE),"")</f>
        <v>0</v>
      </c>
      <c r="E19" s="64">
        <f>IFERROR(VLOOKUP(B19,'ACDOCA - Paste Data'!B:G,6,FALSE),0)</f>
        <v>0</v>
      </c>
      <c r="F19" s="64">
        <f t="shared" si="0"/>
        <v>0</v>
      </c>
      <c r="G19" s="64">
        <f>IFERROR(VLOOKUP(B19,'ACDOCA - Paste Data'!B:H,7,FALSE),0)</f>
        <v>0</v>
      </c>
      <c r="H19" s="64">
        <f t="shared" si="1"/>
        <v>0</v>
      </c>
      <c r="I19" s="64">
        <f t="shared" si="2"/>
        <v>0</v>
      </c>
      <c r="J19" s="65">
        <f t="shared" si="3"/>
        <v>0</v>
      </c>
      <c r="K19" s="198">
        <f>IFERROR(VLOOKUP(B19,'WIP - Paste Data'!B:E,4,FALSE),"")</f>
        <v>16550.89</v>
      </c>
      <c r="L19" s="64"/>
      <c r="M19" s="64"/>
      <c r="N19" s="66"/>
      <c r="O19" s="66"/>
      <c r="P19" s="189">
        <f>IFERROR(VLOOKUP(B19,'JTD Paste Data'!A:B,2,FALSE),"0")</f>
        <v>460420.05</v>
      </c>
      <c r="Q19" s="189">
        <f t="shared" si="6"/>
        <v>460420.05</v>
      </c>
      <c r="R19" s="189">
        <f>IFERROR(VLOOKUP(B19,'JTD Paste Data'!A:C,3,FALSE),"0")</f>
        <v>414578.26</v>
      </c>
      <c r="S19" s="189">
        <f t="shared" si="7"/>
        <v>414578.26</v>
      </c>
      <c r="T19" s="189">
        <f t="shared" si="8"/>
        <v>45841.789999999979</v>
      </c>
      <c r="U19" s="193">
        <f t="shared" si="9"/>
        <v>9.9565147086882896E-2</v>
      </c>
    </row>
    <row r="20" spans="1:21" x14ac:dyDescent="0.25">
      <c r="A20" s="54" t="s">
        <v>2950</v>
      </c>
      <c r="B20" s="54">
        <f>VLOOKUP(C20,'Active North Sky Projects'!C:D,2,FALSE)</f>
        <v>21531</v>
      </c>
      <c r="C20" s="107" t="s">
        <v>1033</v>
      </c>
      <c r="D20" s="225">
        <f>IFERROR(VLOOKUP(B20,'MTD Hours Paste Data'!A:C,3,FALSE),"")</f>
        <v>0</v>
      </c>
      <c r="E20" s="64">
        <f>IFERROR(VLOOKUP(B20,'ACDOCA - Paste Data'!B:G,6,FALSE),0)</f>
        <v>16846</v>
      </c>
      <c r="F20" s="64">
        <f t="shared" si="0"/>
        <v>16846</v>
      </c>
      <c r="G20" s="64">
        <f>IFERROR(VLOOKUP(B20,'ACDOCA - Paste Data'!B:H,7,FALSE),0)</f>
        <v>9474.1</v>
      </c>
      <c r="H20" s="64">
        <f t="shared" si="1"/>
        <v>9474.1</v>
      </c>
      <c r="I20" s="64">
        <f t="shared" ref="I20" si="20">F20-H20</f>
        <v>7371.9</v>
      </c>
      <c r="J20" s="65">
        <f t="shared" ref="J20" si="21">IFERROR(I20/F20,0)</f>
        <v>0.43760536625905255</v>
      </c>
      <c r="K20" s="198">
        <f>IFERROR(VLOOKUP(B20,'WIP - Paste Data'!B:E,4,FALSE),"")</f>
        <v>153342.12</v>
      </c>
      <c r="L20" s="64"/>
      <c r="M20" s="64"/>
      <c r="N20" s="66"/>
      <c r="O20" s="66"/>
      <c r="P20" s="189">
        <f>IFERROR(VLOOKUP(B20,'JTD Paste Data'!A:B,2,FALSE),"0")</f>
        <v>415381.62</v>
      </c>
      <c r="Q20" s="189">
        <f t="shared" si="6"/>
        <v>415381.62</v>
      </c>
      <c r="R20" s="189">
        <f>IFERROR(VLOOKUP(B20,'JTD Paste Data'!A:C,3,FALSE),"0")</f>
        <v>383684.04</v>
      </c>
      <c r="S20" s="189">
        <f t="shared" si="7"/>
        <v>383684.04</v>
      </c>
      <c r="T20" s="189">
        <f t="shared" si="8"/>
        <v>31697.580000000016</v>
      </c>
      <c r="U20" s="193">
        <f t="shared" si="9"/>
        <v>7.6309539165454687E-2</v>
      </c>
    </row>
    <row r="21" spans="1:21" x14ac:dyDescent="0.25">
      <c r="A21" s="54" t="str">
        <f>VLOOKUP(B21,'SAP Contracts'!A:J,10,FALSE)</f>
        <v>T-Mobile-Spokane Market 2025-2026</v>
      </c>
      <c r="B21" s="54">
        <f>VLOOKUP(C21,'Active North Sky Projects'!C:D,2,FALSE)</f>
        <v>21159</v>
      </c>
      <c r="C21" s="54" t="s">
        <v>790</v>
      </c>
      <c r="D21" s="225">
        <f>IFERROR(VLOOKUP(B21,'MTD Hours Paste Data'!A:C,3,FALSE),"")</f>
        <v>0</v>
      </c>
      <c r="E21" s="64">
        <f>IFERROR(VLOOKUP(B21,'ACDOCA - Paste Data'!B:G,6,FALSE),0)</f>
        <v>0</v>
      </c>
      <c r="F21" s="64">
        <f t="shared" si="0"/>
        <v>0</v>
      </c>
      <c r="G21" s="64">
        <f>IFERROR(VLOOKUP(B21,'ACDOCA - Paste Data'!B:H,7,FALSE),0)</f>
        <v>0</v>
      </c>
      <c r="H21" s="64">
        <f t="shared" si="1"/>
        <v>0</v>
      </c>
      <c r="I21" s="64">
        <f t="shared" ref="I21" si="22">F21-H21</f>
        <v>0</v>
      </c>
      <c r="J21" s="65">
        <f t="shared" ref="J21" si="23">IFERROR(I21/F21,0)</f>
        <v>0</v>
      </c>
      <c r="K21" s="198" t="str">
        <f>IFERROR(VLOOKUP(B21,'WIP - Paste Data'!B:E,4,FALSE),"")</f>
        <v/>
      </c>
      <c r="L21" s="64"/>
      <c r="M21" s="64"/>
      <c r="N21" s="66"/>
      <c r="O21" s="66"/>
      <c r="P21" s="189">
        <f>IFERROR(VLOOKUP(B21,'JTD Paste Data'!A:B,2,FALSE),"0")</f>
        <v>606822.98</v>
      </c>
      <c r="Q21" s="189">
        <f t="shared" si="6"/>
        <v>606822.98</v>
      </c>
      <c r="R21" s="189">
        <f>IFERROR(VLOOKUP(B21,'JTD Paste Data'!A:C,3,FALSE),"0")</f>
        <v>584176.29</v>
      </c>
      <c r="S21" s="189">
        <f t="shared" si="7"/>
        <v>584176.29</v>
      </c>
      <c r="T21" s="189">
        <f t="shared" si="8"/>
        <v>22646.689999999944</v>
      </c>
      <c r="U21" s="193">
        <f t="shared" si="9"/>
        <v>3.7320092920673412E-2</v>
      </c>
    </row>
    <row r="22" spans="1:21" x14ac:dyDescent="0.25">
      <c r="A22" s="54" t="s">
        <v>2951</v>
      </c>
      <c r="B22" s="54">
        <f>VLOOKUP(C22,'Active North Sky Projects'!C:D,2,FALSE)</f>
        <v>21529</v>
      </c>
      <c r="C22" s="54" t="s">
        <v>1121</v>
      </c>
      <c r="D22" s="225">
        <f>IFERROR(VLOOKUP(B22,'MTD Hours Paste Data'!A:C,3,FALSE),"")</f>
        <v>0</v>
      </c>
      <c r="E22" s="64">
        <f>IFERROR(VLOOKUP(B22,'ACDOCA - Paste Data'!B:G,6,FALSE),0)</f>
        <v>10124.34</v>
      </c>
      <c r="F22" s="64">
        <f t="shared" si="0"/>
        <v>10124.34</v>
      </c>
      <c r="G22" s="64">
        <f>IFERROR(VLOOKUP(B22,'ACDOCA - Paste Data'!B:H,7,FALSE),0)</f>
        <v>10718.75</v>
      </c>
      <c r="H22" s="64">
        <f t="shared" si="1"/>
        <v>10718.75</v>
      </c>
      <c r="I22" s="64">
        <f t="shared" si="2"/>
        <v>-594.40999999999985</v>
      </c>
      <c r="J22" s="65">
        <f t="shared" si="3"/>
        <v>-5.8710987580424978E-2</v>
      </c>
      <c r="K22" s="198">
        <f>IFERROR(VLOOKUP(B22,'WIP - Paste Data'!B:E,4,FALSE),"")</f>
        <v>9165.8599999999988</v>
      </c>
      <c r="L22" s="64"/>
      <c r="M22" s="64"/>
      <c r="N22" s="66"/>
      <c r="O22" s="66"/>
      <c r="P22" s="189">
        <f>IFERROR(VLOOKUP(B22,'JTD Paste Data'!A:B,2,FALSE),"0")</f>
        <v>338552.68</v>
      </c>
      <c r="Q22" s="189">
        <f t="shared" si="6"/>
        <v>338552.68</v>
      </c>
      <c r="R22" s="189">
        <f>IFERROR(VLOOKUP(B22,'JTD Paste Data'!A:C,3,FALSE),"0")</f>
        <v>293852.63</v>
      </c>
      <c r="S22" s="189">
        <f t="shared" si="7"/>
        <v>293852.63</v>
      </c>
      <c r="T22" s="189">
        <f t="shared" si="8"/>
        <v>44700.049999999988</v>
      </c>
      <c r="U22" s="193">
        <f t="shared" si="9"/>
        <v>0.13203277551960299</v>
      </c>
    </row>
    <row r="23" spans="1:21" x14ac:dyDescent="0.25">
      <c r="A23" s="54" t="s">
        <v>2952</v>
      </c>
      <c r="B23" s="54">
        <v>22025</v>
      </c>
      <c r="C23" s="54" t="s">
        <v>2715</v>
      </c>
      <c r="D23" s="225" t="str">
        <f>IFERROR(VLOOKUP(B23,'MTD Hours Paste Data'!A:C,3,FALSE),"")</f>
        <v/>
      </c>
      <c r="E23" s="64">
        <f>IFERROR(VLOOKUP(B23,'ACDOCA - Paste Data'!B:G,6,FALSE),0)</f>
        <v>0</v>
      </c>
      <c r="F23" s="64">
        <f t="shared" ref="F23" si="24">E23 +L23</f>
        <v>0</v>
      </c>
      <c r="G23" s="64">
        <f>IFERROR(VLOOKUP(B23,'ACDOCA - Paste Data'!B:H,7,FALSE),0)</f>
        <v>0</v>
      </c>
      <c r="H23" s="64">
        <f t="shared" ref="H23" si="25">G23+M23</f>
        <v>0</v>
      </c>
      <c r="I23" s="64">
        <f t="shared" ref="I23" si="26">F23-H23</f>
        <v>0</v>
      </c>
      <c r="J23" s="65">
        <f t="shared" ref="J23" si="27">IFERROR(I23/F23,0)</f>
        <v>0</v>
      </c>
      <c r="K23" s="198" t="str">
        <f>IFERROR(VLOOKUP(B23,'WIP - Paste Data'!B:E,4,FALSE),"")</f>
        <v/>
      </c>
      <c r="L23" s="64"/>
      <c r="M23" s="64"/>
      <c r="N23" s="66"/>
      <c r="O23" s="66"/>
      <c r="P23" s="189">
        <f>IFERROR(VLOOKUP(B23,'JTD Paste Data'!A:B,2,FALSE),"0")</f>
        <v>0</v>
      </c>
      <c r="Q23" s="189">
        <f t="shared" ref="Q23" si="28">SUM(P23+L23)</f>
        <v>0</v>
      </c>
      <c r="R23" s="189">
        <f>IFERROR(VLOOKUP(B23,'JTD Paste Data'!A:C,3,FALSE),"0")</f>
        <v>1515.55</v>
      </c>
      <c r="S23" s="189">
        <f t="shared" ref="S23" si="29">SUM(R23+M23)</f>
        <v>1515.55</v>
      </c>
      <c r="T23" s="189">
        <f t="shared" ref="T23" si="30">SUM(Q23-S23)</f>
        <v>-1515.55</v>
      </c>
      <c r="U23" s="193">
        <f t="shared" ref="U23" si="31">IFERROR(T23/Q23,0)</f>
        <v>0</v>
      </c>
    </row>
    <row r="24" spans="1:21" x14ac:dyDescent="0.25">
      <c r="A24" s="54" t="s">
        <v>2357</v>
      </c>
      <c r="B24" s="54">
        <v>21047</v>
      </c>
      <c r="C24" s="54" t="s">
        <v>2715</v>
      </c>
      <c r="D24" s="225">
        <f>IFERROR(VLOOKUP(B24,'MTD Hours Paste Data'!A:C,3,FALSE),"")</f>
        <v>9.94</v>
      </c>
      <c r="E24" s="64">
        <f>IFERROR(VLOOKUP(B24,'ACDOCA - Paste Data'!B:G,6,FALSE),0)</f>
        <v>2750</v>
      </c>
      <c r="F24" s="64">
        <f t="shared" ref="F24" si="32">E24 +L24</f>
        <v>2750</v>
      </c>
      <c r="G24" s="64">
        <f>IFERROR(VLOOKUP(B24,'ACDOCA - Paste Data'!B:H,7,FALSE),0)</f>
        <v>782.42</v>
      </c>
      <c r="H24" s="64">
        <f t="shared" ref="H24" si="33">G24+M24</f>
        <v>782.42</v>
      </c>
      <c r="I24" s="64">
        <f t="shared" ref="I24" si="34">F24-H24</f>
        <v>1967.58</v>
      </c>
      <c r="J24" s="65">
        <f t="shared" ref="J24" si="35">IFERROR(I24/F24,0)</f>
        <v>0.71548363636363632</v>
      </c>
      <c r="K24" s="198">
        <f>IFERROR(VLOOKUP(B24,'WIP - Paste Data'!B:E,4,FALSE),"")</f>
        <v>2750</v>
      </c>
      <c r="L24" s="64"/>
      <c r="M24" s="64"/>
      <c r="N24" s="66"/>
      <c r="O24" s="66"/>
      <c r="P24" s="189">
        <f>IFERROR(VLOOKUP(B24,'JTD Paste Data'!A:B,2,FALSE),"0")</f>
        <v>2750</v>
      </c>
      <c r="Q24" s="189">
        <f t="shared" ref="Q24" si="36">SUM(P24+L24)</f>
        <v>2750</v>
      </c>
      <c r="R24" s="189">
        <f>IFERROR(VLOOKUP(B24,'JTD Paste Data'!A:C,3,FALSE),"0")</f>
        <v>782.42</v>
      </c>
      <c r="S24" s="189">
        <f t="shared" ref="S24" si="37">SUM(R24+M24)</f>
        <v>782.42</v>
      </c>
      <c r="T24" s="189">
        <f t="shared" ref="T24" si="38">SUM(Q24-S24)</f>
        <v>1967.58</v>
      </c>
      <c r="U24" s="193">
        <f t="shared" ref="U24" si="39">IFERROR(T24/Q24,0)</f>
        <v>0.71548363636363632</v>
      </c>
    </row>
    <row r="25" spans="1:21" x14ac:dyDescent="0.25">
      <c r="A25" s="54" t="s">
        <v>2524</v>
      </c>
      <c r="B25" s="54">
        <v>21187</v>
      </c>
      <c r="C25" s="219">
        <v>2136011</v>
      </c>
      <c r="D25" s="225">
        <f>IFERROR(VLOOKUP(B25,'MTD Hours Paste Data'!A:C,3,FALSE),"")</f>
        <v>0</v>
      </c>
      <c r="E25" s="64">
        <f>IFERROR(VLOOKUP(B25,'ACDOCA - Paste Data'!B:G,6,FALSE),0)</f>
        <v>0</v>
      </c>
      <c r="F25" s="64">
        <f t="shared" ref="F25" si="40">E25 +L25</f>
        <v>0</v>
      </c>
      <c r="G25" s="64">
        <f>IFERROR(VLOOKUP(B25,'ACDOCA - Paste Data'!B:H,7,FALSE),0)</f>
        <v>0</v>
      </c>
      <c r="H25" s="64">
        <f t="shared" ref="H25" si="41">G25+M25</f>
        <v>0</v>
      </c>
      <c r="I25" s="64">
        <f t="shared" ref="I25" si="42">F25-H25</f>
        <v>0</v>
      </c>
      <c r="J25" s="65">
        <f t="shared" ref="J25" si="43">IFERROR(I25/F25,0)</f>
        <v>0</v>
      </c>
      <c r="K25" s="198">
        <f>IFERROR(VLOOKUP(B25,'WIP - Paste Data'!B:E,4,FALSE),"")</f>
        <v>13875.74</v>
      </c>
      <c r="L25" s="64"/>
      <c r="M25" s="64"/>
      <c r="N25" s="66"/>
      <c r="O25" s="66"/>
      <c r="P25" s="189">
        <f>IFERROR(VLOOKUP(B25,'JTD Paste Data'!A:B,2,FALSE),"0")</f>
        <v>269677.42</v>
      </c>
      <c r="Q25" s="189">
        <f t="shared" ref="Q25" si="44">SUM(P25+L25)</f>
        <v>269677.42</v>
      </c>
      <c r="R25" s="189">
        <f>IFERROR(VLOOKUP(B25,'JTD Paste Data'!A:C,3,FALSE),"0")</f>
        <v>249220.13999999998</v>
      </c>
      <c r="S25" s="189">
        <f t="shared" ref="S25" si="45">SUM(R25+M25)</f>
        <v>249220.13999999998</v>
      </c>
      <c r="T25" s="189">
        <f t="shared" ref="T25" si="46">SUM(Q25-S25)</f>
        <v>20457.28</v>
      </c>
      <c r="U25" s="193">
        <f t="shared" ref="U25" si="47">IFERROR(T25/Q25,0)</f>
        <v>7.5858334746750397E-2</v>
      </c>
    </row>
    <row r="26" spans="1:21" x14ac:dyDescent="0.25">
      <c r="A26" s="54" t="str">
        <f>VLOOKUP(B26,'SAP Contracts'!A:J,10,FALSE)</f>
        <v>VZ-Verizon ID Careywood</v>
      </c>
      <c r="B26" s="54">
        <f>VLOOKUP(C26,'Active North Sky Projects'!C:D,2,FALSE)</f>
        <v>21648</v>
      </c>
      <c r="C26" s="107" t="s">
        <v>850</v>
      </c>
      <c r="D26" s="225">
        <f>IFERROR(VLOOKUP(B26,'MTD Hours Paste Data'!A:C,3,FALSE),"")</f>
        <v>0</v>
      </c>
      <c r="E26" s="64">
        <f>IFERROR(VLOOKUP(B26,'ACDOCA - Paste Data'!B:G,6,FALSE),0)</f>
        <v>0</v>
      </c>
      <c r="F26" s="64">
        <f t="shared" si="0"/>
        <v>0</v>
      </c>
      <c r="G26" s="64">
        <f>IFERROR(VLOOKUP(B26,'ACDOCA - Paste Data'!B:H,7,FALSE),0)</f>
        <v>3198.39</v>
      </c>
      <c r="H26" s="64">
        <f t="shared" si="1"/>
        <v>3198.39</v>
      </c>
      <c r="I26" s="64">
        <f t="shared" ref="I26" si="48">F26-H26</f>
        <v>-3198.39</v>
      </c>
      <c r="J26" s="65">
        <f t="shared" ref="J26" si="49">IFERROR(I26/F26,0)</f>
        <v>0</v>
      </c>
      <c r="K26" s="198">
        <f>IFERROR(VLOOKUP(B26,'WIP - Paste Data'!B:E,4,FALSE),"")</f>
        <v>337431.37</v>
      </c>
      <c r="L26" s="64"/>
      <c r="M26" s="64"/>
      <c r="N26" s="66"/>
      <c r="O26" s="66"/>
      <c r="P26" s="189">
        <f>IFERROR(VLOOKUP(B26,'JTD Paste Data'!A:B,2,FALSE),"0")</f>
        <v>337431.37</v>
      </c>
      <c r="Q26" s="189">
        <f t="shared" si="6"/>
        <v>337431.37</v>
      </c>
      <c r="R26" s="189">
        <f>IFERROR(VLOOKUP(B26,'JTD Paste Data'!A:C,3,FALSE),"0")</f>
        <v>340197.03</v>
      </c>
      <c r="S26" s="189">
        <f t="shared" si="7"/>
        <v>340197.03</v>
      </c>
      <c r="T26" s="189">
        <f t="shared" si="8"/>
        <v>-2765.6600000000326</v>
      </c>
      <c r="U26" s="193">
        <f t="shared" si="9"/>
        <v>-8.1962148332564121E-3</v>
      </c>
    </row>
    <row r="27" spans="1:21" x14ac:dyDescent="0.25">
      <c r="A27" s="54" t="str">
        <f>VLOOKUP(B27,'SAP Contracts'!A:J,10,FALSE)</f>
        <v>VZ-Verizon Idaho Market (Msa)</v>
      </c>
      <c r="B27" s="54">
        <f>VLOOKUP(C27,'Active North Sky Projects'!C:D,2,FALSE)</f>
        <v>21643</v>
      </c>
      <c r="C27" s="108" t="s">
        <v>131</v>
      </c>
      <c r="D27" s="225">
        <f>IFERROR(VLOOKUP(B27,'MTD Hours Paste Data'!A:C,3,FALSE),"")</f>
        <v>55.35</v>
      </c>
      <c r="E27" s="64">
        <f>IFERROR(VLOOKUP(B27,'ACDOCA - Paste Data'!B:G,6,FALSE),0)</f>
        <v>1</v>
      </c>
      <c r="F27" s="64">
        <f t="shared" si="0"/>
        <v>1</v>
      </c>
      <c r="G27" s="64">
        <f>IFERROR(VLOOKUP(B27,'ACDOCA - Paste Data'!B:H,7,FALSE),0)</f>
        <v>4894.2700000000004</v>
      </c>
      <c r="H27" s="64">
        <f t="shared" si="1"/>
        <v>4894.2700000000004</v>
      </c>
      <c r="I27" s="64">
        <f t="shared" ref="I27" si="50">F27-H27</f>
        <v>-4893.2700000000004</v>
      </c>
      <c r="J27" s="65">
        <f t="shared" ref="J27" si="51">IFERROR(I27/F27,0)</f>
        <v>-4893.2700000000004</v>
      </c>
      <c r="K27" s="198">
        <f>IFERROR(VLOOKUP(B27,'WIP - Paste Data'!B:E,4,FALSE),"")</f>
        <v>138947.03</v>
      </c>
      <c r="L27" s="64"/>
      <c r="M27" s="64"/>
      <c r="N27" s="66"/>
      <c r="O27" s="66"/>
      <c r="P27" s="189">
        <f>IFERROR(VLOOKUP(B27,'JTD Paste Data'!A:B,2,FALSE),"0")</f>
        <v>1254903.3799999999</v>
      </c>
      <c r="Q27" s="189">
        <f t="shared" si="6"/>
        <v>1254903.3799999999</v>
      </c>
      <c r="R27" s="189">
        <f>IFERROR(VLOOKUP(B27,'JTD Paste Data'!A:C,3,FALSE),"0")</f>
        <v>1179314.82</v>
      </c>
      <c r="S27" s="189">
        <f t="shared" si="7"/>
        <v>1179314.82</v>
      </c>
      <c r="T27" s="189">
        <f t="shared" si="8"/>
        <v>75588.559999999823</v>
      </c>
      <c r="U27" s="193">
        <f t="shared" si="9"/>
        <v>6.02345656284708E-2</v>
      </c>
    </row>
    <row r="28" spans="1:21" x14ac:dyDescent="0.25">
      <c r="A28" s="54" t="str">
        <f>VLOOKUP(B28,'SAP Contracts'!A:J,10,FALSE)</f>
        <v>VZ-Verizon Or Market (MSA)</v>
      </c>
      <c r="B28" s="54">
        <f>VLOOKUP(C28,'Active North Sky Projects'!C:D,2,FALSE)</f>
        <v>21145</v>
      </c>
      <c r="C28" s="108" t="s">
        <v>60</v>
      </c>
      <c r="D28" s="225">
        <f>IFERROR(VLOOKUP(B28,'MTD Hours Paste Data'!A:C,3,FALSE),"")</f>
        <v>0</v>
      </c>
      <c r="E28" s="64">
        <f>IFERROR(VLOOKUP(B28,'ACDOCA - Paste Data'!B:G,6,FALSE),0)</f>
        <v>0</v>
      </c>
      <c r="F28" s="64">
        <f t="shared" si="0"/>
        <v>0</v>
      </c>
      <c r="G28" s="64">
        <f>IFERROR(VLOOKUP(B28,'ACDOCA - Paste Data'!B:H,7,FALSE),0)</f>
        <v>0</v>
      </c>
      <c r="H28" s="64">
        <f t="shared" si="1"/>
        <v>0</v>
      </c>
      <c r="I28" s="64">
        <f t="shared" si="2"/>
        <v>0</v>
      </c>
      <c r="J28" s="65">
        <f t="shared" si="3"/>
        <v>0</v>
      </c>
      <c r="K28" s="198">
        <f>IFERROR(VLOOKUP(B28,'WIP - Paste Data'!B:E,4,FALSE),"")</f>
        <v>77449.539999999994</v>
      </c>
      <c r="L28" s="64"/>
      <c r="M28" s="64"/>
      <c r="N28" s="66"/>
      <c r="O28" s="66"/>
      <c r="P28" s="189">
        <f>IFERROR(VLOOKUP(B28,'JTD Paste Data'!A:B,2,FALSE),"0")</f>
        <v>3748513.81</v>
      </c>
      <c r="Q28" s="189">
        <f t="shared" si="6"/>
        <v>3748513.81</v>
      </c>
      <c r="R28" s="189">
        <f>IFERROR(VLOOKUP(B28,'JTD Paste Data'!A:C,3,FALSE),"0")</f>
        <v>3497939.98</v>
      </c>
      <c r="S28" s="189">
        <f t="shared" si="7"/>
        <v>3497939.98</v>
      </c>
      <c r="T28" s="189">
        <f t="shared" si="8"/>
        <v>250573.83000000007</v>
      </c>
      <c r="U28" s="193">
        <f t="shared" si="9"/>
        <v>6.6846180299919997E-2</v>
      </c>
    </row>
    <row r="29" spans="1:21" x14ac:dyDescent="0.25">
      <c r="A29" s="54" t="str">
        <f>VLOOKUP(B29,'SAP Contracts'!A:J,10,FALSE)</f>
        <v>VZ-Verizon Or Mosser</v>
      </c>
      <c r="B29" s="54">
        <f>VLOOKUP(C29,'Active North Sky Projects'!C:D,2,FALSE)</f>
        <v>21579</v>
      </c>
      <c r="C29" s="107" t="s">
        <v>61</v>
      </c>
      <c r="D29" s="225" t="str">
        <f>IFERROR(VLOOKUP(B29,'MTD Hours Paste Data'!A:C,3,FALSE),"")</f>
        <v/>
      </c>
      <c r="E29" s="64">
        <f>IFERROR(VLOOKUP(B29,'ACDOCA - Paste Data'!B:G,6,FALSE),0)</f>
        <v>0</v>
      </c>
      <c r="F29" s="64">
        <f t="shared" si="0"/>
        <v>0</v>
      </c>
      <c r="G29" s="64">
        <f>IFERROR(VLOOKUP(B29,'ACDOCA - Paste Data'!B:H,7,FALSE),0)</f>
        <v>0</v>
      </c>
      <c r="H29" s="64">
        <f t="shared" si="1"/>
        <v>0</v>
      </c>
      <c r="I29" s="64">
        <f t="shared" si="2"/>
        <v>0</v>
      </c>
      <c r="J29" s="65">
        <f t="shared" si="3"/>
        <v>0</v>
      </c>
      <c r="K29" s="198">
        <f>IFERROR(VLOOKUP(B29,'WIP - Paste Data'!B:E,4,FALSE),"")</f>
        <v>6225.64</v>
      </c>
      <c r="L29" s="64"/>
      <c r="M29" s="64"/>
      <c r="N29" s="66"/>
      <c r="O29" s="66"/>
      <c r="P29" s="189">
        <f>IFERROR(VLOOKUP(B29,'JTD Paste Data'!A:B,2,FALSE),"0")</f>
        <v>85176.52</v>
      </c>
      <c r="Q29" s="189">
        <f t="shared" si="6"/>
        <v>85176.52</v>
      </c>
      <c r="R29" s="189">
        <f>IFERROR(VLOOKUP(B29,'JTD Paste Data'!A:C,3,FALSE),"0")</f>
        <v>71641.240000000005</v>
      </c>
      <c r="S29" s="189">
        <f t="shared" si="7"/>
        <v>71641.240000000005</v>
      </c>
      <c r="T29" s="189">
        <f t="shared" si="8"/>
        <v>13535.279999999999</v>
      </c>
      <c r="U29" s="193">
        <f t="shared" si="9"/>
        <v>0.15890858184861273</v>
      </c>
    </row>
    <row r="30" spans="1:21" x14ac:dyDescent="0.25">
      <c r="A30" s="54" t="str">
        <f>VLOOKUP(B30,'SAP Contracts'!A:J,10,FALSE)</f>
        <v>VZ-Verizon OR Ruch</v>
      </c>
      <c r="B30" s="54">
        <f>VLOOKUP(C30,'Active North Sky Projects'!C:D,2,FALSE)</f>
        <v>21903</v>
      </c>
      <c r="C30" s="107" t="s">
        <v>1133</v>
      </c>
      <c r="D30" s="225" t="str">
        <f>IFERROR(VLOOKUP(B30,'MTD Hours Paste Data'!A:C,3,FALSE),"")</f>
        <v/>
      </c>
      <c r="E30" s="64">
        <f>IFERROR(VLOOKUP(B30,'ACDOCA - Paste Data'!B:G,6,FALSE),0)</f>
        <v>2120</v>
      </c>
      <c r="F30" s="64">
        <f t="shared" si="0"/>
        <v>2120</v>
      </c>
      <c r="G30" s="64">
        <f>IFERROR(VLOOKUP(B30,'ACDOCA - Paste Data'!B:H,7,FALSE),0)</f>
        <v>1558.65</v>
      </c>
      <c r="H30" s="64">
        <f t="shared" si="1"/>
        <v>1558.65</v>
      </c>
      <c r="I30" s="64">
        <f t="shared" si="2"/>
        <v>561.34999999999991</v>
      </c>
      <c r="J30" s="65">
        <f t="shared" si="3"/>
        <v>0.26478773584905657</v>
      </c>
      <c r="K30" s="198">
        <f>IFERROR(VLOOKUP(B30,'WIP - Paste Data'!B:E,4,FALSE),"")</f>
        <v>13622.54</v>
      </c>
      <c r="L30" s="64"/>
      <c r="M30" s="64"/>
      <c r="N30" s="66"/>
      <c r="O30" s="66"/>
      <c r="P30" s="189">
        <f>IFERROR(VLOOKUP(B30,'JTD Paste Data'!A:B,2,FALSE),"0")</f>
        <v>51720.160000000003</v>
      </c>
      <c r="Q30" s="189">
        <f t="shared" si="6"/>
        <v>51720.160000000003</v>
      </c>
      <c r="R30" s="189">
        <f>IFERROR(VLOOKUP(B30,'JTD Paste Data'!A:C,3,FALSE),"0")</f>
        <v>45205.919999999998</v>
      </c>
      <c r="S30" s="189">
        <f t="shared" si="7"/>
        <v>45205.919999999998</v>
      </c>
      <c r="T30" s="189">
        <f t="shared" si="8"/>
        <v>6514.2400000000052</v>
      </c>
      <c r="U30" s="193">
        <f t="shared" si="9"/>
        <v>0.12595165985565407</v>
      </c>
    </row>
    <row r="31" spans="1:21" x14ac:dyDescent="0.25">
      <c r="A31" s="54" t="str">
        <f>VLOOKUP(B31,'SAP Contracts'!A:J,10,FALSE)</f>
        <v>VZ-Verizon Spokane Market (MSA)</v>
      </c>
      <c r="B31" s="54">
        <f>VLOOKUP(C31,'Active North Sky Projects'!C:D,2,FALSE)</f>
        <v>21135</v>
      </c>
      <c r="C31" s="108" t="s">
        <v>128</v>
      </c>
      <c r="D31" s="225">
        <f>IFERROR(VLOOKUP(B31,'MTD Hours Paste Data'!A:C,3,FALSE),"")</f>
        <v>0</v>
      </c>
      <c r="E31" s="64">
        <f>IFERROR(VLOOKUP(B31,'ACDOCA - Paste Data'!B:G,6,FALSE),0)</f>
        <v>0</v>
      </c>
      <c r="F31" s="64">
        <f t="shared" si="0"/>
        <v>0</v>
      </c>
      <c r="G31" s="64">
        <f>IFERROR(VLOOKUP(B31,'ACDOCA - Paste Data'!B:H,7,FALSE),0)</f>
        <v>0</v>
      </c>
      <c r="H31" s="64">
        <f t="shared" si="1"/>
        <v>0</v>
      </c>
      <c r="I31" s="64">
        <f t="shared" si="2"/>
        <v>0</v>
      </c>
      <c r="J31" s="65">
        <f t="shared" si="3"/>
        <v>0</v>
      </c>
      <c r="K31" s="198">
        <f>IFERROR(VLOOKUP(B31,'WIP - Paste Data'!B:E,4,FALSE),"")</f>
        <v>88717.35</v>
      </c>
      <c r="L31" s="64"/>
      <c r="M31" s="64"/>
      <c r="N31" s="66"/>
      <c r="O31" s="66"/>
      <c r="P31" s="189">
        <f>IFERROR(VLOOKUP(B31,'JTD Paste Data'!A:B,2,FALSE),"0")</f>
        <v>775765.17</v>
      </c>
      <c r="Q31" s="189">
        <f t="shared" si="6"/>
        <v>775765.17</v>
      </c>
      <c r="R31" s="189">
        <f>IFERROR(VLOOKUP(B31,'JTD Paste Data'!A:C,3,FALSE),"0")</f>
        <v>756555.52000000014</v>
      </c>
      <c r="S31" s="189">
        <f t="shared" si="7"/>
        <v>756555.52000000014</v>
      </c>
      <c r="T31" s="189">
        <f t="shared" si="8"/>
        <v>19209.649999999907</v>
      </c>
      <c r="U31" s="193">
        <f t="shared" si="9"/>
        <v>2.4762197044757638E-2</v>
      </c>
    </row>
    <row r="32" spans="1:21" x14ac:dyDescent="0.25">
      <c r="A32" s="54" t="str">
        <f>VLOOKUP(B32,'SAP Contracts'!A:J,10,FALSE)</f>
        <v>VZ-Verizon Sw Wa Market (MSA)</v>
      </c>
      <c r="B32" s="54">
        <f>VLOOKUP(C32,'Active North Sky Projects'!C:D,2,FALSE)</f>
        <v>21196</v>
      </c>
      <c r="C32" s="108" t="s">
        <v>94</v>
      </c>
      <c r="D32" s="225">
        <f>IFERROR(VLOOKUP(B32,'MTD Hours Paste Data'!A:C,3,FALSE),"")</f>
        <v>0</v>
      </c>
      <c r="E32" s="64">
        <f>IFERROR(VLOOKUP(B32,'ACDOCA - Paste Data'!B:G,6,FALSE),0)</f>
        <v>1964.41</v>
      </c>
      <c r="F32" s="64">
        <f t="shared" si="0"/>
        <v>1964.41</v>
      </c>
      <c r="G32" s="64">
        <f>IFERROR(VLOOKUP(B32,'ACDOCA - Paste Data'!B:H,7,FALSE),0)</f>
        <v>2778.31</v>
      </c>
      <c r="H32" s="64">
        <f t="shared" si="1"/>
        <v>2778.31</v>
      </c>
      <c r="I32" s="64">
        <f t="shared" si="2"/>
        <v>-813.89999999999986</v>
      </c>
      <c r="J32" s="65">
        <f t="shared" si="3"/>
        <v>-0.41432287557078196</v>
      </c>
      <c r="K32" s="198">
        <f>IFERROR(VLOOKUP(B32,'WIP - Paste Data'!B:E,4,FALSE),"")</f>
        <v>1964.41</v>
      </c>
      <c r="L32" s="64"/>
      <c r="M32" s="64"/>
      <c r="N32" s="66"/>
      <c r="O32" s="66"/>
      <c r="P32" s="189">
        <f>IFERROR(VLOOKUP(B32,'JTD Paste Data'!A:B,2,FALSE),"0")</f>
        <v>1249465.6299999999</v>
      </c>
      <c r="Q32" s="189">
        <f t="shared" si="6"/>
        <v>1249465.6299999999</v>
      </c>
      <c r="R32" s="189">
        <f>IFERROR(VLOOKUP(B32,'JTD Paste Data'!A:C,3,FALSE),"0")</f>
        <v>1176895.2000000002</v>
      </c>
      <c r="S32" s="189">
        <f t="shared" si="7"/>
        <v>1176895.2000000002</v>
      </c>
      <c r="T32" s="189">
        <f t="shared" si="8"/>
        <v>72570.429999999702</v>
      </c>
      <c r="U32" s="193">
        <f t="shared" si="9"/>
        <v>5.8081173469333211E-2</v>
      </c>
    </row>
    <row r="33" spans="1:21" x14ac:dyDescent="0.25">
      <c r="A33" s="54" t="str">
        <f>VLOOKUP(B33,'SAP Contracts'!A:J,10,FALSE)</f>
        <v>VZ-Verizon Wa North Colfax</v>
      </c>
      <c r="B33" s="54">
        <f>VLOOKUP(C33,'Active North Sky Projects'!C:D,2,FALSE)</f>
        <v>21242</v>
      </c>
      <c r="C33" s="107" t="s">
        <v>413</v>
      </c>
      <c r="D33" s="225" t="str">
        <f>IFERROR(VLOOKUP(B33,'MTD Hours Paste Data'!A:C,3,FALSE),"")</f>
        <v/>
      </c>
      <c r="E33" s="64">
        <f>IFERROR(VLOOKUP(B33,'ACDOCA - Paste Data'!B:G,6,FALSE),0)</f>
        <v>0</v>
      </c>
      <c r="F33" s="64">
        <f t="shared" si="0"/>
        <v>0</v>
      </c>
      <c r="G33" s="64">
        <f>IFERROR(VLOOKUP(B33,'ACDOCA - Paste Data'!B:H,7,FALSE),0)</f>
        <v>0</v>
      </c>
      <c r="H33" s="64">
        <f t="shared" si="1"/>
        <v>0</v>
      </c>
      <c r="I33" s="64">
        <f t="shared" ref="I33" si="52">F33-H33</f>
        <v>0</v>
      </c>
      <c r="J33" s="65">
        <f t="shared" ref="J33" si="53">IFERROR(I33/F33,0)</f>
        <v>0</v>
      </c>
      <c r="K33" s="198">
        <f>IFERROR(VLOOKUP(B33,'WIP - Paste Data'!B:E,4,FALSE),"")</f>
        <v>6497.5</v>
      </c>
      <c r="L33" s="64"/>
      <c r="M33" s="64"/>
      <c r="N33" s="66"/>
      <c r="O33" s="66"/>
      <c r="P33" s="189">
        <f>IFERROR(VLOOKUP(B33,'JTD Paste Data'!A:B,2,FALSE),"0")</f>
        <v>230835.16</v>
      </c>
      <c r="Q33" s="189">
        <f t="shared" si="6"/>
        <v>230835.16</v>
      </c>
      <c r="R33" s="189">
        <f>IFERROR(VLOOKUP(B33,'JTD Paste Data'!A:C,3,FALSE),"0")</f>
        <v>211644.11</v>
      </c>
      <c r="S33" s="189">
        <f t="shared" si="7"/>
        <v>211644.11</v>
      </c>
      <c r="T33" s="189">
        <f t="shared" si="8"/>
        <v>19191.050000000017</v>
      </c>
      <c r="U33" s="193">
        <f t="shared" si="9"/>
        <v>8.3137464847209658E-2</v>
      </c>
    </row>
    <row r="34" spans="1:21" x14ac:dyDescent="0.25">
      <c r="A34" s="54" t="s">
        <v>2758</v>
      </c>
      <c r="B34" s="54">
        <v>22008</v>
      </c>
      <c r="C34" s="107" t="s">
        <v>2715</v>
      </c>
      <c r="D34" s="225" t="str">
        <f>IFERROR(VLOOKUP(B34,'MTD Hours Paste Data'!A:C,3,FALSE),"")</f>
        <v/>
      </c>
      <c r="E34" s="64">
        <f>IFERROR(VLOOKUP(B34,'ACDOCA - Paste Data'!B:G,6,FALSE),0)</f>
        <v>86853.78</v>
      </c>
      <c r="F34" s="64">
        <f t="shared" ref="F34" si="54">E34 +L34</f>
        <v>86853.78</v>
      </c>
      <c r="G34" s="64">
        <f>IFERROR(VLOOKUP(B34,'ACDOCA - Paste Data'!B:H,7,FALSE),0)</f>
        <v>61812.59</v>
      </c>
      <c r="H34" s="64">
        <f t="shared" ref="H34" si="55">G34+M34</f>
        <v>61812.59</v>
      </c>
      <c r="I34" s="64">
        <f t="shared" ref="I34" si="56">F34-H34</f>
        <v>25041.190000000002</v>
      </c>
      <c r="J34" s="65">
        <f t="shared" ref="J34" si="57">IFERROR(I34/F34,0)</f>
        <v>0.28831433703864129</v>
      </c>
      <c r="K34" s="198">
        <f>IFERROR(VLOOKUP(B34,'WIP - Paste Data'!B:E,4,FALSE),"")</f>
        <v>227167.44</v>
      </c>
      <c r="L34" s="64"/>
      <c r="M34" s="64"/>
      <c r="N34" s="66"/>
      <c r="O34" s="66"/>
      <c r="P34" s="189">
        <f>IFERROR(VLOOKUP(B34,'JTD Paste Data'!A:B,2,FALSE),"0")</f>
        <v>227167.44</v>
      </c>
      <c r="Q34" s="189">
        <f t="shared" ref="Q34" si="58">SUM(P34+L34)</f>
        <v>227167.44</v>
      </c>
      <c r="R34" s="189">
        <f>IFERROR(VLOOKUP(B34,'JTD Paste Data'!A:C,3,FALSE),"0")</f>
        <v>177646.56</v>
      </c>
      <c r="S34" s="189">
        <f t="shared" ref="S34" si="59">SUM(R34+M34)</f>
        <v>177646.56</v>
      </c>
      <c r="T34" s="189">
        <f t="shared" ref="T34" si="60">SUM(Q34-S34)</f>
        <v>49520.880000000005</v>
      </c>
      <c r="U34" s="193">
        <f t="shared" ref="U34" si="61">IFERROR(T34/Q34,0)</f>
        <v>0.21799286024440828</v>
      </c>
    </row>
    <row r="35" spans="1:21" x14ac:dyDescent="0.25">
      <c r="A35" s="54" t="s">
        <v>2772</v>
      </c>
      <c r="B35" s="54">
        <v>22048</v>
      </c>
      <c r="C35" s="107" t="s">
        <v>2715</v>
      </c>
      <c r="D35" s="225" t="str">
        <f>IFERROR(VLOOKUP(B35,'MTD Hours Paste Data'!A:C,3,FALSE),"")</f>
        <v/>
      </c>
      <c r="E35" s="64">
        <f>IFERROR(VLOOKUP(B35,'ACDOCA - Paste Data'!B:G,6,FALSE),0)</f>
        <v>0</v>
      </c>
      <c r="F35" s="64">
        <f t="shared" ref="F35" si="62">E35 +L35</f>
        <v>0</v>
      </c>
      <c r="G35" s="64">
        <f>IFERROR(VLOOKUP(B35,'ACDOCA - Paste Data'!B:H,7,FALSE),0)</f>
        <v>0</v>
      </c>
      <c r="H35" s="64">
        <f t="shared" ref="H35" si="63">G35+M35</f>
        <v>0</v>
      </c>
      <c r="I35" s="64">
        <f t="shared" ref="I35" si="64">F35-H35</f>
        <v>0</v>
      </c>
      <c r="J35" s="65">
        <f t="shared" ref="J35" si="65">IFERROR(I35/F35,0)</f>
        <v>0</v>
      </c>
      <c r="K35" s="198" t="str">
        <f>IFERROR(VLOOKUP(B35,'WIP - Paste Data'!B:E,4,FALSE),"")</f>
        <v/>
      </c>
      <c r="L35" s="64"/>
      <c r="M35" s="64"/>
      <c r="N35" s="66"/>
      <c r="O35" s="66"/>
      <c r="P35" s="189">
        <f>IFERROR(VLOOKUP(B35,'JTD Paste Data'!A:B,2,FALSE),"0")</f>
        <v>8540.16</v>
      </c>
      <c r="Q35" s="189">
        <f t="shared" ref="Q35" si="66">SUM(P35+L35)</f>
        <v>8540.16</v>
      </c>
      <c r="R35" s="189">
        <f>IFERROR(VLOOKUP(B35,'JTD Paste Data'!A:C,3,FALSE),"0")</f>
        <v>1117.29</v>
      </c>
      <c r="S35" s="189">
        <f t="shared" ref="S35" si="67">SUM(R35+M35)</f>
        <v>1117.29</v>
      </c>
      <c r="T35" s="189">
        <f t="shared" ref="T35" si="68">SUM(Q35-S35)</f>
        <v>7422.87</v>
      </c>
      <c r="U35" s="193">
        <f t="shared" ref="U35" si="69">IFERROR(T35/Q35,0)</f>
        <v>0.86917224033273377</v>
      </c>
    </row>
    <row r="36" spans="1:21" x14ac:dyDescent="0.25">
      <c r="A36" s="54" t="str">
        <f>VLOOKUP(B36,'SAP Contracts'!A:J,10,FALSE)</f>
        <v>T-Mobile-Idaho Market 2024-2025</v>
      </c>
      <c r="B36" s="54">
        <f>VLOOKUP(C36,'Active North Sky Projects'!C:D,2,FALSE)</f>
        <v>21161</v>
      </c>
      <c r="C36" s="107" t="s">
        <v>139</v>
      </c>
      <c r="D36" s="225" t="str">
        <f>IFERROR(VLOOKUP(B36,'MTD Hours Paste Data'!A:C,3,FALSE),"")</f>
        <v/>
      </c>
      <c r="E36" s="64">
        <f>IFERROR(VLOOKUP(B36,'ACDOCA - Paste Data'!B:G,6,FALSE),0)</f>
        <v>0</v>
      </c>
      <c r="F36" s="64">
        <f t="shared" si="0"/>
        <v>0</v>
      </c>
      <c r="G36" s="64">
        <f>IFERROR(VLOOKUP(B36,'ACDOCA - Paste Data'!B:H,7,FALSE),0)</f>
        <v>0</v>
      </c>
      <c r="H36" s="64">
        <f t="shared" si="1"/>
        <v>0</v>
      </c>
      <c r="I36" s="64">
        <f t="shared" si="2"/>
        <v>0</v>
      </c>
      <c r="J36" s="65">
        <f t="shared" si="3"/>
        <v>0</v>
      </c>
      <c r="K36" s="198" t="str">
        <f>IFERROR(VLOOKUP(B36,'WIP - Paste Data'!B:E,4,FALSE),"")</f>
        <v/>
      </c>
      <c r="L36" s="64"/>
      <c r="M36" s="64"/>
      <c r="N36" s="66"/>
      <c r="O36" s="66"/>
      <c r="P36" s="189" t="str">
        <f>IFERROR(VLOOKUP(B36,'JTD Paste Data'!A:B,2,FALSE),"0")</f>
        <v>0</v>
      </c>
      <c r="Q36" s="189">
        <f t="shared" si="6"/>
        <v>0</v>
      </c>
      <c r="R36" s="189" t="str">
        <f>IFERROR(VLOOKUP(B36,'JTD Paste Data'!A:C,3,FALSE),"0")</f>
        <v>0</v>
      </c>
      <c r="S36" s="189">
        <f t="shared" si="7"/>
        <v>0</v>
      </c>
      <c r="T36" s="189">
        <f t="shared" si="8"/>
        <v>0</v>
      </c>
      <c r="U36" s="193">
        <f t="shared" si="9"/>
        <v>0</v>
      </c>
    </row>
    <row r="37" spans="1:21" ht="15.75" thickBot="1" x14ac:dyDescent="0.3">
      <c r="A37" s="67" t="s">
        <v>8</v>
      </c>
      <c r="B37" s="68" t="s">
        <v>2699</v>
      </c>
      <c r="C37" s="68"/>
      <c r="D37" s="226"/>
      <c r="E37" s="68">
        <f>SUM(E5:E36)</f>
        <v>294138.31</v>
      </c>
      <c r="F37" s="68">
        <f>SUM(F5:F36)</f>
        <v>294138.31</v>
      </c>
      <c r="G37" s="68">
        <f>SUM(G5:G36)</f>
        <v>270802.56</v>
      </c>
      <c r="H37" s="68">
        <f>SUM(H5:H36)</f>
        <v>270802.56</v>
      </c>
      <c r="I37" s="68">
        <f>F37-H37</f>
        <v>23335.75</v>
      </c>
      <c r="J37" s="69">
        <f>IFERROR(I37/F37,0)</f>
        <v>7.9335976330318886E-2</v>
      </c>
      <c r="K37" s="199">
        <f>SUM(K5:K36)</f>
        <v>2060337.0999999999</v>
      </c>
      <c r="L37" s="68">
        <f>SUM(L5:L36)</f>
        <v>0</v>
      </c>
      <c r="M37" s="68">
        <f>SUM(M5:M36)</f>
        <v>0</v>
      </c>
      <c r="N37" s="68"/>
      <c r="O37" s="68">
        <f t="shared" ref="O37:T37" si="70">SUM(O5:O36)</f>
        <v>0</v>
      </c>
      <c r="P37" s="68">
        <f t="shared" si="70"/>
        <v>13174518.74</v>
      </c>
      <c r="Q37" s="68">
        <f t="shared" si="70"/>
        <v>13174518.74</v>
      </c>
      <c r="R37" s="68">
        <f t="shared" si="70"/>
        <v>12336459.619999999</v>
      </c>
      <c r="S37" s="68">
        <f t="shared" si="70"/>
        <v>12336459.619999999</v>
      </c>
      <c r="T37" s="68">
        <f t="shared" si="70"/>
        <v>838059.1199999993</v>
      </c>
      <c r="U37" s="69">
        <f>IFERROR(T37/Q37,0)</f>
        <v>6.3612124020554495E-2</v>
      </c>
    </row>
    <row r="38" spans="1:21" ht="15" customHeight="1" x14ac:dyDescent="0.25">
      <c r="A38" s="109" t="s">
        <v>771</v>
      </c>
      <c r="B38" s="109"/>
      <c r="C38" s="109"/>
      <c r="D38" s="224"/>
      <c r="E38" s="60"/>
      <c r="F38" s="61"/>
      <c r="G38" s="60"/>
      <c r="H38" s="61"/>
      <c r="I38" s="61"/>
      <c r="J38" s="62"/>
      <c r="K38" s="197"/>
      <c r="L38" s="60"/>
      <c r="M38" s="60"/>
      <c r="N38" s="63"/>
      <c r="O38" s="63"/>
      <c r="P38" s="63"/>
      <c r="Q38" s="63"/>
      <c r="R38" s="63"/>
      <c r="S38" s="63"/>
      <c r="T38" s="63"/>
      <c r="U38" s="63"/>
    </row>
    <row r="39" spans="1:21" x14ac:dyDescent="0.25">
      <c r="A39" s="54" t="str">
        <f>VLOOKUP(B39,'SAP Contracts'!A:J,10,FALSE)</f>
        <v>Astound - OR Wave Broadband</v>
      </c>
      <c r="B39" s="54">
        <f>VLOOKUP(C39,'Active North Sky Projects'!C:D,2,FALSE)</f>
        <v>21586</v>
      </c>
      <c r="C39" s="108" t="s">
        <v>104</v>
      </c>
      <c r="D39" s="225">
        <f>IFERROR(VLOOKUP(B39,'MTD Hours Paste Data'!A:C,3,FALSE),"")</f>
        <v>0</v>
      </c>
      <c r="E39" s="64">
        <f>IFERROR(VLOOKUP(B39,'ACDOCA - Paste Data'!B:G,6,FALSE),0)</f>
        <v>0</v>
      </c>
      <c r="F39" s="64">
        <f t="shared" ref="F39:F42" si="71">E39 +L39</f>
        <v>0</v>
      </c>
      <c r="G39" s="64">
        <f>IFERROR(VLOOKUP(B39,'ACDOCA - Paste Data'!B:H,7,FALSE),0)</f>
        <v>0</v>
      </c>
      <c r="H39" s="64">
        <f t="shared" ref="H39:H42" si="72">G39+M39</f>
        <v>0</v>
      </c>
      <c r="I39" s="64">
        <f t="shared" ref="I39:I42" si="73">F39-H39</f>
        <v>0</v>
      </c>
      <c r="J39" s="65">
        <f t="shared" ref="J39:J45" si="74">IFERROR(I39/F39,0)</f>
        <v>0</v>
      </c>
      <c r="K39" s="198">
        <f>IFERROR(VLOOKUP(B39,'WIP - Paste Data'!B:E,4,FALSE),"")</f>
        <v>11862.94</v>
      </c>
      <c r="L39" s="64"/>
      <c r="M39" s="64"/>
      <c r="N39" s="66"/>
      <c r="O39" s="66"/>
      <c r="P39" s="189">
        <f>IFERROR(VLOOKUP(B39,'JTD Paste Data'!A:B,2,FALSE),"0")</f>
        <v>440215.08</v>
      </c>
      <c r="Q39" s="189">
        <f t="shared" ref="Q39:Q44" si="75">SUM(P39+L39)</f>
        <v>440215.08</v>
      </c>
      <c r="R39" s="189">
        <f>IFERROR(VLOOKUP(B39,'JTD Paste Data'!A:C,3,FALSE),"0")</f>
        <v>335168.34999999998</v>
      </c>
      <c r="S39" s="189">
        <f t="shared" ref="S39:S44" si="76">SUM(R39+M39)</f>
        <v>335168.34999999998</v>
      </c>
      <c r="T39" s="189">
        <f t="shared" ref="T39:T44" si="77">SUM(Q39-S39)</f>
        <v>105046.73000000004</v>
      </c>
      <c r="U39" s="193">
        <f t="shared" ref="U39:U44" si="78">IFERROR(T39/Q39,0)</f>
        <v>0.23862592349176234</v>
      </c>
    </row>
    <row r="40" spans="1:21" x14ac:dyDescent="0.25">
      <c r="A40" s="54" t="str">
        <f>VLOOKUP(B40,'SAP Contracts'!A:J,10,FALSE)</f>
        <v>Astound - WA Wave Broadband</v>
      </c>
      <c r="B40" s="54">
        <f>VLOOKUP(C40,'Active North Sky Projects'!C:D,2,FALSE)</f>
        <v>21398</v>
      </c>
      <c r="C40" s="108" t="s">
        <v>62</v>
      </c>
      <c r="D40" s="225">
        <f>IFERROR(VLOOKUP(B40,'MTD Hours Paste Data'!A:C,3,FALSE),"")</f>
        <v>76.459999999999994</v>
      </c>
      <c r="E40" s="64">
        <f>IFERROR(VLOOKUP(B40,'ACDOCA - Paste Data'!B:G,6,FALSE),0)</f>
        <v>12000</v>
      </c>
      <c r="F40" s="64">
        <f t="shared" si="71"/>
        <v>12000</v>
      </c>
      <c r="G40" s="64">
        <f>IFERROR(VLOOKUP(B40,'ACDOCA - Paste Data'!B:H,7,FALSE),0)</f>
        <v>17256.38</v>
      </c>
      <c r="H40" s="64">
        <f t="shared" si="72"/>
        <v>17256.38</v>
      </c>
      <c r="I40" s="64">
        <f t="shared" si="73"/>
        <v>-5256.380000000001</v>
      </c>
      <c r="J40" s="65">
        <f t="shared" si="74"/>
        <v>-0.43803166666666676</v>
      </c>
      <c r="K40" s="198">
        <f>IFERROR(VLOOKUP(B40,'WIP - Paste Data'!B:E,4,FALSE),"")</f>
        <v>159215.92000000001</v>
      </c>
      <c r="L40" s="64"/>
      <c r="M40" s="64"/>
      <c r="N40" s="66"/>
      <c r="O40" s="66"/>
      <c r="P40" s="189">
        <f>IFERROR(VLOOKUP(B40,'JTD Paste Data'!A:B,2,FALSE),"0")</f>
        <v>1858637.4300000002</v>
      </c>
      <c r="Q40" s="189">
        <f t="shared" si="75"/>
        <v>1858637.4300000002</v>
      </c>
      <c r="R40" s="189">
        <f>IFERROR(VLOOKUP(B40,'JTD Paste Data'!A:C,3,FALSE),"0")</f>
        <v>1520921.76</v>
      </c>
      <c r="S40" s="189">
        <f t="shared" si="76"/>
        <v>1520921.76</v>
      </c>
      <c r="T40" s="189">
        <f t="shared" si="77"/>
        <v>337715.67000000016</v>
      </c>
      <c r="U40" s="193">
        <f t="shared" si="78"/>
        <v>0.18170067198097917</v>
      </c>
    </row>
    <row r="41" spans="1:21" x14ac:dyDescent="0.25">
      <c r="A41" s="54" t="str">
        <f>VLOOKUP(B41,'SAP Contracts'!A:J,10,FALSE)</f>
        <v>Consol Bus Svs-Canby dba Directlink Resi</v>
      </c>
      <c r="B41" s="54">
        <f>VLOOKUP(C41,'Active North Sky Projects'!C:D,2,FALSE)</f>
        <v>21572</v>
      </c>
      <c r="C41" s="108" t="s">
        <v>47</v>
      </c>
      <c r="D41" s="225">
        <f>IFERROR(VLOOKUP(B41,'MTD Hours Paste Data'!A:C,3,FALSE),"")</f>
        <v>173.97</v>
      </c>
      <c r="E41" s="64">
        <f>IFERROR(VLOOKUP(B41,'ACDOCA - Paste Data'!B:G,6,FALSE),0)</f>
        <v>17400</v>
      </c>
      <c r="F41" s="64">
        <f t="shared" si="71"/>
        <v>17400</v>
      </c>
      <c r="G41" s="64">
        <f>IFERROR(VLOOKUP(B41,'ACDOCA - Paste Data'!B:H,7,FALSE),0)</f>
        <v>25559.73</v>
      </c>
      <c r="H41" s="64">
        <f t="shared" si="72"/>
        <v>25559.73</v>
      </c>
      <c r="I41" s="64">
        <f t="shared" si="73"/>
        <v>-8159.73</v>
      </c>
      <c r="J41" s="65">
        <f t="shared" si="74"/>
        <v>-0.46894999999999998</v>
      </c>
      <c r="K41" s="198">
        <f>IFERROR(VLOOKUP(B41,'WIP - Paste Data'!B:E,4,FALSE),"")</f>
        <v>9625</v>
      </c>
      <c r="L41" s="64"/>
      <c r="M41" s="64"/>
      <c r="N41" s="66"/>
      <c r="O41" s="66"/>
      <c r="P41" s="189">
        <f>IFERROR(VLOOKUP(B41,'JTD Paste Data'!A:B,2,FALSE),"0")</f>
        <v>944750</v>
      </c>
      <c r="Q41" s="189">
        <f t="shared" si="75"/>
        <v>944750</v>
      </c>
      <c r="R41" s="189">
        <f>IFERROR(VLOOKUP(B41,'JTD Paste Data'!A:C,3,FALSE),"0")</f>
        <v>883231.53999999992</v>
      </c>
      <c r="S41" s="189">
        <f t="shared" si="76"/>
        <v>883231.53999999992</v>
      </c>
      <c r="T41" s="189">
        <f t="shared" si="77"/>
        <v>61518.460000000079</v>
      </c>
      <c r="U41" s="193">
        <f t="shared" si="78"/>
        <v>6.5116125959248566E-2</v>
      </c>
    </row>
    <row r="42" spans="1:21" x14ac:dyDescent="0.25">
      <c r="A42" s="54" t="str">
        <f>VLOOKUP(B42,'SAP Contracts'!A:J,10,FALSE)</f>
        <v>Hunter Communications &amp; Technologies, LL</v>
      </c>
      <c r="B42" s="54">
        <f>VLOOKUP(C42,'Active North Sky Projects'!C:D,2,FALSE)</f>
        <v>21406</v>
      </c>
      <c r="C42" s="108" t="s">
        <v>929</v>
      </c>
      <c r="D42" s="225" t="str">
        <f>IFERROR(VLOOKUP(B42,'MTD Hours Paste Data'!A:C,3,FALSE),"")</f>
        <v/>
      </c>
      <c r="E42" s="64">
        <f>IFERROR(VLOOKUP(B42,'ACDOCA - Paste Data'!B:G,6,FALSE),0)</f>
        <v>0</v>
      </c>
      <c r="F42" s="64">
        <f t="shared" si="71"/>
        <v>0</v>
      </c>
      <c r="G42" s="64">
        <f>IFERROR(VLOOKUP(B42,'ACDOCA - Paste Data'!B:H,7,FALSE),0)</f>
        <v>0</v>
      </c>
      <c r="H42" s="64">
        <f t="shared" si="72"/>
        <v>0</v>
      </c>
      <c r="I42" s="64">
        <f t="shared" si="73"/>
        <v>0</v>
      </c>
      <c r="J42" s="65">
        <f t="shared" si="74"/>
        <v>0</v>
      </c>
      <c r="K42" s="198" t="str">
        <f>IFERROR(VLOOKUP(B42,'WIP - Paste Data'!B:E,4,FALSE),"")</f>
        <v/>
      </c>
      <c r="L42" s="64"/>
      <c r="M42" s="64"/>
      <c r="N42" s="66"/>
      <c r="O42" s="66"/>
      <c r="P42" s="189" t="str">
        <f>IFERROR(VLOOKUP(B42,'JTD Paste Data'!A:B,2,FALSE),"0")</f>
        <v>0</v>
      </c>
      <c r="Q42" s="189">
        <f t="shared" si="75"/>
        <v>0</v>
      </c>
      <c r="R42" s="189" t="str">
        <f>IFERROR(VLOOKUP(B42,'JTD Paste Data'!A:C,3,FALSE),"0")</f>
        <v>0</v>
      </c>
      <c r="S42" s="189">
        <f t="shared" si="76"/>
        <v>0</v>
      </c>
      <c r="T42" s="189">
        <f t="shared" si="77"/>
        <v>0</v>
      </c>
      <c r="U42" s="193">
        <f t="shared" si="78"/>
        <v>0</v>
      </c>
    </row>
    <row r="43" spans="1:21" x14ac:dyDescent="0.25">
      <c r="A43" s="54" t="str">
        <f>VLOOKUP(B43,'SAP Contracts'!A:J,10,FALSE)</f>
        <v>Ziply - OR - MDU</v>
      </c>
      <c r="B43" s="54">
        <v>21258</v>
      </c>
      <c r="C43" s="108" t="s">
        <v>1617</v>
      </c>
      <c r="D43" s="225">
        <f>IFERROR(VLOOKUP(B43,'MTD Hours Paste Data'!A:C,3,FALSE),"")</f>
        <v>0</v>
      </c>
      <c r="E43" s="64">
        <f>IFERROR(VLOOKUP(B43,'ACDOCA - Paste Data'!B:G,6,FALSE),0)</f>
        <v>0</v>
      </c>
      <c r="F43" s="64">
        <f t="shared" ref="F43" si="79">E43 +L43</f>
        <v>0</v>
      </c>
      <c r="G43" s="64">
        <f>IFERROR(VLOOKUP(B43,'ACDOCA - Paste Data'!B:H,7,FALSE),0)</f>
        <v>483.33</v>
      </c>
      <c r="H43" s="64">
        <f t="shared" ref="H43" si="80">G43+M43</f>
        <v>483.33</v>
      </c>
      <c r="I43" s="64">
        <f t="shared" ref="I43" si="81">F43-H43</f>
        <v>-483.33</v>
      </c>
      <c r="J43" s="65">
        <f t="shared" ref="J43" si="82">IFERROR(I43/F43,0)</f>
        <v>0</v>
      </c>
      <c r="K43" s="198" t="str">
        <f>IFERROR(VLOOKUP(B43,'WIP - Paste Data'!B:E,4,FALSE),"")</f>
        <v/>
      </c>
      <c r="L43" s="64"/>
      <c r="M43" s="64"/>
      <c r="N43" s="66"/>
      <c r="O43" s="66"/>
      <c r="P43" s="189">
        <f>IFERROR(VLOOKUP(B43,'JTD Paste Data'!A:B,2,FALSE),"0")</f>
        <v>0</v>
      </c>
      <c r="Q43" s="189">
        <f t="shared" ref="Q43" si="83">SUM(P43+L43)</f>
        <v>0</v>
      </c>
      <c r="R43" s="189">
        <f>IFERROR(VLOOKUP(B43,'JTD Paste Data'!A:C,3,FALSE),"0")</f>
        <v>2070.09</v>
      </c>
      <c r="S43" s="189">
        <f t="shared" ref="S43" si="84">SUM(R43+M43)</f>
        <v>2070.09</v>
      </c>
      <c r="T43" s="189">
        <f t="shared" ref="T43" si="85">SUM(Q43-S43)</f>
        <v>-2070.09</v>
      </c>
      <c r="U43" s="193">
        <f t="shared" ref="U43" si="86">IFERROR(T43/Q43,0)</f>
        <v>0</v>
      </c>
    </row>
    <row r="44" spans="1:21" x14ac:dyDescent="0.25">
      <c r="A44" s="54" t="str">
        <f>VLOOKUP(B44,'SAP Contracts'!A:J,10,FALSE)</f>
        <v>Mereo 89, LLC</v>
      </c>
      <c r="B44" s="54">
        <f>VLOOKUP(C44,'Active North Sky Projects'!C:D,2,FALSE)</f>
        <v>21424</v>
      </c>
      <c r="C44" s="107" t="s">
        <v>677</v>
      </c>
      <c r="D44" s="225">
        <f>IFERROR(VLOOKUP(B44,'MTD Hours Paste Data'!A:C,3,FALSE),"")</f>
        <v>0</v>
      </c>
      <c r="E44" s="64">
        <f>IFERROR(VLOOKUP(B44,'ACDOCA - Paste Data'!B:G,6,FALSE),0)</f>
        <v>0</v>
      </c>
      <c r="F44" s="64">
        <f t="shared" ref="F44" si="87">E44 +L44</f>
        <v>0</v>
      </c>
      <c r="G44" s="64">
        <f>IFERROR(VLOOKUP(B44,'ACDOCA - Paste Data'!B:H,7,FALSE),0)</f>
        <v>0</v>
      </c>
      <c r="H44" s="64">
        <f t="shared" ref="H44" si="88">G44+M44</f>
        <v>0</v>
      </c>
      <c r="I44" s="64">
        <f t="shared" ref="I44" si="89">F44-H44</f>
        <v>0</v>
      </c>
      <c r="J44" s="65">
        <f t="shared" si="74"/>
        <v>0</v>
      </c>
      <c r="K44" s="198" t="str">
        <f>IFERROR(VLOOKUP(B44,'WIP - Paste Data'!B:E,4,FALSE),"")</f>
        <v/>
      </c>
      <c r="L44" s="64"/>
      <c r="M44" s="64"/>
      <c r="N44" s="66"/>
      <c r="O44" s="66"/>
      <c r="P44" s="189">
        <f>IFERROR(VLOOKUP(B44,'JTD Paste Data'!A:B,2,FALSE),"0")</f>
        <v>42916.03</v>
      </c>
      <c r="Q44" s="189">
        <f t="shared" si="75"/>
        <v>42916.03</v>
      </c>
      <c r="R44" s="189">
        <f>IFERROR(VLOOKUP(B44,'JTD Paste Data'!A:C,3,FALSE),"0")</f>
        <v>40311.43</v>
      </c>
      <c r="S44" s="189">
        <f t="shared" si="76"/>
        <v>40311.43</v>
      </c>
      <c r="T44" s="189">
        <f t="shared" si="77"/>
        <v>2604.5999999999985</v>
      </c>
      <c r="U44" s="193">
        <f t="shared" si="78"/>
        <v>6.0690609080103604E-2</v>
      </c>
    </row>
    <row r="45" spans="1:21" ht="15.75" thickBot="1" x14ac:dyDescent="0.3">
      <c r="A45" s="67" t="s">
        <v>629</v>
      </c>
      <c r="B45" s="68" t="s">
        <v>2700</v>
      </c>
      <c r="C45" s="68"/>
      <c r="D45" s="226"/>
      <c r="E45" s="68">
        <f>SUM(E39:E44)</f>
        <v>29400</v>
      </c>
      <c r="F45" s="68">
        <f>SUM(F39:F44)</f>
        <v>29400</v>
      </c>
      <c r="G45" s="68">
        <f>SUM(G39:G44)</f>
        <v>43299.44</v>
      </c>
      <c r="H45" s="68">
        <f>SUM(H39:H44)</f>
        <v>43299.44</v>
      </c>
      <c r="I45" s="68">
        <f>F45-H45</f>
        <v>-13899.440000000002</v>
      </c>
      <c r="J45" s="69">
        <f t="shared" si="74"/>
        <v>-0.47277006802721094</v>
      </c>
      <c r="K45" s="199">
        <f>SUM(K39:K44)</f>
        <v>180703.86000000002</v>
      </c>
      <c r="L45" s="68">
        <f>SUM(L39:L44)</f>
        <v>0</v>
      </c>
      <c r="M45" s="68">
        <f>SUM(M39:M44)</f>
        <v>0</v>
      </c>
      <c r="N45" s="68"/>
      <c r="O45" s="68"/>
      <c r="P45" s="68">
        <f>SUM(P39:P44)</f>
        <v>3286518.54</v>
      </c>
      <c r="Q45" s="68">
        <f>SUM(Q39:Q44)</f>
        <v>3286518.54</v>
      </c>
      <c r="R45" s="68">
        <f>SUM(R39:R44)</f>
        <v>2781703.17</v>
      </c>
      <c r="S45" s="68">
        <f>SUM(S39:S44)</f>
        <v>2781703.17</v>
      </c>
      <c r="T45" s="68">
        <f>SUM(T39:T44)</f>
        <v>504815.37000000023</v>
      </c>
      <c r="U45" s="69">
        <f>IFERROR(T45/Q45,0)</f>
        <v>0.15360186283933155</v>
      </c>
    </row>
    <row r="46" spans="1:21" ht="14.25" x14ac:dyDescent="0.25">
      <c r="A46" s="109" t="s">
        <v>627</v>
      </c>
      <c r="B46" s="109"/>
      <c r="C46" s="109"/>
      <c r="D46" s="224"/>
      <c r="E46" s="60"/>
      <c r="F46" s="61"/>
      <c r="G46" s="60"/>
      <c r="H46" s="61"/>
      <c r="I46" s="61"/>
      <c r="J46" s="62"/>
      <c r="K46" s="197"/>
      <c r="L46" s="60"/>
      <c r="M46" s="60"/>
      <c r="N46" s="63"/>
      <c r="O46" s="63"/>
      <c r="P46" s="63"/>
      <c r="Q46" s="63"/>
      <c r="R46" s="63"/>
      <c r="S46" s="63"/>
      <c r="T46" s="63"/>
      <c r="U46" s="63"/>
    </row>
    <row r="47" spans="1:21" x14ac:dyDescent="0.25">
      <c r="A47" s="54" t="str">
        <f>VLOOKUP(B47,'SAP Contracts'!A:J,10,FALSE)</f>
        <v>CommPro Services, LLC - AL</v>
      </c>
      <c r="B47" s="54">
        <f>VLOOKUP(C47,'Active North Sky Projects'!C:D,2,FALSE)</f>
        <v>21307</v>
      </c>
      <c r="C47" s="108" t="s">
        <v>127</v>
      </c>
      <c r="D47" s="225">
        <f>IFERROR(VLOOKUP(B47,'MTD Hours Paste Data'!A:C,3,FALSE),"")</f>
        <v>0</v>
      </c>
      <c r="E47" s="64">
        <f>IFERROR(VLOOKUP(B47,'ACDOCA - Paste Data'!B:G,6,FALSE),0)</f>
        <v>0</v>
      </c>
      <c r="F47" s="64">
        <f t="shared" ref="F47" si="90">E47 +L47</f>
        <v>0</v>
      </c>
      <c r="G47" s="64">
        <f>IFERROR(VLOOKUP(B47,'ACDOCA - Paste Data'!B:H,7,FALSE),0)</f>
        <v>0</v>
      </c>
      <c r="H47" s="64">
        <f t="shared" ref="H47" si="91">G47+M47</f>
        <v>0</v>
      </c>
      <c r="I47" s="64">
        <f t="shared" ref="I47" si="92">F47-H47</f>
        <v>0</v>
      </c>
      <c r="J47" s="65">
        <f t="shared" ref="J47:J83" si="93">IFERROR(I47/F47,0)</f>
        <v>0</v>
      </c>
      <c r="K47" s="198" t="str">
        <f>IFERROR(VLOOKUP(B47,'WIP - Paste Data'!B:E,4,FALSE),"")</f>
        <v/>
      </c>
      <c r="L47" s="64"/>
      <c r="M47" s="64"/>
      <c r="N47" s="66"/>
      <c r="O47" s="66"/>
      <c r="P47" s="189">
        <f>IFERROR(VLOOKUP(B47,'JTD Paste Data'!A:B,2,FALSE),"0")</f>
        <v>930089.63</v>
      </c>
      <c r="Q47" s="189">
        <f t="shared" ref="Q47" si="94">SUM(P47+L47)</f>
        <v>930089.63</v>
      </c>
      <c r="R47" s="189">
        <f>IFERROR(VLOOKUP(B47,'JTD Paste Data'!A:C,3,FALSE),"0")</f>
        <v>691583.58</v>
      </c>
      <c r="S47" s="189">
        <f t="shared" ref="S47" si="95">SUM(R47+M47)</f>
        <v>691583.58</v>
      </c>
      <c r="T47" s="189">
        <f t="shared" ref="T47" si="96">SUM(Q47-S47)</f>
        <v>238506.05000000005</v>
      </c>
      <c r="U47" s="193">
        <f t="shared" ref="U47" si="97">IFERROR(T47/Q47,0)</f>
        <v>0.25643340416557492</v>
      </c>
    </row>
    <row r="48" spans="1:21" x14ac:dyDescent="0.25">
      <c r="A48" s="54" t="str">
        <f>VLOOKUP(B48,'SAP Contracts'!A:J,10,FALSE)</f>
        <v>CommPro Services, LLC - IN</v>
      </c>
      <c r="B48" s="54">
        <f>VLOOKUP(C48,'Active North Sky Projects'!C:D,2,FALSE)</f>
        <v>21554</v>
      </c>
      <c r="C48" s="108" t="s">
        <v>609</v>
      </c>
      <c r="D48" s="225">
        <f>IFERROR(VLOOKUP(B48,'MTD Hours Paste Data'!A:C,3,FALSE),"")</f>
        <v>0</v>
      </c>
      <c r="E48" s="64">
        <f>IFERROR(VLOOKUP(B48,'ACDOCA - Paste Data'!B:G,6,FALSE),0)</f>
        <v>4750</v>
      </c>
      <c r="F48" s="64">
        <f t="shared" ref="F48:F83" si="98">E48 +L48</f>
        <v>4750</v>
      </c>
      <c r="G48" s="64">
        <f>IFERROR(VLOOKUP(B48,'ACDOCA - Paste Data'!B:H,7,FALSE),0)</f>
        <v>708.56</v>
      </c>
      <c r="H48" s="64">
        <f t="shared" ref="H48:H83" si="99">G48+M48</f>
        <v>708.56</v>
      </c>
      <c r="I48" s="64">
        <f t="shared" ref="I48:I83" si="100">F48-H48</f>
        <v>4041.44</v>
      </c>
      <c r="J48" s="65">
        <f t="shared" si="93"/>
        <v>0.85082947368421058</v>
      </c>
      <c r="K48" s="198">
        <f>IFERROR(VLOOKUP(B48,'WIP - Paste Data'!B:E,4,FALSE),"")</f>
        <v>4750</v>
      </c>
      <c r="L48" s="64"/>
      <c r="M48" s="64"/>
      <c r="N48" s="66"/>
      <c r="O48" s="66"/>
      <c r="P48" s="189">
        <f>IFERROR(VLOOKUP(B48,'JTD Paste Data'!A:B,2,FALSE),"0")</f>
        <v>288201.2</v>
      </c>
      <c r="Q48" s="189">
        <f t="shared" ref="Q48:Q83" si="101">SUM(P48+L48)</f>
        <v>288201.2</v>
      </c>
      <c r="R48" s="189">
        <f>IFERROR(VLOOKUP(B48,'JTD Paste Data'!A:C,3,FALSE),"0")</f>
        <v>227325.24</v>
      </c>
      <c r="S48" s="189">
        <f t="shared" ref="S48:S83" si="102">SUM(R48+M48)</f>
        <v>227325.24</v>
      </c>
      <c r="T48" s="189">
        <f t="shared" ref="T48:T83" si="103">SUM(Q48-S48)</f>
        <v>60875.960000000021</v>
      </c>
      <c r="U48" s="193">
        <f t="shared" ref="U48:U83" si="104">IFERROR(T48/Q48,0)</f>
        <v>0.21122729537559184</v>
      </c>
    </row>
    <row r="49" spans="1:21" x14ac:dyDescent="0.25">
      <c r="A49" s="54" t="str">
        <f>VLOOKUP(B49,'SAP Contracts'!A:J,10,FALSE)</f>
        <v>CommPro Services, LLC - GA</v>
      </c>
      <c r="B49" s="54">
        <v>21638</v>
      </c>
      <c r="C49" s="108" t="s">
        <v>362</v>
      </c>
      <c r="D49" s="225">
        <f>IFERROR(VLOOKUP(B49,'MTD Hours Paste Data'!A:C,3,FALSE),"")</f>
        <v>0</v>
      </c>
      <c r="E49" s="64">
        <f>IFERROR(VLOOKUP(B49,'ACDOCA - Paste Data'!B:G,6,FALSE),0)</f>
        <v>0</v>
      </c>
      <c r="F49" s="64">
        <f t="shared" ref="F49" si="105">E49 +L49</f>
        <v>0</v>
      </c>
      <c r="G49" s="64">
        <f>IFERROR(VLOOKUP(B49,'ACDOCA - Paste Data'!B:H,7,FALSE),0)</f>
        <v>-308.68</v>
      </c>
      <c r="H49" s="64">
        <f t="shared" ref="H49" si="106">G49+M49</f>
        <v>-308.68</v>
      </c>
      <c r="I49" s="64">
        <f t="shared" ref="I49" si="107">F49-H49</f>
        <v>308.68</v>
      </c>
      <c r="J49" s="65">
        <f t="shared" ref="J49" si="108">IFERROR(I49/F49,0)</f>
        <v>0</v>
      </c>
      <c r="K49" s="198" t="str">
        <f>IFERROR(VLOOKUP(B49,'WIP - Paste Data'!B:E,4,FALSE),"")</f>
        <v/>
      </c>
      <c r="L49" s="64"/>
      <c r="M49" s="64"/>
      <c r="N49" s="66"/>
      <c r="O49" s="66"/>
      <c r="P49" s="189">
        <f>IFERROR(VLOOKUP(B49,'JTD Paste Data'!A:B,2,FALSE),"0")</f>
        <v>689352.72</v>
      </c>
      <c r="Q49" s="189">
        <f t="shared" si="101"/>
        <v>689352.72</v>
      </c>
      <c r="R49" s="189">
        <f>IFERROR(VLOOKUP(B49,'JTD Paste Data'!A:C,3,FALSE),"0")</f>
        <v>505598.01</v>
      </c>
      <c r="S49" s="189">
        <f t="shared" si="102"/>
        <v>505598.01</v>
      </c>
      <c r="T49" s="189">
        <f t="shared" si="103"/>
        <v>183754.70999999996</v>
      </c>
      <c r="U49" s="193">
        <f t="shared" si="104"/>
        <v>0.2665612315274537</v>
      </c>
    </row>
    <row r="50" spans="1:21" x14ac:dyDescent="0.25">
      <c r="A50" s="54" t="str">
        <f>VLOOKUP(B50,'SAP Contracts'!A:J,10,FALSE)</f>
        <v>CommPro Services, LLC - KY</v>
      </c>
      <c r="B50" s="54">
        <f>VLOOKUP(C50,'Active North Sky Projects'!C:D,2,FALSE)</f>
        <v>21557</v>
      </c>
      <c r="C50" s="108" t="s">
        <v>600</v>
      </c>
      <c r="D50" s="225">
        <f>IFERROR(VLOOKUP(B50,'MTD Hours Paste Data'!A:C,3,FALSE),"")</f>
        <v>0</v>
      </c>
      <c r="E50" s="64">
        <f>IFERROR(VLOOKUP(B50,'ACDOCA - Paste Data'!B:G,6,FALSE),0)</f>
        <v>0</v>
      </c>
      <c r="F50" s="64">
        <f t="shared" si="98"/>
        <v>0</v>
      </c>
      <c r="G50" s="64">
        <f>IFERROR(VLOOKUP(B50,'ACDOCA - Paste Data'!B:H,7,FALSE),0)</f>
        <v>114.24</v>
      </c>
      <c r="H50" s="64">
        <f t="shared" si="99"/>
        <v>114.24</v>
      </c>
      <c r="I50" s="64">
        <f t="shared" si="100"/>
        <v>-114.24</v>
      </c>
      <c r="J50" s="65">
        <f t="shared" si="93"/>
        <v>0</v>
      </c>
      <c r="K50" s="198" t="str">
        <f>IFERROR(VLOOKUP(B50,'WIP - Paste Data'!B:E,4,FALSE),"")</f>
        <v/>
      </c>
      <c r="L50" s="64"/>
      <c r="M50" s="64"/>
      <c r="N50" s="66"/>
      <c r="O50" s="66"/>
      <c r="P50" s="189">
        <f>IFERROR(VLOOKUP(B50,'JTD Paste Data'!A:B,2,FALSE),"0")</f>
        <v>441403</v>
      </c>
      <c r="Q50" s="189">
        <f t="shared" si="101"/>
        <v>441403</v>
      </c>
      <c r="R50" s="189">
        <f>IFERROR(VLOOKUP(B50,'JTD Paste Data'!A:C,3,FALSE),"0")</f>
        <v>385108.46</v>
      </c>
      <c r="S50" s="189">
        <f t="shared" si="102"/>
        <v>385108.46</v>
      </c>
      <c r="T50" s="189">
        <f t="shared" si="103"/>
        <v>56294.539999999979</v>
      </c>
      <c r="U50" s="193">
        <f t="shared" si="104"/>
        <v>0.12753547211958227</v>
      </c>
    </row>
    <row r="51" spans="1:21" x14ac:dyDescent="0.25">
      <c r="A51" s="54" t="str">
        <f>VLOOKUP(B51,'SAP Contracts'!A:J,10,FALSE)</f>
        <v>CommPro Services, LLC (MS)</v>
      </c>
      <c r="B51" s="54">
        <f>VLOOKUP(C51,'Active North Sky Projects'!C:D,2,FALSE)</f>
        <v>21273</v>
      </c>
      <c r="C51" s="108" t="s">
        <v>1030</v>
      </c>
      <c r="D51" s="225">
        <f>IFERROR(VLOOKUP(B51,'MTD Hours Paste Data'!A:C,3,FALSE),"")</f>
        <v>162.38</v>
      </c>
      <c r="E51" s="64">
        <f>IFERROR(VLOOKUP(B51,'ACDOCA - Paste Data'!B:G,6,FALSE),0)</f>
        <v>117449</v>
      </c>
      <c r="F51" s="64">
        <f t="shared" si="98"/>
        <v>117449</v>
      </c>
      <c r="G51" s="64">
        <f>IFERROR(VLOOKUP(B51,'ACDOCA - Paste Data'!B:H,7,FALSE),0)</f>
        <v>83084.39</v>
      </c>
      <c r="H51" s="64">
        <f t="shared" si="99"/>
        <v>83084.39</v>
      </c>
      <c r="I51" s="64">
        <f t="shared" si="100"/>
        <v>34364.61</v>
      </c>
      <c r="J51" s="65">
        <f t="shared" si="93"/>
        <v>0.29259176323340341</v>
      </c>
      <c r="K51" s="198">
        <f>IFERROR(VLOOKUP(B51,'WIP - Paste Data'!B:E,4,FALSE),"")</f>
        <v>156899</v>
      </c>
      <c r="L51" s="64"/>
      <c r="M51" s="64"/>
      <c r="N51" s="66"/>
      <c r="O51" s="66"/>
      <c r="P51" s="189">
        <f>IFERROR(VLOOKUP(B51,'JTD Paste Data'!A:B,2,FALSE),"0")</f>
        <v>254930</v>
      </c>
      <c r="Q51" s="189">
        <f t="shared" si="101"/>
        <v>254930</v>
      </c>
      <c r="R51" s="189">
        <f>IFERROR(VLOOKUP(B51,'JTD Paste Data'!A:C,3,FALSE),"0")</f>
        <v>191143.94999999998</v>
      </c>
      <c r="S51" s="189">
        <f t="shared" si="102"/>
        <v>191143.94999999998</v>
      </c>
      <c r="T51" s="189">
        <f t="shared" si="103"/>
        <v>63786.050000000017</v>
      </c>
      <c r="U51" s="193">
        <f t="shared" si="104"/>
        <v>0.2502100576628879</v>
      </c>
    </row>
    <row r="52" spans="1:21" x14ac:dyDescent="0.25">
      <c r="A52" s="54" t="str">
        <f>VLOOKUP(B52,'SAP Contracts'!A:J,10,FALSE)</f>
        <v>CommPro Services, LLC - SC</v>
      </c>
      <c r="B52" s="54">
        <f>VLOOKUP(C52,'Active North Sky Projects'!C:D,2,FALSE)</f>
        <v>21591</v>
      </c>
      <c r="C52" s="108" t="s">
        <v>130</v>
      </c>
      <c r="D52" s="225" t="str">
        <f>IFERROR(VLOOKUP(B52,'MTD Hours Paste Data'!A:C,3,FALSE),"")</f>
        <v/>
      </c>
      <c r="E52" s="64">
        <f>IFERROR(VLOOKUP(B52,'ACDOCA - Paste Data'!B:G,6,FALSE),0)</f>
        <v>0</v>
      </c>
      <c r="F52" s="64">
        <f t="shared" si="98"/>
        <v>0</v>
      </c>
      <c r="G52" s="64">
        <f>IFERROR(VLOOKUP(B52,'ACDOCA - Paste Data'!B:H,7,FALSE),0)</f>
        <v>0</v>
      </c>
      <c r="H52" s="64">
        <f t="shared" si="99"/>
        <v>0</v>
      </c>
      <c r="I52" s="64">
        <f t="shared" si="100"/>
        <v>0</v>
      </c>
      <c r="J52" s="65">
        <f t="shared" si="93"/>
        <v>0</v>
      </c>
      <c r="K52" s="198" t="str">
        <f>IFERROR(VLOOKUP(B52,'WIP - Paste Data'!B:E,4,FALSE),"")</f>
        <v/>
      </c>
      <c r="L52" s="64"/>
      <c r="M52" s="64"/>
      <c r="N52" s="66"/>
      <c r="O52" s="66"/>
      <c r="P52" s="189" t="str">
        <f>IFERROR(VLOOKUP(B52,'JTD Paste Data'!A:B,2,FALSE),"0")</f>
        <v>0</v>
      </c>
      <c r="Q52" s="189">
        <f t="shared" si="101"/>
        <v>0</v>
      </c>
      <c r="R52" s="189" t="str">
        <f>IFERROR(VLOOKUP(B52,'JTD Paste Data'!A:C,3,FALSE),"0")</f>
        <v>0</v>
      </c>
      <c r="S52" s="189">
        <f t="shared" si="102"/>
        <v>0</v>
      </c>
      <c r="T52" s="189">
        <f t="shared" si="103"/>
        <v>0</v>
      </c>
      <c r="U52" s="193">
        <f t="shared" si="104"/>
        <v>0</v>
      </c>
    </row>
    <row r="53" spans="1:21" x14ac:dyDescent="0.25">
      <c r="A53" s="54" t="str">
        <f>VLOOKUP(B53,'SAP Contracts'!A:J,10,FALSE)</f>
        <v>CommPro Services, LLC - TN</v>
      </c>
      <c r="B53" s="54">
        <f>VLOOKUP(C53,'Active North Sky Projects'!C:D,2,FALSE)</f>
        <v>21290</v>
      </c>
      <c r="C53" s="108" t="s">
        <v>102</v>
      </c>
      <c r="D53" s="225">
        <f>IFERROR(VLOOKUP(B53,'MTD Hours Paste Data'!A:C,3,FALSE),"")</f>
        <v>0</v>
      </c>
      <c r="E53" s="64">
        <f>IFERROR(VLOOKUP(B53,'ACDOCA - Paste Data'!B:G,6,FALSE),0)</f>
        <v>0</v>
      </c>
      <c r="F53" s="64">
        <f t="shared" si="98"/>
        <v>0</v>
      </c>
      <c r="G53" s="64">
        <f>IFERROR(VLOOKUP(B53,'ACDOCA - Paste Data'!B:H,7,FALSE),0)</f>
        <v>607.92999999999995</v>
      </c>
      <c r="H53" s="64">
        <f t="shared" si="99"/>
        <v>607.92999999999995</v>
      </c>
      <c r="I53" s="64">
        <f t="shared" si="100"/>
        <v>-607.92999999999995</v>
      </c>
      <c r="J53" s="65">
        <f t="shared" si="93"/>
        <v>0</v>
      </c>
      <c r="K53" s="198" t="str">
        <f>IFERROR(VLOOKUP(B53,'WIP - Paste Data'!B:E,4,FALSE),"")</f>
        <v/>
      </c>
      <c r="L53" s="64"/>
      <c r="M53" s="64"/>
      <c r="N53" s="66"/>
      <c r="O53" s="66"/>
      <c r="P53" s="189">
        <f>IFERROR(VLOOKUP(B53,'JTD Paste Data'!A:B,2,FALSE),"0")</f>
        <v>700244.64</v>
      </c>
      <c r="Q53" s="189">
        <f t="shared" si="101"/>
        <v>700244.64</v>
      </c>
      <c r="R53" s="189">
        <f>IFERROR(VLOOKUP(B53,'JTD Paste Data'!A:C,3,FALSE),"0")</f>
        <v>543089.91</v>
      </c>
      <c r="S53" s="189">
        <f t="shared" si="102"/>
        <v>543089.91</v>
      </c>
      <c r="T53" s="189">
        <f t="shared" si="103"/>
        <v>157154.72999999998</v>
      </c>
      <c r="U53" s="193">
        <f t="shared" si="104"/>
        <v>0.22442832265020976</v>
      </c>
    </row>
    <row r="54" spans="1:21" x14ac:dyDescent="0.25">
      <c r="A54" s="54" t="s">
        <v>2080</v>
      </c>
      <c r="B54" s="54">
        <v>21561</v>
      </c>
      <c r="C54" s="108" t="s">
        <v>2715</v>
      </c>
      <c r="D54" s="225" t="str">
        <f>IFERROR(VLOOKUP(B54,'MTD Hours Paste Data'!A:C,3,FALSE),"")</f>
        <v/>
      </c>
      <c r="E54" s="64">
        <f>IFERROR(VLOOKUP(B54,'ACDOCA - Paste Data'!B:G,6,FALSE),0)</f>
        <v>0</v>
      </c>
      <c r="F54" s="64">
        <f t="shared" ref="F54" si="109">E54 +L54</f>
        <v>0</v>
      </c>
      <c r="G54" s="64">
        <f>IFERROR(VLOOKUP(B54,'ACDOCA - Paste Data'!B:H,7,FALSE),0)</f>
        <v>0</v>
      </c>
      <c r="H54" s="64">
        <f t="shared" ref="H54" si="110">G54+M54</f>
        <v>0</v>
      </c>
      <c r="I54" s="64">
        <f t="shared" ref="I54" si="111">F54-H54</f>
        <v>0</v>
      </c>
      <c r="J54" s="65">
        <f t="shared" ref="J54" si="112">IFERROR(I54/F54,0)</f>
        <v>0</v>
      </c>
      <c r="K54" s="198" t="str">
        <f>IFERROR(VLOOKUP(B54,'WIP - Paste Data'!B:E,4,FALSE),"")</f>
        <v/>
      </c>
      <c r="L54" s="64"/>
      <c r="M54" s="64"/>
      <c r="N54" s="66"/>
      <c r="O54" s="66"/>
      <c r="P54" s="189">
        <f>IFERROR(VLOOKUP(B54,'JTD Paste Data'!A:B,2,FALSE),"0")</f>
        <v>409561.47000000003</v>
      </c>
      <c r="Q54" s="189">
        <f t="shared" ref="Q54" si="113">SUM(P54+L54)</f>
        <v>409561.47000000003</v>
      </c>
      <c r="R54" s="189">
        <f>IFERROR(VLOOKUP(B54,'JTD Paste Data'!A:C,3,FALSE),"0")</f>
        <v>272674.17</v>
      </c>
      <c r="S54" s="189">
        <f t="shared" ref="S54" si="114">SUM(R54+M54)</f>
        <v>272674.17</v>
      </c>
      <c r="T54" s="189">
        <f t="shared" ref="T54" si="115">SUM(Q54-S54)</f>
        <v>136887.30000000005</v>
      </c>
      <c r="U54" s="193">
        <f t="shared" ref="U54" si="116">IFERROR(T54/Q54,0)</f>
        <v>0.33422894980819373</v>
      </c>
    </row>
    <row r="55" spans="1:21" x14ac:dyDescent="0.25">
      <c r="A55" s="54" t="s">
        <v>1990</v>
      </c>
      <c r="B55" s="54">
        <v>21637</v>
      </c>
      <c r="C55" s="108" t="s">
        <v>2715</v>
      </c>
      <c r="D55" s="225" t="str">
        <f>IFERROR(VLOOKUP(B55,'MTD Hours Paste Data'!A:C,3,FALSE),"")</f>
        <v/>
      </c>
      <c r="E55" s="64">
        <f>IFERROR(VLOOKUP(B55,'ACDOCA - Paste Data'!B:G,6,FALSE),0)</f>
        <v>0</v>
      </c>
      <c r="F55" s="64">
        <f t="shared" ref="F55" si="117">E55 +L55</f>
        <v>0</v>
      </c>
      <c r="G55" s="64">
        <f>IFERROR(VLOOKUP(B55,'ACDOCA - Paste Data'!B:H,7,FALSE),0)</f>
        <v>0</v>
      </c>
      <c r="H55" s="64">
        <f t="shared" ref="H55" si="118">G55+M55</f>
        <v>0</v>
      </c>
      <c r="I55" s="64">
        <f t="shared" ref="I55" si="119">F55-H55</f>
        <v>0</v>
      </c>
      <c r="J55" s="65">
        <f t="shared" ref="J55" si="120">IFERROR(I55/F55,0)</f>
        <v>0</v>
      </c>
      <c r="K55" s="198" t="str">
        <f>IFERROR(VLOOKUP(B55,'WIP - Paste Data'!B:E,4,FALSE),"")</f>
        <v/>
      </c>
      <c r="L55" s="64"/>
      <c r="M55" s="64"/>
      <c r="N55" s="66"/>
      <c r="O55" s="66"/>
      <c r="P55" s="189">
        <f>IFERROR(VLOOKUP(B55,'JTD Paste Data'!A:B,2,FALSE),"0")</f>
        <v>1442192.8900000001</v>
      </c>
      <c r="Q55" s="189">
        <f t="shared" ref="Q55" si="121">SUM(P55+L55)</f>
        <v>1442192.8900000001</v>
      </c>
      <c r="R55" s="189">
        <f>IFERROR(VLOOKUP(B55,'JTD Paste Data'!A:C,3,FALSE),"0")</f>
        <v>1065428.0699999998</v>
      </c>
      <c r="S55" s="189">
        <f t="shared" ref="S55" si="122">SUM(R55+M55)</f>
        <v>1065428.0699999998</v>
      </c>
      <c r="T55" s="189">
        <f t="shared" ref="T55" si="123">SUM(Q55-S55)</f>
        <v>376764.8200000003</v>
      </c>
      <c r="U55" s="193">
        <f t="shared" ref="U55" si="124">IFERROR(T55/Q55,0)</f>
        <v>0.26124440261246901</v>
      </c>
    </row>
    <row r="56" spans="1:21" x14ac:dyDescent="0.25">
      <c r="A56" s="54" t="s">
        <v>2752</v>
      </c>
      <c r="B56" s="54">
        <v>22001</v>
      </c>
      <c r="C56" s="108" t="s">
        <v>2715</v>
      </c>
      <c r="D56" s="225" t="str">
        <f>IFERROR(VLOOKUP(B56,'MTD Hours Paste Data'!A:C,3,FALSE),"")</f>
        <v/>
      </c>
      <c r="E56" s="64">
        <f>IFERROR(VLOOKUP(B56,'ACDOCA - Paste Data'!B:G,6,FALSE),0)</f>
        <v>0</v>
      </c>
      <c r="F56" s="64">
        <f t="shared" ref="F56" si="125">E56 +L56</f>
        <v>0</v>
      </c>
      <c r="G56" s="64">
        <f>IFERROR(VLOOKUP(B56,'ACDOCA - Paste Data'!B:H,7,FALSE),0)</f>
        <v>432.68</v>
      </c>
      <c r="H56" s="64">
        <f t="shared" ref="H56" si="126">G56+M56</f>
        <v>432.68</v>
      </c>
      <c r="I56" s="64">
        <f t="shared" ref="I56" si="127">F56-H56</f>
        <v>-432.68</v>
      </c>
      <c r="J56" s="65">
        <f t="shared" ref="J56" si="128">IFERROR(I56/F56,0)</f>
        <v>0</v>
      </c>
      <c r="K56" s="198" t="str">
        <f>IFERROR(VLOOKUP(B56,'WIP - Paste Data'!B:E,4,FALSE),"")</f>
        <v/>
      </c>
      <c r="L56" s="64"/>
      <c r="M56" s="64"/>
      <c r="N56" s="66"/>
      <c r="O56" s="66"/>
      <c r="P56" s="189">
        <f>IFERROR(VLOOKUP(B56,'JTD Paste Data'!A:B,2,FALSE),"0")</f>
        <v>306092.3</v>
      </c>
      <c r="Q56" s="189">
        <f t="shared" ref="Q56" si="129">SUM(P56+L56)</f>
        <v>306092.3</v>
      </c>
      <c r="R56" s="189">
        <f>IFERROR(VLOOKUP(B56,'JTD Paste Data'!A:C,3,FALSE),"0")</f>
        <v>239746.96</v>
      </c>
      <c r="S56" s="189">
        <f t="shared" ref="S56" si="130">SUM(R56+M56)</f>
        <v>239746.96</v>
      </c>
      <c r="T56" s="189">
        <f t="shared" si="103"/>
        <v>66345.34</v>
      </c>
      <c r="U56" s="193">
        <f t="shared" si="104"/>
        <v>0.21674945759824732</v>
      </c>
    </row>
    <row r="57" spans="1:21" x14ac:dyDescent="0.25">
      <c r="A57" s="54" t="str">
        <f>VLOOKUP(B57,'SAP Contracts'!A:J,10,FALSE)</f>
        <v>Ezee - San Antigua</v>
      </c>
      <c r="B57" s="54">
        <f>VLOOKUP(C57,'Active North Sky Projects'!C:D,2,FALSE)</f>
        <v>21906</v>
      </c>
      <c r="C57" s="108" t="s">
        <v>1126</v>
      </c>
      <c r="D57" s="225" t="str">
        <f>IFERROR(VLOOKUP(B57,'MTD Hours Paste Data'!A:C,3,FALSE),"")</f>
        <v/>
      </c>
      <c r="E57" s="64">
        <f>IFERROR(VLOOKUP(B57,'ACDOCA - Paste Data'!B:G,6,FALSE),0)</f>
        <v>0</v>
      </c>
      <c r="F57" s="64">
        <f t="shared" si="98"/>
        <v>0</v>
      </c>
      <c r="G57" s="64">
        <f>IFERROR(VLOOKUP(B57,'ACDOCA - Paste Data'!B:H,7,FALSE),0)</f>
        <v>0</v>
      </c>
      <c r="H57" s="64">
        <f t="shared" si="99"/>
        <v>0</v>
      </c>
      <c r="I57" s="64">
        <f t="shared" si="100"/>
        <v>0</v>
      </c>
      <c r="J57" s="65">
        <f t="shared" si="93"/>
        <v>0</v>
      </c>
      <c r="K57" s="198" t="str">
        <f>IFERROR(VLOOKUP(B57,'WIP - Paste Data'!B:E,4,FALSE),"")</f>
        <v/>
      </c>
      <c r="L57" s="64"/>
      <c r="M57" s="64"/>
      <c r="N57" s="66"/>
      <c r="O57" s="66"/>
      <c r="P57" s="189">
        <f>IFERROR(VLOOKUP(B57,'JTD Paste Data'!A:B,2,FALSE),"0")</f>
        <v>150028.6</v>
      </c>
      <c r="Q57" s="189">
        <f t="shared" si="101"/>
        <v>150028.6</v>
      </c>
      <c r="R57" s="189">
        <f>IFERROR(VLOOKUP(B57,'JTD Paste Data'!A:C,3,FALSE),"0")</f>
        <v>112090.02</v>
      </c>
      <c r="S57" s="189">
        <f t="shared" si="102"/>
        <v>112090.02</v>
      </c>
      <c r="T57" s="189">
        <f t="shared" si="103"/>
        <v>37938.58</v>
      </c>
      <c r="U57" s="193">
        <f t="shared" si="104"/>
        <v>0.25287565170907411</v>
      </c>
    </row>
    <row r="58" spans="1:21" x14ac:dyDescent="0.25">
      <c r="A58" s="54" t="str">
        <f>VLOOKUP(B58,'SAP Contracts'!A:J,10,FALSE)</f>
        <v>Ezee Fiber - Azulejo Apartments</v>
      </c>
      <c r="B58" s="54">
        <f>VLOOKUP(C58,'Active North Sky Projects'!C:D,2,FALSE)</f>
        <v>21089</v>
      </c>
      <c r="C58" s="107" t="s">
        <v>860</v>
      </c>
      <c r="D58" s="225">
        <f>IFERROR(VLOOKUP(B58,'MTD Hours Paste Data'!A:C,3,FALSE),"")</f>
        <v>0</v>
      </c>
      <c r="E58" s="64">
        <f>IFERROR(VLOOKUP(B58,'ACDOCA - Paste Data'!B:G,6,FALSE),0)</f>
        <v>0</v>
      </c>
      <c r="F58" s="64">
        <f t="shared" si="98"/>
        <v>0</v>
      </c>
      <c r="G58" s="64">
        <f>IFERROR(VLOOKUP(B58,'ACDOCA - Paste Data'!B:H,7,FALSE),0)</f>
        <v>0</v>
      </c>
      <c r="H58" s="64">
        <f t="shared" si="99"/>
        <v>0</v>
      </c>
      <c r="I58" s="64">
        <f t="shared" si="100"/>
        <v>0</v>
      </c>
      <c r="J58" s="65">
        <f t="shared" si="93"/>
        <v>0</v>
      </c>
      <c r="K58" s="198" t="str">
        <f>IFERROR(VLOOKUP(B58,'WIP - Paste Data'!B:E,4,FALSE),"")</f>
        <v/>
      </c>
      <c r="L58" s="64"/>
      <c r="M58" s="64"/>
      <c r="N58" s="66"/>
      <c r="O58" s="66"/>
      <c r="P58" s="189">
        <f>IFERROR(VLOOKUP(B58,'JTD Paste Data'!A:B,2,FALSE),"0")</f>
        <v>62143.1</v>
      </c>
      <c r="Q58" s="189">
        <f t="shared" si="101"/>
        <v>62143.1</v>
      </c>
      <c r="R58" s="189">
        <f>IFERROR(VLOOKUP(B58,'JTD Paste Data'!A:C,3,FALSE),"0")</f>
        <v>46128.07</v>
      </c>
      <c r="S58" s="189">
        <f t="shared" si="102"/>
        <v>46128.07</v>
      </c>
      <c r="T58" s="189">
        <f t="shared" si="103"/>
        <v>16015.029999999999</v>
      </c>
      <c r="U58" s="193">
        <f t="shared" si="104"/>
        <v>0.2577121192859706</v>
      </c>
    </row>
    <row r="59" spans="1:21" x14ac:dyDescent="0.25">
      <c r="A59" s="54" t="str">
        <f>VLOOKUP(B59,'SAP Contracts'!A:J,10,FALSE)</f>
        <v>Ezee Fiber - Janicsh Apartments</v>
      </c>
      <c r="B59" s="54">
        <f>VLOOKUP(C59,'Active North Sky Projects'!C:D,2,FALSE)</f>
        <v>21099</v>
      </c>
      <c r="C59" s="108" t="s">
        <v>934</v>
      </c>
      <c r="D59" s="225">
        <f>IFERROR(VLOOKUP(B59,'MTD Hours Paste Data'!A:C,3,FALSE),"")</f>
        <v>0</v>
      </c>
      <c r="E59" s="64">
        <f>IFERROR(VLOOKUP(B59,'ACDOCA - Paste Data'!B:G,6,FALSE),0)</f>
        <v>0</v>
      </c>
      <c r="F59" s="64">
        <f t="shared" si="98"/>
        <v>0</v>
      </c>
      <c r="G59" s="64">
        <f>IFERROR(VLOOKUP(B59,'ACDOCA - Paste Data'!B:H,7,FALSE),0)</f>
        <v>265.91000000000003</v>
      </c>
      <c r="H59" s="64">
        <f t="shared" si="99"/>
        <v>265.91000000000003</v>
      </c>
      <c r="I59" s="64">
        <f t="shared" si="100"/>
        <v>-265.91000000000003</v>
      </c>
      <c r="J59" s="65">
        <f t="shared" si="93"/>
        <v>0</v>
      </c>
      <c r="K59" s="198" t="str">
        <f>IFERROR(VLOOKUP(B59,'WIP - Paste Data'!B:E,4,FALSE),"")</f>
        <v/>
      </c>
      <c r="L59" s="64"/>
      <c r="M59" s="64"/>
      <c r="N59" s="66"/>
      <c r="O59" s="66"/>
      <c r="P59" s="189">
        <f>IFERROR(VLOOKUP(B59,'JTD Paste Data'!A:B,2,FALSE),"0")</f>
        <v>64903</v>
      </c>
      <c r="Q59" s="189">
        <f t="shared" si="101"/>
        <v>64903</v>
      </c>
      <c r="R59" s="189">
        <f>IFERROR(VLOOKUP(B59,'JTD Paste Data'!A:C,3,FALSE),"0")</f>
        <v>51073.93</v>
      </c>
      <c r="S59" s="189">
        <f t="shared" si="102"/>
        <v>51073.93</v>
      </c>
      <c r="T59" s="189">
        <f t="shared" si="103"/>
        <v>13829.07</v>
      </c>
      <c r="U59" s="193">
        <f t="shared" si="104"/>
        <v>0.21307289339475832</v>
      </c>
    </row>
    <row r="60" spans="1:21" x14ac:dyDescent="0.25">
      <c r="A60" s="54" t="str">
        <f>VLOOKUP(B60,'SAP Contracts'!A:J,10,FALSE)</f>
        <v>Ezee Fiber Texas - Mallard Creek Apts</v>
      </c>
      <c r="B60" s="54">
        <f>VLOOKUP(C60,'Active North Sky Projects'!C:D,2,FALSE)</f>
        <v>21381</v>
      </c>
      <c r="C60" s="107" t="s">
        <v>556</v>
      </c>
      <c r="D60" s="225">
        <f>IFERROR(VLOOKUP(B60,'MTD Hours Paste Data'!A:C,3,FALSE),"")</f>
        <v>0</v>
      </c>
      <c r="E60" s="64">
        <f>IFERROR(VLOOKUP(B60,'ACDOCA - Paste Data'!B:G,6,FALSE),0)</f>
        <v>0</v>
      </c>
      <c r="F60" s="64">
        <f t="shared" si="98"/>
        <v>0</v>
      </c>
      <c r="G60" s="64">
        <f>IFERROR(VLOOKUP(B60,'ACDOCA - Paste Data'!B:H,7,FALSE),0)</f>
        <v>0</v>
      </c>
      <c r="H60" s="64">
        <f t="shared" si="99"/>
        <v>0</v>
      </c>
      <c r="I60" s="64">
        <f t="shared" si="100"/>
        <v>0</v>
      </c>
      <c r="J60" s="65">
        <f t="shared" si="93"/>
        <v>0</v>
      </c>
      <c r="K60" s="198" t="str">
        <f>IFERROR(VLOOKUP(B60,'WIP - Paste Data'!B:E,4,FALSE),"")</f>
        <v/>
      </c>
      <c r="L60" s="64"/>
      <c r="M60" s="64"/>
      <c r="N60" s="66"/>
      <c r="O60" s="66"/>
      <c r="P60" s="189">
        <f>IFERROR(VLOOKUP(B60,'JTD Paste Data'!A:B,2,FALSE),"0")</f>
        <v>215058.7</v>
      </c>
      <c r="Q60" s="189">
        <f t="shared" si="101"/>
        <v>215058.7</v>
      </c>
      <c r="R60" s="189">
        <f>IFERROR(VLOOKUP(B60,'JTD Paste Data'!A:C,3,FALSE),"0")</f>
        <v>172333.21</v>
      </c>
      <c r="S60" s="189">
        <f t="shared" si="102"/>
        <v>172333.21</v>
      </c>
      <c r="T60" s="189">
        <f t="shared" si="103"/>
        <v>42725.49000000002</v>
      </c>
      <c r="U60" s="193">
        <f t="shared" si="104"/>
        <v>0.19866896805383841</v>
      </c>
    </row>
    <row r="61" spans="1:21" x14ac:dyDescent="0.25">
      <c r="A61" s="54" t="str">
        <f>VLOOKUP(B61,'SAP Contracts'!A:J,10,FALSE)</f>
        <v>Ezee Fiber-717 Lehman</v>
      </c>
      <c r="B61" s="54">
        <f>VLOOKUP(C61,'Active North Sky Projects'!C:D,2,FALSE)</f>
        <v>21078</v>
      </c>
      <c r="C61" s="107" t="s">
        <v>837</v>
      </c>
      <c r="D61" s="225">
        <f>IFERROR(VLOOKUP(B61,'MTD Hours Paste Data'!A:C,3,FALSE),"")</f>
        <v>0</v>
      </c>
      <c r="E61" s="64">
        <f>IFERROR(VLOOKUP(B61,'ACDOCA - Paste Data'!B:G,6,FALSE),0)</f>
        <v>0</v>
      </c>
      <c r="F61" s="64">
        <f t="shared" si="98"/>
        <v>0</v>
      </c>
      <c r="G61" s="64">
        <f>IFERROR(VLOOKUP(B61,'ACDOCA - Paste Data'!B:H,7,FALSE),0)</f>
        <v>-205.54</v>
      </c>
      <c r="H61" s="64">
        <f t="shared" si="99"/>
        <v>-205.54</v>
      </c>
      <c r="I61" s="64">
        <f t="shared" si="100"/>
        <v>205.54</v>
      </c>
      <c r="J61" s="65">
        <f t="shared" si="93"/>
        <v>0</v>
      </c>
      <c r="K61" s="198">
        <f>IFERROR(VLOOKUP(B61,'WIP - Paste Data'!B:E,4,FALSE),"")</f>
        <v>18410</v>
      </c>
      <c r="L61" s="64"/>
      <c r="M61" s="64"/>
      <c r="N61" s="66"/>
      <c r="O61" s="66"/>
      <c r="P61" s="189">
        <f>IFERROR(VLOOKUP(B61,'JTD Paste Data'!A:B,2,FALSE),"0")</f>
        <v>139128.07999999999</v>
      </c>
      <c r="Q61" s="189">
        <f t="shared" si="101"/>
        <v>139128.07999999999</v>
      </c>
      <c r="R61" s="189">
        <f>IFERROR(VLOOKUP(B61,'JTD Paste Data'!A:C,3,FALSE),"0")</f>
        <v>97196.53</v>
      </c>
      <c r="S61" s="189">
        <f t="shared" si="102"/>
        <v>97196.53</v>
      </c>
      <c r="T61" s="189">
        <f t="shared" si="103"/>
        <v>41931.549999999988</v>
      </c>
      <c r="U61" s="193">
        <f t="shared" si="104"/>
        <v>0.30138811661887371</v>
      </c>
    </row>
    <row r="62" spans="1:21" x14ac:dyDescent="0.25">
      <c r="A62" s="54" t="str">
        <f>VLOOKUP(B62,'SAP Contracts'!A:J,10,FALSE)</f>
        <v>Ezee Fiber-Franklin Apts</v>
      </c>
      <c r="B62" s="54">
        <f>VLOOKUP(C62,'Active North Sky Projects'!C:D,2,FALSE)</f>
        <v>21072</v>
      </c>
      <c r="C62" s="107" t="s">
        <v>905</v>
      </c>
      <c r="D62" s="225">
        <f>IFERROR(VLOOKUP(B62,'MTD Hours Paste Data'!A:C,3,FALSE),"")</f>
        <v>0</v>
      </c>
      <c r="E62" s="64">
        <f>IFERROR(VLOOKUP(B62,'ACDOCA - Paste Data'!B:G,6,FALSE),0)</f>
        <v>0</v>
      </c>
      <c r="F62" s="64">
        <f t="shared" si="98"/>
        <v>0</v>
      </c>
      <c r="G62" s="64">
        <f>IFERROR(VLOOKUP(B62,'ACDOCA - Paste Data'!B:H,7,FALSE),0)</f>
        <v>0</v>
      </c>
      <c r="H62" s="64">
        <f t="shared" si="99"/>
        <v>0</v>
      </c>
      <c r="I62" s="64">
        <f t="shared" si="100"/>
        <v>0</v>
      </c>
      <c r="J62" s="65">
        <f t="shared" si="93"/>
        <v>0</v>
      </c>
      <c r="K62" s="198" t="str">
        <f>IFERROR(VLOOKUP(B62,'WIP - Paste Data'!B:E,4,FALSE),"")</f>
        <v/>
      </c>
      <c r="L62" s="64"/>
      <c r="M62" s="64"/>
      <c r="N62" s="66"/>
      <c r="O62" s="66"/>
      <c r="P62" s="189">
        <f>IFERROR(VLOOKUP(B62,'JTD Paste Data'!A:B,2,FALSE),"0")</f>
        <v>143426.54999999999</v>
      </c>
      <c r="Q62" s="189">
        <f t="shared" si="101"/>
        <v>143426.54999999999</v>
      </c>
      <c r="R62" s="189">
        <f>IFERROR(VLOOKUP(B62,'JTD Paste Data'!A:C,3,FALSE),"0")</f>
        <v>106821.01</v>
      </c>
      <c r="S62" s="189">
        <f t="shared" si="102"/>
        <v>106821.01</v>
      </c>
      <c r="T62" s="189">
        <f t="shared" si="103"/>
        <v>36605.539999999994</v>
      </c>
      <c r="U62" s="193">
        <f t="shared" si="104"/>
        <v>0.25522150536284949</v>
      </c>
    </row>
    <row r="63" spans="1:21" x14ac:dyDescent="0.25">
      <c r="A63" s="54" t="s">
        <v>2734</v>
      </c>
      <c r="B63" s="54">
        <v>21954</v>
      </c>
      <c r="C63" s="107" t="s">
        <v>2715</v>
      </c>
      <c r="D63" s="225" t="str">
        <f>IFERROR(VLOOKUP(B63,'MTD Hours Paste Data'!A:C,3,FALSE),"")</f>
        <v/>
      </c>
      <c r="E63" s="64">
        <f>IFERROR(VLOOKUP(B63,'ACDOCA - Paste Data'!B:G,6,FALSE),0)</f>
        <v>0</v>
      </c>
      <c r="F63" s="64">
        <f t="shared" ref="F63" si="131">E63 +L63</f>
        <v>0</v>
      </c>
      <c r="G63" s="64">
        <f>IFERROR(VLOOKUP(B63,'ACDOCA - Paste Data'!B:H,7,FALSE),0)</f>
        <v>0</v>
      </c>
      <c r="H63" s="64">
        <f t="shared" ref="H63" si="132">G63+M63</f>
        <v>0</v>
      </c>
      <c r="I63" s="64">
        <f t="shared" ref="I63" si="133">F63-H63</f>
        <v>0</v>
      </c>
      <c r="J63" s="65">
        <f t="shared" ref="J63" si="134">IFERROR(I63/F63,0)</f>
        <v>0</v>
      </c>
      <c r="K63" s="198" t="str">
        <f>IFERROR(VLOOKUP(B63,'WIP - Paste Data'!B:E,4,FALSE),"")</f>
        <v/>
      </c>
      <c r="L63" s="64"/>
      <c r="M63" s="64"/>
      <c r="N63" s="66"/>
      <c r="O63" s="66"/>
      <c r="P63" s="189">
        <f>IFERROR(VLOOKUP(B63,'JTD Paste Data'!A:B,2,FALSE),"0")</f>
        <v>176310.6</v>
      </c>
      <c r="Q63" s="189">
        <f t="shared" si="101"/>
        <v>176310.6</v>
      </c>
      <c r="R63" s="189">
        <f>IFERROR(VLOOKUP(B63,'JTD Paste Data'!A:C,3,FALSE),"0")</f>
        <v>140101.37</v>
      </c>
      <c r="S63" s="189">
        <f t="shared" si="102"/>
        <v>140101.37</v>
      </c>
      <c r="T63" s="189">
        <f t="shared" si="103"/>
        <v>36209.23000000001</v>
      </c>
      <c r="U63" s="193">
        <f t="shared" si="104"/>
        <v>0.20537182676481169</v>
      </c>
    </row>
    <row r="64" spans="1:21" x14ac:dyDescent="0.25">
      <c r="A64" s="54" t="s">
        <v>2767</v>
      </c>
      <c r="B64" s="54">
        <v>22069</v>
      </c>
      <c r="C64" s="107" t="s">
        <v>2715</v>
      </c>
      <c r="D64" s="225" t="str">
        <f>IFERROR(VLOOKUP(B64,'MTD Hours Paste Data'!A:C,3,FALSE),"")</f>
        <v/>
      </c>
      <c r="E64" s="64">
        <f>IFERROR(VLOOKUP(B64,'ACDOCA - Paste Data'!B:G,6,FALSE),0)</f>
        <v>0</v>
      </c>
      <c r="F64" s="64">
        <f t="shared" ref="F64:F66" si="135">E64 +L64</f>
        <v>0</v>
      </c>
      <c r="G64" s="64">
        <f>IFERROR(VLOOKUP(B64,'ACDOCA - Paste Data'!B:H,7,FALSE),0)</f>
        <v>0</v>
      </c>
      <c r="H64" s="64">
        <f t="shared" ref="H64:H66" si="136">G64+M64</f>
        <v>0</v>
      </c>
      <c r="I64" s="64">
        <f t="shared" ref="I64:I66" si="137">F64-H64</f>
        <v>0</v>
      </c>
      <c r="J64" s="65">
        <f t="shared" ref="J64:J66" si="138">IFERROR(I64/F64,0)</f>
        <v>0</v>
      </c>
      <c r="K64" s="198">
        <f>IFERROR(VLOOKUP(B64,'WIP - Paste Data'!B:E,4,FALSE),"")</f>
        <v>80230</v>
      </c>
      <c r="L64" s="64"/>
      <c r="M64" s="64"/>
      <c r="N64" s="66"/>
      <c r="O64" s="66"/>
      <c r="P64" s="189">
        <f>IFERROR(VLOOKUP(B64,'JTD Paste Data'!A:B,2,FALSE),"0")</f>
        <v>80230</v>
      </c>
      <c r="Q64" s="189">
        <f t="shared" ref="Q64:Q66" si="139">SUM(P64+L64)</f>
        <v>80230</v>
      </c>
      <c r="R64" s="189">
        <f>IFERROR(VLOOKUP(B64,'JTD Paste Data'!A:C,3,FALSE),"0")</f>
        <v>51927.67</v>
      </c>
      <c r="S64" s="189">
        <f t="shared" ref="S64:S66" si="140">SUM(R64+M64)</f>
        <v>51927.67</v>
      </c>
      <c r="T64" s="189">
        <f t="shared" ref="T64:T66" si="141">SUM(Q64-S64)</f>
        <v>28302.33</v>
      </c>
      <c r="U64" s="193">
        <f t="shared" ref="U64:U66" si="142">IFERROR(T64/Q64,0)</f>
        <v>0.35276492583821517</v>
      </c>
    </row>
    <row r="65" spans="1:21" x14ac:dyDescent="0.25">
      <c r="A65" s="54" t="s">
        <v>2774</v>
      </c>
      <c r="B65" s="54">
        <v>21963</v>
      </c>
      <c r="C65" s="107" t="s">
        <v>2715</v>
      </c>
      <c r="D65" s="225" t="str">
        <f>IFERROR(VLOOKUP(B65,'MTD Hours Paste Data'!A:C,3,FALSE),"")</f>
        <v/>
      </c>
      <c r="E65" s="64">
        <f>IFERROR(VLOOKUP(B65,'ACDOCA - Paste Data'!B:G,6,FALSE),0)</f>
        <v>0</v>
      </c>
      <c r="F65" s="64">
        <f t="shared" ref="F65" si="143">E65 +L65</f>
        <v>0</v>
      </c>
      <c r="G65" s="64">
        <f>IFERROR(VLOOKUP(B65,'ACDOCA - Paste Data'!B:H,7,FALSE),0)</f>
        <v>0</v>
      </c>
      <c r="H65" s="64">
        <f t="shared" ref="H65" si="144">G65+M65</f>
        <v>0</v>
      </c>
      <c r="I65" s="64">
        <f t="shared" ref="I65" si="145">F65-H65</f>
        <v>0</v>
      </c>
      <c r="J65" s="65">
        <f t="shared" ref="J65" si="146">IFERROR(I65/F65,0)</f>
        <v>0</v>
      </c>
      <c r="K65" s="198">
        <f>IFERROR(VLOOKUP(B65,'WIP - Paste Data'!B:E,4,FALSE),"")</f>
        <v>146967.79999999999</v>
      </c>
      <c r="L65" s="64"/>
      <c r="M65" s="64"/>
      <c r="N65" s="66"/>
      <c r="O65" s="66"/>
      <c r="P65" s="189">
        <f>IFERROR(VLOOKUP(B65,'JTD Paste Data'!A:B,2,FALSE),"0")</f>
        <v>146967.79999999999</v>
      </c>
      <c r="Q65" s="189">
        <f t="shared" ref="Q65" si="147">SUM(P65+L65)</f>
        <v>146967.79999999999</v>
      </c>
      <c r="R65" s="189">
        <f>IFERROR(VLOOKUP(B65,'JTD Paste Data'!A:C,3,FALSE),"0")</f>
        <v>106547.66</v>
      </c>
      <c r="S65" s="189">
        <f t="shared" ref="S65" si="148">SUM(R65+M65)</f>
        <v>106547.66</v>
      </c>
      <c r="T65" s="189">
        <f t="shared" ref="T65" si="149">SUM(Q65-S65)</f>
        <v>40420.139999999985</v>
      </c>
      <c r="U65" s="193">
        <f t="shared" ref="U65" si="150">IFERROR(T65/Q65,0)</f>
        <v>0.27502718282508132</v>
      </c>
    </row>
    <row r="66" spans="1:21" x14ac:dyDescent="0.25">
      <c r="A66" s="54" t="s">
        <v>2768</v>
      </c>
      <c r="B66" s="54">
        <v>22000</v>
      </c>
      <c r="C66" s="107" t="s">
        <v>2715</v>
      </c>
      <c r="D66" s="225" t="str">
        <f>IFERROR(VLOOKUP(B66,'MTD Hours Paste Data'!A:C,3,FALSE),"")</f>
        <v/>
      </c>
      <c r="E66" s="64">
        <f>IFERROR(VLOOKUP(B66,'ACDOCA - Paste Data'!B:G,6,FALSE),0)</f>
        <v>0</v>
      </c>
      <c r="F66" s="64">
        <f t="shared" si="135"/>
        <v>0</v>
      </c>
      <c r="G66" s="64">
        <f>IFERROR(VLOOKUP(B66,'ACDOCA - Paste Data'!B:H,7,FALSE),0)</f>
        <v>0</v>
      </c>
      <c r="H66" s="64">
        <f t="shared" si="136"/>
        <v>0</v>
      </c>
      <c r="I66" s="64">
        <f t="shared" si="137"/>
        <v>0</v>
      </c>
      <c r="J66" s="65">
        <f t="shared" si="138"/>
        <v>0</v>
      </c>
      <c r="K66" s="198" t="str">
        <f>IFERROR(VLOOKUP(B66,'WIP - Paste Data'!B:E,4,FALSE),"")</f>
        <v/>
      </c>
      <c r="L66" s="64"/>
      <c r="M66" s="64"/>
      <c r="N66" s="66"/>
      <c r="O66" s="66"/>
      <c r="P66" s="189">
        <f>IFERROR(VLOOKUP(B66,'JTD Paste Data'!A:B,2,FALSE),"0")</f>
        <v>128539.8</v>
      </c>
      <c r="Q66" s="189">
        <f t="shared" si="139"/>
        <v>128539.8</v>
      </c>
      <c r="R66" s="189">
        <f>IFERROR(VLOOKUP(B66,'JTD Paste Data'!A:C,3,FALSE),"0")</f>
        <v>99392.24</v>
      </c>
      <c r="S66" s="189">
        <f t="shared" si="140"/>
        <v>99392.24</v>
      </c>
      <c r="T66" s="189">
        <f t="shared" si="141"/>
        <v>29147.559999999998</v>
      </c>
      <c r="U66" s="193">
        <f t="shared" si="142"/>
        <v>0.22675902716512705</v>
      </c>
    </row>
    <row r="67" spans="1:21" x14ac:dyDescent="0.25">
      <c r="A67" s="54" t="s">
        <v>2775</v>
      </c>
      <c r="B67" s="54">
        <v>22002</v>
      </c>
      <c r="C67" s="107" t="s">
        <v>2715</v>
      </c>
      <c r="D67" s="225" t="str">
        <f>IFERROR(VLOOKUP(B67,'MTD Hours Paste Data'!A:C,3,FALSE),"")</f>
        <v/>
      </c>
      <c r="E67" s="64">
        <f>IFERROR(VLOOKUP(B67,'ACDOCA - Paste Data'!B:G,6,FALSE),0)</f>
        <v>194446</v>
      </c>
      <c r="F67" s="64">
        <f t="shared" ref="F67" si="151">E67 +L67</f>
        <v>194446</v>
      </c>
      <c r="G67" s="64">
        <f>IFERROR(VLOOKUP(B67,'ACDOCA - Paste Data'!B:H,7,FALSE),0)</f>
        <v>139034.16</v>
      </c>
      <c r="H67" s="64">
        <f t="shared" ref="H67" si="152">G67+M67</f>
        <v>139034.16</v>
      </c>
      <c r="I67" s="64">
        <f t="shared" ref="I67" si="153">F67-H67</f>
        <v>55411.839999999997</v>
      </c>
      <c r="J67" s="65">
        <f t="shared" ref="J67" si="154">IFERROR(I67/F67,0)</f>
        <v>0.28497289735967823</v>
      </c>
      <c r="K67" s="198">
        <f>IFERROR(VLOOKUP(B67,'WIP - Paste Data'!B:E,4,FALSE),"")</f>
        <v>206747</v>
      </c>
      <c r="L67" s="64"/>
      <c r="M67" s="64"/>
      <c r="N67" s="66"/>
      <c r="O67" s="66"/>
      <c r="P67" s="189">
        <f>IFERROR(VLOOKUP(B67,'JTD Paste Data'!A:B,2,FALSE),"0")</f>
        <v>206747</v>
      </c>
      <c r="Q67" s="189">
        <f t="shared" ref="Q67" si="155">SUM(P67+L67)</f>
        <v>206747</v>
      </c>
      <c r="R67" s="189">
        <f>IFERROR(VLOOKUP(B67,'JTD Paste Data'!A:C,3,FALSE),"0")</f>
        <v>149865.82999999999</v>
      </c>
      <c r="S67" s="189">
        <f t="shared" ref="S67" si="156">SUM(R67+M67)</f>
        <v>149865.82999999999</v>
      </c>
      <c r="T67" s="189">
        <f t="shared" ref="T67" si="157">SUM(Q67-S67)</f>
        <v>56881.170000000013</v>
      </c>
      <c r="U67" s="193">
        <f t="shared" ref="U67" si="158">IFERROR(T67/Q67,0)</f>
        <v>0.27512452417689259</v>
      </c>
    </row>
    <row r="68" spans="1:21" x14ac:dyDescent="0.25">
      <c r="A68" s="54" t="str">
        <f>VLOOKUP(B68,'SAP Contracts'!A:J,10,FALSE)</f>
        <v>Google-Fiber FTTH Greenfields CO</v>
      </c>
      <c r="B68" s="54">
        <f>VLOOKUP(C68,'Active North Sky Projects'!C:D,2,FALSE)</f>
        <v>21628</v>
      </c>
      <c r="C68" s="108" t="s">
        <v>344</v>
      </c>
      <c r="D68" s="225">
        <f>IFERROR(VLOOKUP(B68,'MTD Hours Paste Data'!A:C,3,FALSE),"")</f>
        <v>0</v>
      </c>
      <c r="E68" s="64">
        <f>IFERROR(VLOOKUP(B68,'ACDOCA - Paste Data'!B:G,6,FALSE),0)</f>
        <v>2694</v>
      </c>
      <c r="F68" s="64">
        <f t="shared" si="98"/>
        <v>2694</v>
      </c>
      <c r="G68" s="64">
        <f>IFERROR(VLOOKUP(B68,'ACDOCA - Paste Data'!B:H,7,FALSE),0)</f>
        <v>330.3</v>
      </c>
      <c r="H68" s="64">
        <f t="shared" si="99"/>
        <v>330.3</v>
      </c>
      <c r="I68" s="64">
        <f t="shared" si="100"/>
        <v>2363.6999999999998</v>
      </c>
      <c r="J68" s="65">
        <f t="shared" si="93"/>
        <v>0.87739420935412016</v>
      </c>
      <c r="K68" s="198">
        <f>IFERROR(VLOOKUP(B68,'WIP - Paste Data'!B:E,4,FALSE),"")</f>
        <v>51293</v>
      </c>
      <c r="L68" s="64"/>
      <c r="M68" s="64"/>
      <c r="N68" s="66"/>
      <c r="O68" s="66"/>
      <c r="P68" s="189">
        <f>IFERROR(VLOOKUP(B68,'JTD Paste Data'!A:B,2,FALSE),"0")</f>
        <v>240683</v>
      </c>
      <c r="Q68" s="189">
        <f t="shared" si="101"/>
        <v>240683</v>
      </c>
      <c r="R68" s="189">
        <f>IFERROR(VLOOKUP(B68,'JTD Paste Data'!A:C,3,FALSE),"0")</f>
        <v>189455.12999999998</v>
      </c>
      <c r="S68" s="189">
        <f t="shared" si="102"/>
        <v>189455.12999999998</v>
      </c>
      <c r="T68" s="189">
        <f t="shared" si="103"/>
        <v>51227.870000000024</v>
      </c>
      <c r="U68" s="193">
        <f t="shared" si="104"/>
        <v>0.21284374052176525</v>
      </c>
    </row>
    <row r="69" spans="1:21" x14ac:dyDescent="0.25">
      <c r="A69" s="54" t="s">
        <v>2741</v>
      </c>
      <c r="B69" s="54">
        <v>21635</v>
      </c>
      <c r="C69" s="108">
        <v>2065003</v>
      </c>
      <c r="D69" s="225">
        <f>IFERROR(VLOOKUP(B69,'MTD Hours Paste Data'!A:C,3,FALSE),"")</f>
        <v>0</v>
      </c>
      <c r="E69" s="64">
        <f>IFERROR(VLOOKUP(B69,'ACDOCA - Paste Data'!B:G,6,FALSE),0)</f>
        <v>9255.64</v>
      </c>
      <c r="F69" s="64">
        <f t="shared" ref="F69" si="159">E69 +L69</f>
        <v>9255.64</v>
      </c>
      <c r="G69" s="64">
        <f>IFERROR(VLOOKUP(B69,'ACDOCA - Paste Data'!B:H,7,FALSE),0)</f>
        <v>8758.7000000000007</v>
      </c>
      <c r="H69" s="64">
        <f t="shared" ref="H69" si="160">G69+M69</f>
        <v>8758.7000000000007</v>
      </c>
      <c r="I69" s="64">
        <f t="shared" ref="I69" si="161">F69-H69</f>
        <v>496.93999999999869</v>
      </c>
      <c r="J69" s="65">
        <f t="shared" ref="J69" si="162">IFERROR(I69/F69,0)</f>
        <v>5.3690506545198247E-2</v>
      </c>
      <c r="K69" s="198">
        <f>IFERROR(VLOOKUP(B69,'WIP - Paste Data'!B:E,4,FALSE),"")</f>
        <v>12130.64</v>
      </c>
      <c r="L69" s="64"/>
      <c r="M69" s="64"/>
      <c r="N69" s="66"/>
      <c r="O69" s="66"/>
      <c r="P69" s="189">
        <f>IFERROR(VLOOKUP(B69,'JTD Paste Data'!A:B,2,FALSE),"0")</f>
        <v>12130.64</v>
      </c>
      <c r="Q69" s="189">
        <f t="shared" si="101"/>
        <v>12130.64</v>
      </c>
      <c r="R69" s="189">
        <f>IFERROR(VLOOKUP(B69,'JTD Paste Data'!A:C,3,FALSE),"0")</f>
        <v>8783.08</v>
      </c>
      <c r="S69" s="189">
        <f t="shared" si="102"/>
        <v>8783.08</v>
      </c>
      <c r="T69" s="189">
        <f t="shared" si="103"/>
        <v>3347.5599999999995</v>
      </c>
      <c r="U69" s="193">
        <f t="shared" si="104"/>
        <v>0.27595905904387563</v>
      </c>
    </row>
    <row r="70" spans="1:21" x14ac:dyDescent="0.25">
      <c r="A70" s="54" t="str">
        <f>VLOOKUP(B70,'SAP Contracts'!A:J,10,FALSE)</f>
        <v>Google-Fiber FTTH MDU CO</v>
      </c>
      <c r="B70" s="54">
        <f>VLOOKUP(C70,'Active North Sky Projects'!C:D,2,FALSE)</f>
        <v>21247</v>
      </c>
      <c r="C70" s="108" t="s">
        <v>177</v>
      </c>
      <c r="D70" s="225">
        <f>IFERROR(VLOOKUP(B70,'MTD Hours Paste Data'!A:C,3,FALSE),"")</f>
        <v>171.31</v>
      </c>
      <c r="E70" s="64">
        <f>IFERROR(VLOOKUP(B70,'ACDOCA - Paste Data'!B:G,6,FALSE),0)</f>
        <v>41140.44</v>
      </c>
      <c r="F70" s="64">
        <f t="shared" si="98"/>
        <v>41140.44</v>
      </c>
      <c r="G70" s="64">
        <f>IFERROR(VLOOKUP(B70,'ACDOCA - Paste Data'!B:H,7,FALSE),0)</f>
        <v>38387.96</v>
      </c>
      <c r="H70" s="64">
        <f t="shared" si="99"/>
        <v>38387.96</v>
      </c>
      <c r="I70" s="64">
        <f t="shared" si="100"/>
        <v>2752.4800000000032</v>
      </c>
      <c r="J70" s="65">
        <f t="shared" si="93"/>
        <v>6.6904486194119539E-2</v>
      </c>
      <c r="K70" s="198">
        <f>IFERROR(VLOOKUP(B70,'WIP - Paste Data'!B:E,4,FALSE),"")</f>
        <v>431858.12999999995</v>
      </c>
      <c r="L70" s="64"/>
      <c r="M70" s="64"/>
      <c r="N70" s="66"/>
      <c r="O70" s="66"/>
      <c r="P70" s="189">
        <f>IFERROR(VLOOKUP(B70,'JTD Paste Data'!A:B,2,FALSE),"0")</f>
        <v>2326600.8600000003</v>
      </c>
      <c r="Q70" s="189">
        <f t="shared" si="101"/>
        <v>2326600.8600000003</v>
      </c>
      <c r="R70" s="189">
        <f>IFERROR(VLOOKUP(B70,'JTD Paste Data'!A:C,3,FALSE),"0")</f>
        <v>2214162.85</v>
      </c>
      <c r="S70" s="189">
        <f t="shared" si="102"/>
        <v>2214162.85</v>
      </c>
      <c r="T70" s="189">
        <f t="shared" si="103"/>
        <v>112438.01000000024</v>
      </c>
      <c r="U70" s="193">
        <f t="shared" si="104"/>
        <v>4.8327159132916429E-2</v>
      </c>
    </row>
    <row r="71" spans="1:21" x14ac:dyDescent="0.25">
      <c r="A71" s="54" t="str">
        <f>VLOOKUP(B71,'SAP Contracts'!A:J,10,FALSE)</f>
        <v>Google-Fiber Greenfield TX</v>
      </c>
      <c r="B71" s="54">
        <f>VLOOKUP(C71,'Active North Sky Projects'!C:D,2,FALSE)</f>
        <v>21129</v>
      </c>
      <c r="C71" s="108" t="s">
        <v>175</v>
      </c>
      <c r="D71" s="225">
        <f>IFERROR(VLOOKUP(B71,'MTD Hours Paste Data'!A:C,3,FALSE),"")</f>
        <v>0</v>
      </c>
      <c r="E71" s="64">
        <f>IFERROR(VLOOKUP(B71,'ACDOCA - Paste Data'!B:G,6,FALSE),0)</f>
        <v>0</v>
      </c>
      <c r="F71" s="64">
        <f t="shared" si="98"/>
        <v>0</v>
      </c>
      <c r="G71" s="64">
        <f>IFERROR(VLOOKUP(B71,'ACDOCA - Paste Data'!B:H,7,FALSE),0)</f>
        <v>974.25</v>
      </c>
      <c r="H71" s="64">
        <f t="shared" si="99"/>
        <v>974.25</v>
      </c>
      <c r="I71" s="64">
        <f t="shared" si="100"/>
        <v>-974.25</v>
      </c>
      <c r="J71" s="65">
        <f t="shared" si="93"/>
        <v>0</v>
      </c>
      <c r="K71" s="198">
        <f>IFERROR(VLOOKUP(B71,'WIP - Paste Data'!B:E,4,FALSE),"")</f>
        <v>204700.40000000002</v>
      </c>
      <c r="L71" s="64"/>
      <c r="M71" s="64"/>
      <c r="N71" s="66"/>
      <c r="O71" s="66"/>
      <c r="P71" s="189">
        <f>IFERROR(VLOOKUP(B71,'JTD Paste Data'!A:B,2,FALSE),"0")</f>
        <v>516738.6</v>
      </c>
      <c r="Q71" s="189">
        <f t="shared" si="101"/>
        <v>516738.6</v>
      </c>
      <c r="R71" s="189">
        <f>IFERROR(VLOOKUP(B71,'JTD Paste Data'!A:C,3,FALSE),"0")</f>
        <v>430691.70999999996</v>
      </c>
      <c r="S71" s="189">
        <f t="shared" si="102"/>
        <v>430691.70999999996</v>
      </c>
      <c r="T71" s="189">
        <f t="shared" si="103"/>
        <v>86046.890000000014</v>
      </c>
      <c r="U71" s="193">
        <f t="shared" si="104"/>
        <v>0.16651918397425705</v>
      </c>
    </row>
    <row r="72" spans="1:21" x14ac:dyDescent="0.25">
      <c r="A72" s="54" t="str">
        <f>VLOOKUP(B72,'SAP Contracts'!A:J,10,FALSE)</f>
        <v>Google-Google Fiber MSA (AZ)</v>
      </c>
      <c r="B72" s="54">
        <f>VLOOKUP(C72,'Active North Sky Projects'!C:D,2,FALSE)</f>
        <v>21672</v>
      </c>
      <c r="C72" s="108" t="s">
        <v>959</v>
      </c>
      <c r="D72" s="225">
        <f>IFERROR(VLOOKUP(B72,'MTD Hours Paste Data'!A:C,3,FALSE),"")</f>
        <v>196.3</v>
      </c>
      <c r="E72" s="64">
        <f>IFERROR(VLOOKUP(B72,'ACDOCA - Paste Data'!B:G,6,FALSE),0)</f>
        <v>45666</v>
      </c>
      <c r="F72" s="64">
        <f t="shared" si="98"/>
        <v>45666</v>
      </c>
      <c r="G72" s="64">
        <f>IFERROR(VLOOKUP(B72,'ACDOCA - Paste Data'!B:H,7,FALSE),0)</f>
        <v>38955.29</v>
      </c>
      <c r="H72" s="64">
        <f t="shared" si="99"/>
        <v>38955.29</v>
      </c>
      <c r="I72" s="64">
        <f t="shared" si="100"/>
        <v>6710.7099999999991</v>
      </c>
      <c r="J72" s="65">
        <f t="shared" si="93"/>
        <v>0.14695199929925981</v>
      </c>
      <c r="K72" s="198">
        <f>IFERROR(VLOOKUP(B72,'WIP - Paste Data'!B:E,4,FALSE),"")</f>
        <v>581770</v>
      </c>
      <c r="L72" s="64"/>
      <c r="M72" s="64"/>
      <c r="N72" s="66"/>
      <c r="O72" s="66"/>
      <c r="P72" s="189">
        <f>IFERROR(VLOOKUP(B72,'JTD Paste Data'!A:B,2,FALSE),"0")</f>
        <v>902969</v>
      </c>
      <c r="Q72" s="189">
        <f t="shared" si="101"/>
        <v>902969</v>
      </c>
      <c r="R72" s="189">
        <f>IFERROR(VLOOKUP(B72,'JTD Paste Data'!A:C,3,FALSE),"0")</f>
        <v>849107.64</v>
      </c>
      <c r="S72" s="189">
        <f t="shared" si="102"/>
        <v>849107.64</v>
      </c>
      <c r="T72" s="189">
        <f t="shared" si="103"/>
        <v>53861.359999999986</v>
      </c>
      <c r="U72" s="193">
        <f t="shared" si="104"/>
        <v>5.9649179539939895E-2</v>
      </c>
    </row>
    <row r="73" spans="1:21" x14ac:dyDescent="0.25">
      <c r="A73" s="54" t="str">
        <f>VLOOKUP(B73,'SAP Contracts'!A:J,10,FALSE)</f>
        <v>Google-Google Fiber MSA (TX)</v>
      </c>
      <c r="B73" s="54">
        <f>VLOOKUP(C73,'Active North Sky Projects'!C:D,2,FALSE)</f>
        <v>21595</v>
      </c>
      <c r="C73" s="108" t="s">
        <v>51</v>
      </c>
      <c r="D73" s="225">
        <f>IFERROR(VLOOKUP(B73,'MTD Hours Paste Data'!A:C,3,FALSE),"")</f>
        <v>221.85</v>
      </c>
      <c r="E73" s="64">
        <f>IFERROR(VLOOKUP(B73,'ACDOCA - Paste Data'!B:G,6,FALSE),0)</f>
        <v>159793.5</v>
      </c>
      <c r="F73" s="64">
        <f t="shared" si="98"/>
        <v>159793.5</v>
      </c>
      <c r="G73" s="64">
        <f>IFERROR(VLOOKUP(B73,'ACDOCA - Paste Data'!B:H,7,FALSE),0)</f>
        <v>129416.27</v>
      </c>
      <c r="H73" s="64">
        <f t="shared" si="99"/>
        <v>129416.27</v>
      </c>
      <c r="I73" s="64">
        <f t="shared" si="100"/>
        <v>30377.229999999996</v>
      </c>
      <c r="J73" s="65">
        <f t="shared" si="93"/>
        <v>0.19010303923501265</v>
      </c>
      <c r="K73" s="198">
        <f>IFERROR(VLOOKUP(B73,'WIP - Paste Data'!B:E,4,FALSE),"")</f>
        <v>480460.1</v>
      </c>
      <c r="L73" s="64"/>
      <c r="M73" s="64"/>
      <c r="N73" s="66"/>
      <c r="O73" s="66"/>
      <c r="P73" s="189">
        <f>IFERROR(VLOOKUP(B73,'JTD Paste Data'!A:B,2,FALSE),"0")</f>
        <v>5555237.9700000007</v>
      </c>
      <c r="Q73" s="189">
        <f t="shared" si="101"/>
        <v>5555237.9700000007</v>
      </c>
      <c r="R73" s="189">
        <f>IFERROR(VLOOKUP(B73,'JTD Paste Data'!A:C,3,FALSE),"0")</f>
        <v>4896830.54</v>
      </c>
      <c r="S73" s="189">
        <f t="shared" si="102"/>
        <v>4896830.54</v>
      </c>
      <c r="T73" s="189">
        <f t="shared" si="103"/>
        <v>658407.43000000063</v>
      </c>
      <c r="U73" s="193">
        <f t="shared" si="104"/>
        <v>0.11852011264964776</v>
      </c>
    </row>
    <row r="74" spans="1:21" x14ac:dyDescent="0.25">
      <c r="A74" s="54" t="str">
        <f>VLOOKUP(B74,'SAP Contracts'!A:J,10,FALSE)</f>
        <v>Mereo 89, LLC Glenn Apts AZ</v>
      </c>
      <c r="B74" s="54">
        <v>21674</v>
      </c>
      <c r="C74" s="108">
        <v>2036021</v>
      </c>
      <c r="D74" s="225">
        <f>IFERROR(VLOOKUP(B74,'MTD Hours Paste Data'!A:C,3,FALSE),"")</f>
        <v>11.6</v>
      </c>
      <c r="E74" s="64">
        <f>IFERROR(VLOOKUP(B74,'ACDOCA - Paste Data'!B:G,6,FALSE),0)</f>
        <v>9492</v>
      </c>
      <c r="F74" s="64">
        <f t="shared" ref="F74" si="163">E74 +L74</f>
        <v>9492</v>
      </c>
      <c r="G74" s="64">
        <f>IFERROR(VLOOKUP(B74,'ACDOCA - Paste Data'!B:H,7,FALSE),0)</f>
        <v>1929.23</v>
      </c>
      <c r="H74" s="64">
        <f t="shared" ref="H74" si="164">G74+M74</f>
        <v>1929.23</v>
      </c>
      <c r="I74" s="64">
        <f t="shared" ref="I74" si="165">F74-H74</f>
        <v>7562.77</v>
      </c>
      <c r="J74" s="65">
        <f t="shared" ref="J74" si="166">IFERROR(I74/F74,0)</f>
        <v>0.7967520016856301</v>
      </c>
      <c r="K74" s="198">
        <f>IFERROR(VLOOKUP(B74,'WIP - Paste Data'!B:E,4,FALSE),"")</f>
        <v>89496</v>
      </c>
      <c r="L74" s="64"/>
      <c r="M74" s="64"/>
      <c r="N74" s="66"/>
      <c r="O74" s="66"/>
      <c r="P74" s="189">
        <f>IFERROR(VLOOKUP(B74,'JTD Paste Data'!A:B,2,FALSE),"0")</f>
        <v>89496</v>
      </c>
      <c r="Q74" s="189">
        <f t="shared" si="101"/>
        <v>89496</v>
      </c>
      <c r="R74" s="189">
        <f>IFERROR(VLOOKUP(B74,'JTD Paste Data'!A:C,3,FALSE),"0")</f>
        <v>26801.31</v>
      </c>
      <c r="S74" s="189">
        <f t="shared" si="102"/>
        <v>26801.31</v>
      </c>
      <c r="T74" s="189">
        <f t="shared" si="103"/>
        <v>62694.69</v>
      </c>
      <c r="U74" s="193">
        <f t="shared" si="104"/>
        <v>0.7005306382408153</v>
      </c>
    </row>
    <row r="75" spans="1:21" x14ac:dyDescent="0.25">
      <c r="A75" s="54" t="str">
        <f>VLOOKUP(B75,'SAP Contracts'!A:J,10,FALSE)</f>
        <v>Mereo 89, LLC AZ</v>
      </c>
      <c r="B75" s="54">
        <v>21673</v>
      </c>
      <c r="C75" s="108" t="s">
        <v>1564</v>
      </c>
      <c r="D75" s="225" t="str">
        <f>IFERROR(VLOOKUP(B75,'MTD Hours Paste Data'!A:C,3,FALSE),"")</f>
        <v/>
      </c>
      <c r="E75" s="64">
        <f>IFERROR(VLOOKUP(B75,'ACDOCA - Paste Data'!B:G,6,FALSE),0)</f>
        <v>0</v>
      </c>
      <c r="F75" s="64">
        <f t="shared" ref="F75" si="167">E75 +L75</f>
        <v>0</v>
      </c>
      <c r="G75" s="64">
        <f>IFERROR(VLOOKUP(B75,'ACDOCA - Paste Data'!B:H,7,FALSE),0)</f>
        <v>0</v>
      </c>
      <c r="H75" s="64">
        <f t="shared" ref="H75" si="168">G75+M75</f>
        <v>0</v>
      </c>
      <c r="I75" s="64">
        <f t="shared" ref="I75" si="169">F75-H75</f>
        <v>0</v>
      </c>
      <c r="J75" s="65">
        <f t="shared" ref="J75" si="170">IFERROR(I75/F75,0)</f>
        <v>0</v>
      </c>
      <c r="K75" s="198" t="str">
        <f>IFERROR(VLOOKUP(B75,'WIP - Paste Data'!B:E,4,FALSE),"")</f>
        <v/>
      </c>
      <c r="L75" s="64"/>
      <c r="M75" s="64"/>
      <c r="N75" s="66"/>
      <c r="O75" s="66"/>
      <c r="P75" s="189">
        <f>IFERROR(VLOOKUP(B75,'JTD Paste Data'!A:B,2,FALSE),"0")</f>
        <v>0</v>
      </c>
      <c r="Q75" s="189">
        <f t="shared" si="101"/>
        <v>0</v>
      </c>
      <c r="R75" s="189">
        <f>IFERROR(VLOOKUP(B75,'JTD Paste Data'!A:C,3,FALSE),"0")</f>
        <v>204.4</v>
      </c>
      <c r="S75" s="189">
        <f t="shared" si="102"/>
        <v>204.4</v>
      </c>
      <c r="T75" s="189">
        <f t="shared" si="103"/>
        <v>-204.4</v>
      </c>
      <c r="U75" s="193">
        <f t="shared" si="104"/>
        <v>0</v>
      </c>
    </row>
    <row r="76" spans="1:21" x14ac:dyDescent="0.25">
      <c r="A76" s="54" t="s">
        <v>2669</v>
      </c>
      <c r="B76" s="54">
        <v>21044</v>
      </c>
      <c r="C76" s="108" t="s">
        <v>1559</v>
      </c>
      <c r="D76" s="225">
        <f>IFERROR(VLOOKUP(B76,'MTD Hours Paste Data'!A:C,3,FALSE),"")</f>
        <v>0</v>
      </c>
      <c r="E76" s="64">
        <f>IFERROR(VLOOKUP(B76,'ACDOCA - Paste Data'!B:G,6,FALSE),0)</f>
        <v>12204</v>
      </c>
      <c r="F76" s="64">
        <f t="shared" ref="F76" si="171">E76 +L76</f>
        <v>12204</v>
      </c>
      <c r="G76" s="64">
        <f>IFERROR(VLOOKUP(B76,'ACDOCA - Paste Data'!B:H,7,FALSE),0)</f>
        <v>1293.27</v>
      </c>
      <c r="H76" s="64">
        <f t="shared" ref="H76" si="172">G76+M76</f>
        <v>1293.27</v>
      </c>
      <c r="I76" s="64">
        <f t="shared" ref="I76" si="173">F76-H76</f>
        <v>10910.73</v>
      </c>
      <c r="J76" s="65">
        <f t="shared" ref="J76" si="174">IFERROR(I76/F76,0)</f>
        <v>0.89402900688298914</v>
      </c>
      <c r="K76" s="198">
        <f>IFERROR(VLOOKUP(B76,'WIP - Paste Data'!B:E,4,FALSE),"")</f>
        <v>12204</v>
      </c>
      <c r="L76" s="64"/>
      <c r="M76" s="64"/>
      <c r="N76" s="66"/>
      <c r="O76" s="66"/>
      <c r="P76" s="189">
        <f>IFERROR(VLOOKUP(B76,'JTD Paste Data'!A:B,2,FALSE),"0")</f>
        <v>12204</v>
      </c>
      <c r="Q76" s="189">
        <f t="shared" ref="Q76" si="175">SUM(P76+L76)</f>
        <v>12204</v>
      </c>
      <c r="R76" s="189">
        <f>IFERROR(VLOOKUP(B76,'JTD Paste Data'!A:C,3,FALSE),"0")</f>
        <v>1293.27</v>
      </c>
      <c r="S76" s="189">
        <f t="shared" ref="S76" si="176">SUM(R76+M76)</f>
        <v>1293.27</v>
      </c>
      <c r="T76" s="189">
        <f t="shared" ref="T76" si="177">SUM(Q76-S76)</f>
        <v>10910.73</v>
      </c>
      <c r="U76" s="193">
        <f t="shared" ref="U76" si="178">IFERROR(T76/Q76,0)</f>
        <v>0.89402900688298914</v>
      </c>
    </row>
    <row r="77" spans="1:21" x14ac:dyDescent="0.25">
      <c r="A77" s="54" t="str">
        <f>VLOOKUP(B77,'SAP Contracts'!A:J,10,FALSE)</f>
        <v>Socket Telecom, LLC - MO (Installs)</v>
      </c>
      <c r="B77" s="54">
        <f>VLOOKUP(C77,'Active North Sky Projects'!C:D,2,FALSE)</f>
        <v>21189</v>
      </c>
      <c r="C77" s="108" t="s">
        <v>610</v>
      </c>
      <c r="D77" s="225">
        <f>IFERROR(VLOOKUP(B77,'MTD Hours Paste Data'!A:C,3,FALSE),"")</f>
        <v>293.56</v>
      </c>
      <c r="E77" s="64">
        <f>IFERROR(VLOOKUP(B77,'ACDOCA - Paste Data'!B:G,6,FALSE),0)</f>
        <v>4990.7</v>
      </c>
      <c r="F77" s="64">
        <f t="shared" si="98"/>
        <v>4990.7</v>
      </c>
      <c r="G77" s="64">
        <f>IFERROR(VLOOKUP(B77,'ACDOCA - Paste Data'!B:H,7,FALSE),0)</f>
        <v>20406.490000000002</v>
      </c>
      <c r="H77" s="64">
        <f t="shared" si="99"/>
        <v>20406.490000000002</v>
      </c>
      <c r="I77" s="64">
        <f t="shared" si="100"/>
        <v>-15415.79</v>
      </c>
      <c r="J77" s="65">
        <f t="shared" si="93"/>
        <v>-3.0889033602500655</v>
      </c>
      <c r="K77" s="198">
        <f>IFERROR(VLOOKUP(B77,'WIP - Paste Data'!B:E,4,FALSE),"")</f>
        <v>48955</v>
      </c>
      <c r="L77" s="64"/>
      <c r="M77" s="64"/>
      <c r="N77" s="66"/>
      <c r="O77" s="66"/>
      <c r="P77" s="189">
        <f>IFERROR(VLOOKUP(B77,'JTD Paste Data'!A:B,2,FALSE),"0")</f>
        <v>276545</v>
      </c>
      <c r="Q77" s="189">
        <f t="shared" si="101"/>
        <v>276545</v>
      </c>
      <c r="R77" s="189">
        <f>IFERROR(VLOOKUP(B77,'JTD Paste Data'!A:C,3,FALSE),"0")</f>
        <v>329088.45</v>
      </c>
      <c r="S77" s="189">
        <f t="shared" si="102"/>
        <v>329088.45</v>
      </c>
      <c r="T77" s="189">
        <f t="shared" si="103"/>
        <v>-52543.450000000012</v>
      </c>
      <c r="U77" s="193">
        <f t="shared" si="104"/>
        <v>-0.18999963839519793</v>
      </c>
    </row>
    <row r="78" spans="1:21" x14ac:dyDescent="0.25">
      <c r="A78" s="54" t="str">
        <f>VLOOKUP(B78,'SAP Contracts'!A:J,10,FALSE)</f>
        <v>Socket Telecom, LLC - MO (MDU)</v>
      </c>
      <c r="B78" s="54">
        <f>VLOOKUP(C78,'Active North Sky Projects'!C:D,2,FALSE)</f>
        <v>21202</v>
      </c>
      <c r="C78" s="108" t="s">
        <v>720</v>
      </c>
      <c r="D78" s="225">
        <f>IFERROR(VLOOKUP(B78,'MTD Hours Paste Data'!A:C,3,FALSE),"")</f>
        <v>127.19</v>
      </c>
      <c r="E78" s="64">
        <f>IFERROR(VLOOKUP(B78,'ACDOCA - Paste Data'!B:G,6,FALSE),0)</f>
        <v>13412.5</v>
      </c>
      <c r="F78" s="64">
        <f t="shared" si="98"/>
        <v>13412.5</v>
      </c>
      <c r="G78" s="64">
        <f>IFERROR(VLOOKUP(B78,'ACDOCA - Paste Data'!B:H,7,FALSE),0)</f>
        <v>14222.34</v>
      </c>
      <c r="H78" s="64">
        <f t="shared" si="99"/>
        <v>14222.34</v>
      </c>
      <c r="I78" s="64">
        <f t="shared" si="100"/>
        <v>-809.84000000000015</v>
      </c>
      <c r="J78" s="65">
        <f t="shared" si="93"/>
        <v>-6.037949673811744E-2</v>
      </c>
      <c r="K78" s="198">
        <f>IFERROR(VLOOKUP(B78,'WIP - Paste Data'!B:E,4,FALSE),"")</f>
        <v>129192.5</v>
      </c>
      <c r="L78" s="64"/>
      <c r="M78" s="64"/>
      <c r="N78" s="66"/>
      <c r="O78" s="66"/>
      <c r="P78" s="189">
        <f>IFERROR(VLOOKUP(B78,'JTD Paste Data'!A:B,2,FALSE),"0")</f>
        <v>1550286</v>
      </c>
      <c r="Q78" s="189">
        <f t="shared" si="101"/>
        <v>1550286</v>
      </c>
      <c r="R78" s="189">
        <f>IFERROR(VLOOKUP(B78,'JTD Paste Data'!A:C,3,FALSE),"0")</f>
        <v>1263189.5</v>
      </c>
      <c r="S78" s="189">
        <f t="shared" si="102"/>
        <v>1263189.5</v>
      </c>
      <c r="T78" s="189">
        <f t="shared" si="103"/>
        <v>287096.5</v>
      </c>
      <c r="U78" s="193">
        <f t="shared" si="104"/>
        <v>0.1851893779599377</v>
      </c>
    </row>
    <row r="79" spans="1:21" x14ac:dyDescent="0.25">
      <c r="A79" s="54" t="str">
        <f>VLOOKUP(B79,'SAP Contracts'!A:J,10,FALSE)</f>
        <v>Ubiquity Serivces-Renaissance at Stoney</v>
      </c>
      <c r="B79" s="54">
        <f>VLOOKUP(C79,'Active North Sky Projects'!C:D,2,FALSE)</f>
        <v>21477</v>
      </c>
      <c r="C79" s="107" t="s">
        <v>881</v>
      </c>
      <c r="D79" s="225" t="str">
        <f>IFERROR(VLOOKUP(B79,'MTD Hours Paste Data'!A:C,3,FALSE),"")</f>
        <v/>
      </c>
      <c r="E79" s="64">
        <f>IFERROR(VLOOKUP(B79,'ACDOCA - Paste Data'!B:G,6,FALSE),0)</f>
        <v>0</v>
      </c>
      <c r="F79" s="64">
        <f t="shared" si="98"/>
        <v>0</v>
      </c>
      <c r="G79" s="64">
        <f>IFERROR(VLOOKUP(B79,'ACDOCA - Paste Data'!B:H,7,FALSE),0)</f>
        <v>0</v>
      </c>
      <c r="H79" s="64">
        <f t="shared" si="99"/>
        <v>0</v>
      </c>
      <c r="I79" s="64">
        <f t="shared" si="100"/>
        <v>0</v>
      </c>
      <c r="J79" s="65">
        <f t="shared" si="93"/>
        <v>0</v>
      </c>
      <c r="K79" s="198" t="str">
        <f>IFERROR(VLOOKUP(B79,'WIP - Paste Data'!B:E,4,FALSE),"")</f>
        <v/>
      </c>
      <c r="L79" s="64"/>
      <c r="M79" s="64"/>
      <c r="N79" s="66"/>
      <c r="O79" s="66"/>
      <c r="P79" s="189" t="str">
        <f>IFERROR(VLOOKUP(B79,'JTD Paste Data'!A:B,2,FALSE),"0")</f>
        <v>0</v>
      </c>
      <c r="Q79" s="189">
        <f t="shared" si="101"/>
        <v>0</v>
      </c>
      <c r="R79" s="189" t="str">
        <f>IFERROR(VLOOKUP(B79,'JTD Paste Data'!A:C,3,FALSE),"0")</f>
        <v>0</v>
      </c>
      <c r="S79" s="189">
        <f t="shared" si="102"/>
        <v>0</v>
      </c>
      <c r="T79" s="189">
        <f t="shared" si="103"/>
        <v>0</v>
      </c>
      <c r="U79" s="193">
        <f t="shared" si="104"/>
        <v>0</v>
      </c>
    </row>
    <row r="80" spans="1:21" x14ac:dyDescent="0.25">
      <c r="A80" s="54" t="str">
        <f>VLOOKUP(B80,'SAP Contracts'!A:J,10,FALSE)</f>
        <v>Ubiquity Services - Bluffs at Brookside</v>
      </c>
      <c r="B80" s="54">
        <f>VLOOKUP(C80,'Active North Sky Projects'!C:D,2,FALSE)</f>
        <v>21467</v>
      </c>
      <c r="C80" s="107" t="s">
        <v>839</v>
      </c>
      <c r="D80" s="225" t="str">
        <f>IFERROR(VLOOKUP(B80,'MTD Hours Paste Data'!A:C,3,FALSE),"")</f>
        <v/>
      </c>
      <c r="E80" s="64">
        <f>IFERROR(VLOOKUP(B80,'ACDOCA - Paste Data'!B:G,6,FALSE),0)</f>
        <v>0</v>
      </c>
      <c r="F80" s="64">
        <f t="shared" si="98"/>
        <v>0</v>
      </c>
      <c r="G80" s="64">
        <f>IFERROR(VLOOKUP(B80,'ACDOCA - Paste Data'!B:H,7,FALSE),0)</f>
        <v>0</v>
      </c>
      <c r="H80" s="64">
        <f t="shared" si="99"/>
        <v>0</v>
      </c>
      <c r="I80" s="64">
        <f t="shared" si="100"/>
        <v>0</v>
      </c>
      <c r="J80" s="65">
        <f t="shared" si="93"/>
        <v>0</v>
      </c>
      <c r="K80" s="198" t="str">
        <f>IFERROR(VLOOKUP(B80,'WIP - Paste Data'!B:E,4,FALSE),"")</f>
        <v/>
      </c>
      <c r="L80" s="64"/>
      <c r="M80" s="64"/>
      <c r="N80" s="66"/>
      <c r="O80" s="66"/>
      <c r="P80" s="189" t="str">
        <f>IFERROR(VLOOKUP(B80,'JTD Paste Data'!A:B,2,FALSE),"0")</f>
        <v>0</v>
      </c>
      <c r="Q80" s="189">
        <f t="shared" si="101"/>
        <v>0</v>
      </c>
      <c r="R80" s="189" t="str">
        <f>IFERROR(VLOOKUP(B80,'JTD Paste Data'!A:C,3,FALSE),"0")</f>
        <v>0</v>
      </c>
      <c r="S80" s="189">
        <f t="shared" si="102"/>
        <v>0</v>
      </c>
      <c r="T80" s="189">
        <f t="shared" si="103"/>
        <v>0</v>
      </c>
      <c r="U80" s="193">
        <f t="shared" si="104"/>
        <v>0</v>
      </c>
    </row>
    <row r="81" spans="1:21" x14ac:dyDescent="0.25">
      <c r="A81" s="54" t="str">
        <f>VLOOKUP(B81,'SAP Contracts'!A:J,10,FALSE)</f>
        <v>Ubiquity Services-Bay Colony Apt Homes</v>
      </c>
      <c r="B81" s="54">
        <f>VLOOKUP(C81,'Active North Sky Projects'!C:D,2,FALSE)</f>
        <v>21456</v>
      </c>
      <c r="C81" s="107" t="s">
        <v>907</v>
      </c>
      <c r="D81" s="225" t="str">
        <f>IFERROR(VLOOKUP(B81,'MTD Hours Paste Data'!A:C,3,FALSE),"")</f>
        <v/>
      </c>
      <c r="E81" s="64">
        <f>IFERROR(VLOOKUP(B81,'ACDOCA - Paste Data'!B:G,6,FALSE),0)</f>
        <v>0</v>
      </c>
      <c r="F81" s="64">
        <f t="shared" si="98"/>
        <v>0</v>
      </c>
      <c r="G81" s="64">
        <f>IFERROR(VLOOKUP(B81,'ACDOCA - Paste Data'!B:H,7,FALSE),0)</f>
        <v>0</v>
      </c>
      <c r="H81" s="64">
        <f t="shared" si="99"/>
        <v>0</v>
      </c>
      <c r="I81" s="64">
        <f t="shared" si="100"/>
        <v>0</v>
      </c>
      <c r="J81" s="65">
        <f t="shared" si="93"/>
        <v>0</v>
      </c>
      <c r="K81" s="198" t="str">
        <f>IFERROR(VLOOKUP(B81,'WIP - Paste Data'!B:E,4,FALSE),"")</f>
        <v/>
      </c>
      <c r="L81" s="64"/>
      <c r="M81" s="64"/>
      <c r="N81" s="66"/>
      <c r="O81" s="66"/>
      <c r="P81" s="189" t="str">
        <f>IFERROR(VLOOKUP(B81,'JTD Paste Data'!A:B,2,FALSE),"0")</f>
        <v>0</v>
      </c>
      <c r="Q81" s="189">
        <f t="shared" si="101"/>
        <v>0</v>
      </c>
      <c r="R81" s="189" t="str">
        <f>IFERROR(VLOOKUP(B81,'JTD Paste Data'!A:C,3,FALSE),"0")</f>
        <v>0</v>
      </c>
      <c r="S81" s="189">
        <f t="shared" si="102"/>
        <v>0</v>
      </c>
      <c r="T81" s="189">
        <f t="shared" si="103"/>
        <v>0</v>
      </c>
      <c r="U81" s="193">
        <f t="shared" si="104"/>
        <v>0</v>
      </c>
    </row>
    <row r="82" spans="1:21" x14ac:dyDescent="0.25">
      <c r="A82" s="54" t="str">
        <f>VLOOKUP(B82,'SAP Contracts'!A:J,10,FALSE)</f>
        <v>Ubiquity Services-Heatherwilde Park</v>
      </c>
      <c r="B82" s="54">
        <f>VLOOKUP(C82,'Active North Sky Projects'!C:D,2,FALSE)</f>
        <v>21904</v>
      </c>
      <c r="C82" s="108" t="s">
        <v>1128</v>
      </c>
      <c r="D82" s="225" t="str">
        <f>IFERROR(VLOOKUP(B82,'MTD Hours Paste Data'!A:C,3,FALSE),"")</f>
        <v/>
      </c>
      <c r="E82" s="64">
        <f>IFERROR(VLOOKUP(B82,'ACDOCA - Paste Data'!B:G,6,FALSE),0)</f>
        <v>0</v>
      </c>
      <c r="F82" s="64">
        <f t="shared" si="98"/>
        <v>0</v>
      </c>
      <c r="G82" s="64">
        <f>IFERROR(VLOOKUP(B82,'ACDOCA - Paste Data'!B:H,7,FALSE),0)</f>
        <v>0</v>
      </c>
      <c r="H82" s="64">
        <f t="shared" si="99"/>
        <v>0</v>
      </c>
      <c r="I82" s="64">
        <f t="shared" si="100"/>
        <v>0</v>
      </c>
      <c r="J82" s="65">
        <f t="shared" si="93"/>
        <v>0</v>
      </c>
      <c r="K82" s="198">
        <f>IFERROR(VLOOKUP(B82,'WIP - Paste Data'!B:E,4,FALSE),"")</f>
        <v>7200</v>
      </c>
      <c r="L82" s="64"/>
      <c r="M82" s="64"/>
      <c r="N82" s="66"/>
      <c r="O82" s="66"/>
      <c r="P82" s="189">
        <f>IFERROR(VLOOKUP(B82,'JTD Paste Data'!A:B,2,FALSE),"0")</f>
        <v>7200</v>
      </c>
      <c r="Q82" s="189">
        <f t="shared" si="101"/>
        <v>7200</v>
      </c>
      <c r="R82" s="189">
        <f>IFERROR(VLOOKUP(B82,'JTD Paste Data'!A:C,3,FALSE),"0")</f>
        <v>9041</v>
      </c>
      <c r="S82" s="189">
        <f t="shared" si="102"/>
        <v>9041</v>
      </c>
      <c r="T82" s="189">
        <f t="shared" si="103"/>
        <v>-1841</v>
      </c>
      <c r="U82" s="193">
        <f t="shared" si="104"/>
        <v>-0.25569444444444445</v>
      </c>
    </row>
    <row r="83" spans="1:21" x14ac:dyDescent="0.25">
      <c r="A83" s="54" t="str">
        <f>VLOOKUP(B83,'SAP Contracts'!A:J,10,FALSE)</f>
        <v>Ubiquity Services-Retreat at City Center</v>
      </c>
      <c r="B83" s="54">
        <f>VLOOKUP(C83,'Active North Sky Projects'!C:D,2,FALSE)</f>
        <v>21249</v>
      </c>
      <c r="C83" s="108" t="s">
        <v>932</v>
      </c>
      <c r="D83" s="225">
        <f>IFERROR(VLOOKUP(B83,'MTD Hours Paste Data'!A:C,3,FALSE),"")</f>
        <v>0</v>
      </c>
      <c r="E83" s="64">
        <f>IFERROR(VLOOKUP(B83,'ACDOCA - Paste Data'!B:G,6,FALSE),0)</f>
        <v>0</v>
      </c>
      <c r="F83" s="64">
        <f t="shared" si="98"/>
        <v>0</v>
      </c>
      <c r="G83" s="64">
        <f>IFERROR(VLOOKUP(B83,'ACDOCA - Paste Data'!B:H,7,FALSE),0)</f>
        <v>1860</v>
      </c>
      <c r="H83" s="64">
        <f t="shared" si="99"/>
        <v>1860</v>
      </c>
      <c r="I83" s="64">
        <f t="shared" si="100"/>
        <v>-1860</v>
      </c>
      <c r="J83" s="65">
        <f t="shared" si="93"/>
        <v>0</v>
      </c>
      <c r="K83" s="198">
        <f>IFERROR(VLOOKUP(B83,'WIP - Paste Data'!B:E,4,FALSE),"")</f>
        <v>45145.5</v>
      </c>
      <c r="L83" s="64"/>
      <c r="M83" s="64"/>
      <c r="N83" s="66"/>
      <c r="O83" s="66"/>
      <c r="P83" s="189">
        <f>IFERROR(VLOOKUP(B83,'JTD Paste Data'!A:B,2,FALSE),"0")</f>
        <v>150485</v>
      </c>
      <c r="Q83" s="189">
        <f t="shared" si="101"/>
        <v>150485</v>
      </c>
      <c r="R83" s="189">
        <f>IFERROR(VLOOKUP(B83,'JTD Paste Data'!A:C,3,FALSE),"0")</f>
        <v>131070.99</v>
      </c>
      <c r="S83" s="189">
        <f t="shared" si="102"/>
        <v>131070.99</v>
      </c>
      <c r="T83" s="189">
        <f t="shared" si="103"/>
        <v>19414.009999999995</v>
      </c>
      <c r="U83" s="193">
        <f t="shared" si="104"/>
        <v>0.12900960228594208</v>
      </c>
    </row>
    <row r="84" spans="1:21" ht="15.75" thickBot="1" x14ac:dyDescent="0.3">
      <c r="A84" s="136" t="s">
        <v>628</v>
      </c>
      <c r="B84" s="137" t="s">
        <v>2701</v>
      </c>
      <c r="C84" s="137"/>
      <c r="D84" s="227"/>
      <c r="E84" s="137">
        <f>SUM(E47:E83)</f>
        <v>615293.78</v>
      </c>
      <c r="F84" s="137">
        <f>SUM(F47:F83)</f>
        <v>615293.78</v>
      </c>
      <c r="G84" s="137">
        <f>SUM(G47:G83)</f>
        <v>480267.75</v>
      </c>
      <c r="H84" s="137">
        <f>SUM(H47:H83)</f>
        <v>480267.75</v>
      </c>
      <c r="I84" s="137">
        <f>F84-H84</f>
        <v>135026.03000000003</v>
      </c>
      <c r="J84" s="138">
        <f t="shared" ref="J84" si="179">IFERROR(I84/F84,0)</f>
        <v>0.21944969117028945</v>
      </c>
      <c r="K84" s="200">
        <f>SUM(K47:K83)</f>
        <v>2708409.0700000003</v>
      </c>
      <c r="L84" s="137">
        <f>SUM(L48:L83)</f>
        <v>0</v>
      </c>
      <c r="M84" s="137">
        <f>SUM(M48:M83)</f>
        <v>0</v>
      </c>
      <c r="N84" s="137"/>
      <c r="O84" s="137"/>
      <c r="P84" s="137">
        <f>SUM(P47:P83)</f>
        <v>18616127.149999999</v>
      </c>
      <c r="Q84" s="137">
        <f>SUM(Q47:Q83)</f>
        <v>18616127.149999999</v>
      </c>
      <c r="R84" s="137">
        <f>SUM(R47:R83)</f>
        <v>15604895.76</v>
      </c>
      <c r="S84" s="137">
        <f>SUM(S47:S83)</f>
        <v>15604895.76</v>
      </c>
      <c r="T84" s="137">
        <f>SUM(T47:T83)</f>
        <v>3011231.3900000011</v>
      </c>
      <c r="U84" s="69">
        <f>IFERROR(T84/Q84,0)</f>
        <v>0.1617539118494902</v>
      </c>
    </row>
    <row r="85" spans="1:21" ht="15.75" x14ac:dyDescent="0.25">
      <c r="A85" s="124" t="s">
        <v>9</v>
      </c>
      <c r="B85" s="139"/>
      <c r="C85" s="139"/>
      <c r="D85" s="228"/>
      <c r="E85" s="139">
        <f>E45+E37+E84</f>
        <v>938832.09000000008</v>
      </c>
      <c r="F85" s="139">
        <f>F45+F37+F84</f>
        <v>938832.09000000008</v>
      </c>
      <c r="G85" s="139">
        <f>G45+G37+G84</f>
        <v>794369.75</v>
      </c>
      <c r="H85" s="139">
        <f>H45+H37+H84</f>
        <v>794369.75</v>
      </c>
      <c r="I85" s="139">
        <f>F85-H85</f>
        <v>144462.34000000008</v>
      </c>
      <c r="J85" s="140">
        <f>IFERROR(I85/F85,0)</f>
        <v>0.15387452297247325</v>
      </c>
      <c r="K85" s="201">
        <f>K45+K37+K84</f>
        <v>4949450.03</v>
      </c>
      <c r="L85" s="139">
        <f>L45+L37+L84</f>
        <v>0</v>
      </c>
      <c r="M85" s="139">
        <f>M45+M37+M84</f>
        <v>0</v>
      </c>
      <c r="N85" s="139"/>
      <c r="O85" s="139"/>
      <c r="P85" s="139"/>
      <c r="Q85" s="139"/>
      <c r="R85" s="139"/>
      <c r="S85" s="139"/>
      <c r="T85" s="139"/>
      <c r="U85" s="139"/>
    </row>
    <row r="86" spans="1:21" ht="15" x14ac:dyDescent="0.25">
      <c r="A86" s="17" t="s">
        <v>2973</v>
      </c>
      <c r="B86" s="16"/>
      <c r="C86" s="16"/>
      <c r="D86" s="229"/>
      <c r="E86" s="18"/>
      <c r="F86" s="19">
        <v>1850000</v>
      </c>
      <c r="G86" s="16"/>
      <c r="H86" s="16"/>
      <c r="I86" s="19">
        <v>315320</v>
      </c>
      <c r="J86" s="28">
        <v>0.15</v>
      </c>
      <c r="K86" s="202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ht="14.25" x14ac:dyDescent="0.25">
      <c r="A87" s="125" t="s">
        <v>4759</v>
      </c>
      <c r="B87" s="16"/>
      <c r="C87" s="16"/>
      <c r="D87" s="229"/>
      <c r="E87" s="18"/>
      <c r="F87" s="31">
        <f>IFERROR(F85/F86,0)</f>
        <v>0.50747680540540541</v>
      </c>
      <c r="G87" s="32"/>
      <c r="H87" s="32"/>
      <c r="I87" s="31">
        <f>IFERROR(I85/I86,0)</f>
        <v>0.45814518584295344</v>
      </c>
      <c r="J87" s="16"/>
      <c r="K87" s="203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15.75" thickBot="1" x14ac:dyDescent="0.3">
      <c r="A88" s="17"/>
      <c r="B88" s="16"/>
      <c r="C88" s="16"/>
      <c r="D88" s="229"/>
      <c r="E88" s="18"/>
      <c r="F88" s="31"/>
      <c r="G88" s="32"/>
      <c r="H88" s="32"/>
      <c r="I88" s="31"/>
      <c r="J88" s="16"/>
      <c r="K88" s="203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s="57" customFormat="1" ht="15.75" thickTop="1" thickBot="1" x14ac:dyDescent="0.3">
      <c r="A89" s="37" t="s">
        <v>1056</v>
      </c>
      <c r="B89" s="37"/>
      <c r="C89" s="37"/>
      <c r="D89" s="223"/>
      <c r="E89" s="39"/>
      <c r="F89" s="39"/>
      <c r="G89" s="38"/>
      <c r="H89" s="38"/>
      <c r="I89" s="38"/>
      <c r="J89" s="38"/>
      <c r="K89" s="196"/>
      <c r="L89" s="38"/>
      <c r="M89" s="38"/>
      <c r="N89" s="38"/>
      <c r="O89" s="38"/>
      <c r="P89" s="38"/>
      <c r="Q89" s="38"/>
      <c r="R89" s="38"/>
      <c r="S89" s="38"/>
      <c r="T89" s="38"/>
      <c r="U89" s="38"/>
    </row>
    <row r="90" spans="1:21" s="57" customFormat="1" ht="15.75" thickTop="1" thickBot="1" x14ac:dyDescent="0.3">
      <c r="A90" s="130" t="s">
        <v>2736</v>
      </c>
      <c r="B90" s="127"/>
      <c r="C90" s="127"/>
      <c r="D90" s="230"/>
      <c r="E90" s="128"/>
      <c r="F90" s="128"/>
      <c r="G90" s="129"/>
      <c r="H90" s="129"/>
      <c r="I90" s="129"/>
      <c r="J90" s="129"/>
      <c r="K90" s="204"/>
      <c r="L90" s="129"/>
      <c r="M90" s="129"/>
      <c r="N90" s="129"/>
      <c r="O90" s="129"/>
      <c r="P90" s="129"/>
      <c r="Q90" s="129"/>
      <c r="R90" s="129"/>
      <c r="S90" s="129"/>
      <c r="T90" s="129"/>
      <c r="U90" s="129"/>
    </row>
    <row r="91" spans="1:21" ht="14.25" x14ac:dyDescent="0.25">
      <c r="A91" s="111" t="s">
        <v>773</v>
      </c>
      <c r="B91" s="111"/>
      <c r="C91" s="111"/>
      <c r="D91" s="231"/>
      <c r="F91" s="73"/>
      <c r="H91" s="73"/>
      <c r="I91" s="73"/>
      <c r="J91" s="74"/>
      <c r="K91" s="205"/>
      <c r="N91" s="66"/>
      <c r="O91" s="66"/>
      <c r="P91" s="66"/>
      <c r="Q91" s="66"/>
      <c r="R91" s="66"/>
      <c r="S91" s="66"/>
      <c r="T91" s="66"/>
      <c r="U91" s="66"/>
    </row>
    <row r="92" spans="1:21" x14ac:dyDescent="0.25">
      <c r="A92" s="54" t="str">
        <f>VLOOKUP(B92,'SAP Contracts'!A:J,10,FALSE)</f>
        <v>Lumen-Consumer NE WA (2022-25)</v>
      </c>
      <c r="B92" s="54">
        <f>VLOOKUP(C92,'Active North Sky Projects'!C:D,2,FALSE)</f>
        <v>21651</v>
      </c>
      <c r="C92" s="108" t="s">
        <v>39</v>
      </c>
      <c r="D92" s="225">
        <f>IFERROR(VLOOKUP(B92,'MTD Hours Paste Data'!A:C,3,FALSE),"")</f>
        <v>141.91999999999999</v>
      </c>
      <c r="E92" s="64">
        <f>IFERROR(VLOOKUP(B92,'ACDOCA - Paste Data'!B:G,6,FALSE),0)</f>
        <v>25914.38</v>
      </c>
      <c r="F92" s="64">
        <f t="shared" ref="F92" si="180">E92 +L92</f>
        <v>25914.38</v>
      </c>
      <c r="G92" s="64">
        <f>IFERROR(VLOOKUP(B92,'ACDOCA - Paste Data'!B:H,7,FALSE),0)</f>
        <v>21140.400000000001</v>
      </c>
      <c r="H92" s="64">
        <f t="shared" ref="H92" si="181">G92+M92</f>
        <v>21140.400000000001</v>
      </c>
      <c r="I92" s="64">
        <f t="shared" ref="I92" si="182">F92-H92</f>
        <v>4773.9799999999996</v>
      </c>
      <c r="J92" s="65">
        <f t="shared" ref="J92:J98" si="183">IFERROR(I92/F92,0)</f>
        <v>0.18422127019824511</v>
      </c>
      <c r="K92" s="198">
        <f>IFERROR(VLOOKUP(B92,'WIP - Paste Data'!B:E,4,FALSE),"")</f>
        <v>475565.31000000006</v>
      </c>
      <c r="L92" s="64"/>
      <c r="M92" s="64"/>
      <c r="N92" s="66"/>
      <c r="O92" s="66"/>
      <c r="P92" s="189">
        <f>IFERROR(VLOOKUP(B92,'JTD Paste Data'!A:B,2,FALSE),"0")</f>
        <v>8902342.0700000003</v>
      </c>
      <c r="Q92" s="189">
        <f t="shared" ref="Q92:Q98" si="184">SUM(P92+L92)</f>
        <v>8902342.0700000003</v>
      </c>
      <c r="R92" s="189">
        <f>IFERROR(VLOOKUP(B92,'JTD Paste Data'!A:C,3,FALSE),"0")</f>
        <v>8755043.5799999982</v>
      </c>
      <c r="S92" s="189">
        <f t="shared" ref="S92:S98" si="185">SUM(R92+M92)</f>
        <v>8755043.5799999982</v>
      </c>
      <c r="T92" s="189">
        <f t="shared" ref="T92" si="186">SUM(Q92-S92)</f>
        <v>147298.49000000209</v>
      </c>
      <c r="U92" s="193">
        <f t="shared" ref="U92" si="187">IFERROR(T92/Q92,0)</f>
        <v>1.6546037979868602E-2</v>
      </c>
    </row>
    <row r="93" spans="1:21" x14ac:dyDescent="0.25">
      <c r="A93" s="54" t="str">
        <f>VLOOKUP(B93,'SAP Contracts'!A:J,10,FALSE)</f>
        <v>Lumen - Northeast WA Consumer (2026-28)</v>
      </c>
      <c r="B93" s="54">
        <f>VLOOKUP(C93,'Active North Sky Projects'!C:D,2,FALSE)</f>
        <v>21300</v>
      </c>
      <c r="C93" s="107" t="s">
        <v>989</v>
      </c>
      <c r="D93" s="225">
        <f>IFERROR(VLOOKUP(B93,'MTD Hours Paste Data'!A:C,3,FALSE),"")</f>
        <v>1029.08</v>
      </c>
      <c r="E93" s="64">
        <f>IFERROR(VLOOKUP(B93,'ACDOCA - Paste Data'!B:G,6,FALSE),0)</f>
        <v>146685.94</v>
      </c>
      <c r="F93" s="64">
        <f t="shared" ref="F93:F98" si="188">E93 +L93</f>
        <v>146685.94</v>
      </c>
      <c r="G93" s="64">
        <f>IFERROR(VLOOKUP(B93,'ACDOCA - Paste Data'!B:H,7,FALSE),0)</f>
        <v>151894.35999999999</v>
      </c>
      <c r="H93" s="64">
        <f t="shared" ref="H93:H98" si="189">G93+M93</f>
        <v>151894.35999999999</v>
      </c>
      <c r="I93" s="64">
        <f t="shared" ref="I93:I98" si="190">F93-H93</f>
        <v>-5208.4199999999837</v>
      </c>
      <c r="J93" s="65">
        <f t="shared" si="183"/>
        <v>-3.5507288564943465E-2</v>
      </c>
      <c r="K93" s="198">
        <f>IFERROR(VLOOKUP(B93,'WIP - Paste Data'!B:E,4,FALSE),"")</f>
        <v>926118.98999999987</v>
      </c>
      <c r="L93" s="64"/>
      <c r="M93" s="64"/>
      <c r="N93" s="66"/>
      <c r="O93" s="66"/>
      <c r="P93" s="189">
        <f>IFERROR(VLOOKUP(B93,'JTD Paste Data'!A:B,2,FALSE),"0")</f>
        <v>1139669.79</v>
      </c>
      <c r="Q93" s="189">
        <f t="shared" si="184"/>
        <v>1139669.79</v>
      </c>
      <c r="R93" s="189">
        <f>IFERROR(VLOOKUP(B93,'JTD Paste Data'!A:C,3,FALSE),"0")</f>
        <v>1060602.4000000001</v>
      </c>
      <c r="S93" s="189">
        <f t="shared" si="185"/>
        <v>1060602.4000000001</v>
      </c>
      <c r="T93" s="189">
        <f t="shared" ref="T93:T105" si="191">SUM(Q93-S93)</f>
        <v>79067.389999999898</v>
      </c>
      <c r="U93" s="193">
        <f t="shared" ref="U93:U105" si="192">IFERROR(T93/Q93,0)</f>
        <v>6.9377455376789354E-2</v>
      </c>
    </row>
    <row r="94" spans="1:21" x14ac:dyDescent="0.25">
      <c r="A94" s="54" t="str">
        <f>VLOOKUP(B94,'SAP Contracts'!A:J,10,FALSE)</f>
        <v>Lumen-2023 San Juans Consumer</v>
      </c>
      <c r="B94" s="54">
        <f>VLOOKUP(C94,'Active North Sky Projects'!C:D,2,FALSE)</f>
        <v>21309</v>
      </c>
      <c r="C94" s="108" t="s">
        <v>34</v>
      </c>
      <c r="D94" s="225">
        <f>IFERROR(VLOOKUP(B94,'MTD Hours Paste Data'!A:C,3,FALSE),"")</f>
        <v>0</v>
      </c>
      <c r="E94" s="64">
        <f>IFERROR(VLOOKUP(B94,'ACDOCA - Paste Data'!B:G,6,FALSE),0)</f>
        <v>0</v>
      </c>
      <c r="F94" s="64">
        <f t="shared" si="188"/>
        <v>0</v>
      </c>
      <c r="G94" s="64">
        <f>IFERROR(VLOOKUP(B94,'ACDOCA - Paste Data'!B:H,7,FALSE),0)</f>
        <v>145.94999999999999</v>
      </c>
      <c r="H94" s="64">
        <f t="shared" si="189"/>
        <v>145.94999999999999</v>
      </c>
      <c r="I94" s="64">
        <f t="shared" si="190"/>
        <v>-145.94999999999999</v>
      </c>
      <c r="J94" s="65">
        <f t="shared" si="183"/>
        <v>0</v>
      </c>
      <c r="K94" s="198">
        <f>IFERROR(VLOOKUP(B94,'WIP - Paste Data'!B:E,4,FALSE),"")</f>
        <v>17348.690000000002</v>
      </c>
      <c r="L94" s="64"/>
      <c r="M94" s="64"/>
      <c r="N94" s="66"/>
      <c r="O94" s="66"/>
      <c r="P94" s="189">
        <f>IFERROR(VLOOKUP(B94,'JTD Paste Data'!A:B,2,FALSE),"0")</f>
        <v>337069.47</v>
      </c>
      <c r="Q94" s="189">
        <f t="shared" si="184"/>
        <v>337069.47</v>
      </c>
      <c r="R94" s="189">
        <f>IFERROR(VLOOKUP(B94,'JTD Paste Data'!A:C,3,FALSE),"0")</f>
        <v>256091.34</v>
      </c>
      <c r="S94" s="189">
        <f t="shared" si="185"/>
        <v>256091.34</v>
      </c>
      <c r="T94" s="189">
        <f t="shared" si="191"/>
        <v>80978.129999999976</v>
      </c>
      <c r="U94" s="193">
        <f t="shared" si="192"/>
        <v>0.24024166294265684</v>
      </c>
    </row>
    <row r="95" spans="1:21" x14ac:dyDescent="0.25">
      <c r="A95" s="54" t="str">
        <f>VLOOKUP(B95,'SAP Contracts'!A:J,10,FALSE)</f>
        <v>Lumen - San Juans WA Consumer (2026-28)</v>
      </c>
      <c r="B95" s="54">
        <f>VLOOKUP(C95,'Active North Sky Projects'!C:D,2,FALSE)</f>
        <v>21642</v>
      </c>
      <c r="C95" s="107" t="s">
        <v>1108</v>
      </c>
      <c r="D95" s="225">
        <f>IFERROR(VLOOKUP(B95,'MTD Hours Paste Data'!A:C,3,FALSE),"")</f>
        <v>0</v>
      </c>
      <c r="E95" s="64">
        <f>IFERROR(VLOOKUP(B95,'ACDOCA - Paste Data'!B:G,6,FALSE),0)</f>
        <v>0</v>
      </c>
      <c r="F95" s="64">
        <f t="shared" si="188"/>
        <v>0</v>
      </c>
      <c r="G95" s="64">
        <f>IFERROR(VLOOKUP(B95,'ACDOCA - Paste Data'!B:H,7,FALSE),0)</f>
        <v>0</v>
      </c>
      <c r="H95" s="64">
        <f t="shared" si="189"/>
        <v>0</v>
      </c>
      <c r="I95" s="64">
        <f t="shared" si="190"/>
        <v>0</v>
      </c>
      <c r="J95" s="65">
        <f t="shared" si="183"/>
        <v>0</v>
      </c>
      <c r="K95" s="198">
        <f>IFERROR(VLOOKUP(B95,'WIP - Paste Data'!B:E,4,FALSE),"")</f>
        <v>962.74</v>
      </c>
      <c r="L95" s="64"/>
      <c r="M95" s="64"/>
      <c r="N95" s="66"/>
      <c r="O95" s="66"/>
      <c r="P95" s="189">
        <f>IFERROR(VLOOKUP(B95,'JTD Paste Data'!A:B,2,FALSE),"0")</f>
        <v>962.74</v>
      </c>
      <c r="Q95" s="189">
        <f t="shared" si="184"/>
        <v>962.74</v>
      </c>
      <c r="R95" s="189">
        <f>IFERROR(VLOOKUP(B95,'JTD Paste Data'!A:C,3,FALSE),"0")</f>
        <v>3209.37</v>
      </c>
      <c r="S95" s="189">
        <f t="shared" si="185"/>
        <v>3209.37</v>
      </c>
      <c r="T95" s="189">
        <f t="shared" si="191"/>
        <v>-2246.63</v>
      </c>
      <c r="U95" s="193">
        <f t="shared" si="192"/>
        <v>-2.3335791594823112</v>
      </c>
    </row>
    <row r="96" spans="1:21" x14ac:dyDescent="0.25">
      <c r="A96" s="54" t="str">
        <f>VLOOKUP(B96,'SAP Contracts'!A:J,10,FALSE)</f>
        <v>Lumen-2023 WA Consumer</v>
      </c>
      <c r="B96" s="54">
        <f>VLOOKUP(C96,'Active North Sky Projects'!C:D,2,FALSE)</f>
        <v>21310</v>
      </c>
      <c r="C96" s="108" t="s">
        <v>35</v>
      </c>
      <c r="D96" s="225">
        <f>IFERROR(VLOOKUP(B96,'MTD Hours Paste Data'!A:C,3,FALSE),"")</f>
        <v>355.18</v>
      </c>
      <c r="E96" s="64">
        <f>IFERROR(VLOOKUP(B96,'ACDOCA - Paste Data'!B:G,6,FALSE),0)</f>
        <v>208669.69</v>
      </c>
      <c r="F96" s="64">
        <f t="shared" si="188"/>
        <v>208669.69</v>
      </c>
      <c r="G96" s="64">
        <f>IFERROR(VLOOKUP(B96,'ACDOCA - Paste Data'!B:H,7,FALSE),0)</f>
        <v>151348.5</v>
      </c>
      <c r="H96" s="64">
        <f t="shared" si="189"/>
        <v>151348.5</v>
      </c>
      <c r="I96" s="64">
        <f t="shared" si="190"/>
        <v>57321.19</v>
      </c>
      <c r="J96" s="65">
        <f t="shared" si="183"/>
        <v>0.27469820844608528</v>
      </c>
      <c r="K96" s="198">
        <f>IFERROR(VLOOKUP(B96,'WIP - Paste Data'!B:E,4,FALSE),"")</f>
        <v>9340613.7000000011</v>
      </c>
      <c r="L96" s="64"/>
      <c r="M96" s="64"/>
      <c r="N96" s="66"/>
      <c r="O96" s="66"/>
      <c r="P96" s="189">
        <f>IFERROR(VLOOKUP(B96,'JTD Paste Data'!A:B,2,FALSE),"0")</f>
        <v>60179588.839999996</v>
      </c>
      <c r="Q96" s="189">
        <f t="shared" si="184"/>
        <v>60179588.839999996</v>
      </c>
      <c r="R96" s="189">
        <f>IFERROR(VLOOKUP(B96,'JTD Paste Data'!A:C,3,FALSE),"0")</f>
        <v>58374112.710000001</v>
      </c>
      <c r="S96" s="189">
        <f t="shared" si="185"/>
        <v>58374112.710000001</v>
      </c>
      <c r="T96" s="189">
        <f t="shared" si="191"/>
        <v>1805476.1299999952</v>
      </c>
      <c r="U96" s="193">
        <f t="shared" si="192"/>
        <v>3.0001470013366668E-2</v>
      </c>
    </row>
    <row r="97" spans="1:21" x14ac:dyDescent="0.25">
      <c r="A97" s="54" t="str">
        <f>VLOOKUP(B97,'SAP Contracts'!A:J,10,FALSE)</f>
        <v>Lumen -  West WA Consumer (2026-28)</v>
      </c>
      <c r="B97" s="54">
        <f>VLOOKUP(C97,'Active North Sky Projects'!C:D,2,FALSE)</f>
        <v>21666</v>
      </c>
      <c r="C97" s="107" t="s">
        <v>990</v>
      </c>
      <c r="D97" s="225">
        <f>IFERROR(VLOOKUP(B97,'MTD Hours Paste Data'!A:C,3,FALSE),"")</f>
        <v>2047.72</v>
      </c>
      <c r="E97" s="64">
        <f>IFERROR(VLOOKUP(B97,'ACDOCA - Paste Data'!B:G,6,FALSE),0)</f>
        <v>865935.83</v>
      </c>
      <c r="F97" s="64">
        <f t="shared" si="188"/>
        <v>865935.83</v>
      </c>
      <c r="G97" s="64">
        <f>IFERROR(VLOOKUP(B97,'ACDOCA - Paste Data'!B:H,7,FALSE),0)</f>
        <v>856676.49</v>
      </c>
      <c r="H97" s="64">
        <f t="shared" si="189"/>
        <v>856676.49</v>
      </c>
      <c r="I97" s="64">
        <f t="shared" si="190"/>
        <v>9259.3399999999674</v>
      </c>
      <c r="J97" s="65">
        <f t="shared" si="183"/>
        <v>1.069287085626191E-2</v>
      </c>
      <c r="K97" s="198">
        <f>IFERROR(VLOOKUP(B97,'WIP - Paste Data'!B:E,4,FALSE),"")</f>
        <v>5221154.05</v>
      </c>
      <c r="L97" s="64"/>
      <c r="M97" s="64"/>
      <c r="N97" s="66"/>
      <c r="O97" s="66"/>
      <c r="P97" s="189">
        <f>IFERROR(VLOOKUP(B97,'JTD Paste Data'!A:B,2,FALSE),"0")</f>
        <v>6240379.2799999993</v>
      </c>
      <c r="Q97" s="189">
        <f t="shared" si="184"/>
        <v>6240379.2799999993</v>
      </c>
      <c r="R97" s="189">
        <f>IFERROR(VLOOKUP(B97,'JTD Paste Data'!A:C,3,FALSE),"0")</f>
        <v>6022624.6499999994</v>
      </c>
      <c r="S97" s="189">
        <f t="shared" si="185"/>
        <v>6022624.6499999994</v>
      </c>
      <c r="T97" s="189">
        <f t="shared" si="191"/>
        <v>217754.62999999989</v>
      </c>
      <c r="U97" s="193">
        <f t="shared" si="192"/>
        <v>3.4894454363998198E-2</v>
      </c>
    </row>
    <row r="98" spans="1:21" x14ac:dyDescent="0.25">
      <c r="A98" s="54" t="str">
        <f>VLOOKUP(B98,'SAP Contracts'!A:J,10,FALSE)</f>
        <v>Lumen - West WA Drops (2026-28)</v>
      </c>
      <c r="B98" s="54">
        <f>VLOOKUP(C98,'Active North Sky Projects'!C:D,2,FALSE)</f>
        <v>21301</v>
      </c>
      <c r="C98" s="107" t="s">
        <v>1028</v>
      </c>
      <c r="D98" s="225">
        <f>IFERROR(VLOOKUP(B98,'MTD Hours Paste Data'!A:C,3,FALSE),"")</f>
        <v>229.31</v>
      </c>
      <c r="E98" s="64">
        <f>IFERROR(VLOOKUP(B98,'ACDOCA - Paste Data'!B:G,6,FALSE),0)</f>
        <v>41057.08</v>
      </c>
      <c r="F98" s="64">
        <f t="shared" si="188"/>
        <v>41057.08</v>
      </c>
      <c r="G98" s="64">
        <f>IFERROR(VLOOKUP(B98,'ACDOCA - Paste Data'!B:H,7,FALSE),0)</f>
        <v>36749.82</v>
      </c>
      <c r="H98" s="64">
        <f t="shared" si="189"/>
        <v>36749.82</v>
      </c>
      <c r="I98" s="64">
        <f t="shared" si="190"/>
        <v>4307.260000000002</v>
      </c>
      <c r="J98" s="65">
        <f t="shared" si="183"/>
        <v>0.10490906805842018</v>
      </c>
      <c r="K98" s="198">
        <f>IFERROR(VLOOKUP(B98,'WIP - Paste Data'!B:E,4,FALSE),"")</f>
        <v>111518.86999999998</v>
      </c>
      <c r="L98" s="64"/>
      <c r="M98" s="64"/>
      <c r="N98" s="66"/>
      <c r="O98" s="66"/>
      <c r="P98" s="189">
        <f>IFERROR(VLOOKUP(B98,'JTD Paste Data'!A:B,2,FALSE),"0")</f>
        <v>138474.53</v>
      </c>
      <c r="Q98" s="189">
        <f t="shared" si="184"/>
        <v>138474.53</v>
      </c>
      <c r="R98" s="189">
        <f>IFERROR(VLOOKUP(B98,'JTD Paste Data'!A:C,3,FALSE),"0")</f>
        <v>164993.97</v>
      </c>
      <c r="S98" s="189">
        <f t="shared" si="185"/>
        <v>164993.97</v>
      </c>
      <c r="T98" s="189">
        <f t="shared" si="191"/>
        <v>-26519.440000000002</v>
      </c>
      <c r="U98" s="193">
        <f t="shared" si="192"/>
        <v>-0.1915113198073321</v>
      </c>
    </row>
    <row r="99" spans="1:21" x14ac:dyDescent="0.25">
      <c r="A99" s="111" t="s">
        <v>772</v>
      </c>
      <c r="B99" s="111"/>
      <c r="C99" s="111"/>
      <c r="E99" s="64"/>
      <c r="F99" s="64"/>
      <c r="G99" s="64">
        <f>IFERROR(VLOOKUP(B99,'ACDOCA - Paste Data'!B:H,7,FALSE),0)</f>
        <v>0</v>
      </c>
      <c r="H99" s="64"/>
      <c r="I99" s="64"/>
      <c r="J99" s="65"/>
      <c r="K99" s="198"/>
      <c r="L99" s="64"/>
      <c r="M99" s="64"/>
      <c r="N99" s="66"/>
      <c r="O99" s="66"/>
      <c r="P99" s="66"/>
      <c r="Q99" s="66"/>
      <c r="R99" s="66"/>
      <c r="S99" s="66"/>
      <c r="T99" s="189">
        <f t="shared" si="191"/>
        <v>0</v>
      </c>
      <c r="U99" s="193">
        <f t="shared" si="192"/>
        <v>0</v>
      </c>
    </row>
    <row r="100" spans="1:21" x14ac:dyDescent="0.25">
      <c r="A100" s="54" t="str">
        <f>VLOOKUP(B100,'SAP Contracts'!A:J,10,FALSE)</f>
        <v>Lumen - 2025LE000148 Fiber Overbuild</v>
      </c>
      <c r="B100" s="54">
        <f>VLOOKUP(C100,'Active North Sky Projects'!C:D,2,FALSE)</f>
        <v>21677</v>
      </c>
      <c r="C100" s="107" t="s">
        <v>564</v>
      </c>
      <c r="D100" s="225">
        <f>IFERROR(VLOOKUP(B100,'MTD Hours Paste Data'!A:C,3,FALSE),"")</f>
        <v>177.15</v>
      </c>
      <c r="E100" s="64">
        <f>IFERROR(VLOOKUP(B100,'ACDOCA - Paste Data'!B:G,6,FALSE),0)</f>
        <v>231120.22</v>
      </c>
      <c r="F100" s="64">
        <f t="shared" ref="F100" si="193">E100 +L100</f>
        <v>231120.22</v>
      </c>
      <c r="G100" s="64">
        <f>IFERROR(VLOOKUP(B100,'ACDOCA - Paste Data'!B:H,7,FALSE),0)</f>
        <v>168665.32</v>
      </c>
      <c r="H100" s="64">
        <f t="shared" ref="H100" si="194">G100+M100</f>
        <v>168665.32</v>
      </c>
      <c r="I100" s="64">
        <f t="shared" ref="I100" si="195">F100-H100</f>
        <v>62454.899999999994</v>
      </c>
      <c r="J100" s="65">
        <f t="shared" ref="J100:J105" si="196">IFERROR(I100/F100,0)</f>
        <v>0.2702268974994918</v>
      </c>
      <c r="K100" s="198">
        <f>IFERROR(VLOOKUP(B100,'WIP - Paste Data'!B:E,4,FALSE),"")</f>
        <v>4200144.45</v>
      </c>
      <c r="L100" s="64"/>
      <c r="M100" s="64"/>
      <c r="N100" s="66"/>
      <c r="O100" s="66"/>
      <c r="P100" s="189">
        <f>IFERROR(VLOOKUP(B100,'JTD Paste Data'!A:B,2,FALSE),"0")</f>
        <v>5115309.96</v>
      </c>
      <c r="Q100" s="189">
        <f t="shared" ref="Q100:Q105" si="197">SUM(P100+L100)</f>
        <v>5115309.96</v>
      </c>
      <c r="R100" s="189">
        <f>IFERROR(VLOOKUP(B100,'JTD Paste Data'!A:C,3,FALSE),"0")</f>
        <v>4101468.58</v>
      </c>
      <c r="S100" s="189">
        <f t="shared" ref="S100:S105" si="198">SUM(R100+M100)</f>
        <v>4101468.58</v>
      </c>
      <c r="T100" s="189">
        <f t="shared" si="191"/>
        <v>1013841.3799999999</v>
      </c>
      <c r="U100" s="193">
        <f t="shared" si="192"/>
        <v>0.19819744803890629</v>
      </c>
    </row>
    <row r="101" spans="1:21" x14ac:dyDescent="0.25">
      <c r="A101" s="54" t="str">
        <f>VLOOKUP(B101,'SAP Contracts'!A:J,10,FALSE)</f>
        <v>Lumen-2023LE000081 Fiber Overbuild</v>
      </c>
      <c r="B101" s="54">
        <f>VLOOKUP(C101,'Active North Sky Projects'!C:D,2,FALSE)</f>
        <v>21302</v>
      </c>
      <c r="C101" s="107" t="s">
        <v>33</v>
      </c>
      <c r="D101" s="225" t="str">
        <f>IFERROR(VLOOKUP(B101,'MTD Hours Paste Data'!A:C,3,FALSE),"")</f>
        <v/>
      </c>
      <c r="E101" s="64">
        <f>IFERROR(VLOOKUP(B101,'ACDOCA - Paste Data'!B:G,6,FALSE),0)</f>
        <v>0</v>
      </c>
      <c r="F101" s="64">
        <f t="shared" ref="F101:F105" si="199">E101 +L101</f>
        <v>0</v>
      </c>
      <c r="G101" s="64">
        <f>IFERROR(VLOOKUP(B101,'ACDOCA - Paste Data'!B:H,7,FALSE),0)</f>
        <v>0</v>
      </c>
      <c r="H101" s="64">
        <f t="shared" ref="H101:H105" si="200">G101+M101</f>
        <v>0</v>
      </c>
      <c r="I101" s="64">
        <f t="shared" ref="I101:I105" si="201">F101-H101</f>
        <v>0</v>
      </c>
      <c r="J101" s="65">
        <f t="shared" si="196"/>
        <v>0</v>
      </c>
      <c r="K101" s="198" t="str">
        <f>IFERROR(VLOOKUP(B101,'WIP - Paste Data'!B:E,4,FALSE),"")</f>
        <v/>
      </c>
      <c r="L101" s="64"/>
      <c r="M101" s="64"/>
      <c r="N101" s="66"/>
      <c r="O101" s="66"/>
      <c r="P101" s="189">
        <f>IFERROR(VLOOKUP(B101,'JTD Paste Data'!A:B,2,FALSE),"0")</f>
        <v>4751484.1000000006</v>
      </c>
      <c r="Q101" s="189">
        <f t="shared" si="197"/>
        <v>4751484.1000000006</v>
      </c>
      <c r="R101" s="189">
        <f>IFERROR(VLOOKUP(B101,'JTD Paste Data'!A:C,3,FALSE),"0")</f>
        <v>4534612.83</v>
      </c>
      <c r="S101" s="189">
        <f t="shared" si="198"/>
        <v>4534612.83</v>
      </c>
      <c r="T101" s="189">
        <f t="shared" si="191"/>
        <v>216871.27000000048</v>
      </c>
      <c r="U101" s="193">
        <f t="shared" si="192"/>
        <v>4.564284872593817E-2</v>
      </c>
    </row>
    <row r="102" spans="1:21" x14ac:dyDescent="0.25">
      <c r="A102" s="54" t="str">
        <f>VLOOKUP(B102,'SAP Contracts'!A:J,10,FALSE)</f>
        <v>Lumen-2023LE000081 Overbld Spokane FTTH</v>
      </c>
      <c r="B102" s="54">
        <f>VLOOKUP(C102,'Active North Sky Projects'!C:D,2,FALSE)</f>
        <v>21311</v>
      </c>
      <c r="C102" s="108" t="s">
        <v>40</v>
      </c>
      <c r="D102" s="225">
        <f>IFERROR(VLOOKUP(B102,'MTD Hours Paste Data'!A:C,3,FALSE),"")</f>
        <v>0</v>
      </c>
      <c r="E102" s="64">
        <f>IFERROR(VLOOKUP(B102,'ACDOCA - Paste Data'!B:G,6,FALSE),0)</f>
        <v>0</v>
      </c>
      <c r="F102" s="64">
        <f t="shared" si="199"/>
        <v>0</v>
      </c>
      <c r="G102" s="64">
        <f>IFERROR(VLOOKUP(B102,'ACDOCA - Paste Data'!B:H,7,FALSE),0)</f>
        <v>0</v>
      </c>
      <c r="H102" s="64">
        <f t="shared" si="200"/>
        <v>0</v>
      </c>
      <c r="I102" s="64">
        <f t="shared" si="201"/>
        <v>0</v>
      </c>
      <c r="J102" s="65">
        <f t="shared" si="196"/>
        <v>0</v>
      </c>
      <c r="K102" s="198" t="str">
        <f>IFERROR(VLOOKUP(B102,'WIP - Paste Data'!B:E,4,FALSE),"")</f>
        <v/>
      </c>
      <c r="L102" s="64"/>
      <c r="M102" s="64"/>
      <c r="N102" s="66"/>
      <c r="O102" s="66"/>
      <c r="P102" s="189">
        <f>IFERROR(VLOOKUP(B102,'JTD Paste Data'!A:B,2,FALSE),"0")</f>
        <v>2690273.77</v>
      </c>
      <c r="Q102" s="189">
        <f t="shared" si="197"/>
        <v>2690273.77</v>
      </c>
      <c r="R102" s="189">
        <f>IFERROR(VLOOKUP(B102,'JTD Paste Data'!A:C,3,FALSE),"0")</f>
        <v>2089351.01</v>
      </c>
      <c r="S102" s="189">
        <f t="shared" si="198"/>
        <v>2089351.01</v>
      </c>
      <c r="T102" s="189">
        <f t="shared" si="191"/>
        <v>600922.76</v>
      </c>
      <c r="U102" s="193">
        <f t="shared" si="192"/>
        <v>0.22336862764714091</v>
      </c>
    </row>
    <row r="103" spans="1:21" x14ac:dyDescent="0.25">
      <c r="A103" s="54" t="str">
        <f>VLOOKUP(B103,'SAP Contracts'!A:J,10,FALSE)</f>
        <v>Lumen - ID Enterprise MSA</v>
      </c>
      <c r="B103" s="54">
        <f>VLOOKUP(C103,'Active North Sky Projects'!C:D,2,FALSE)</f>
        <v>21640</v>
      </c>
      <c r="C103" s="108" t="s">
        <v>668</v>
      </c>
      <c r="D103" s="225" t="str">
        <f>IFERROR(VLOOKUP(B103,'MTD Hours Paste Data'!A:C,3,FALSE),"")</f>
        <v/>
      </c>
      <c r="E103" s="64">
        <f>IFERROR(VLOOKUP(B103,'ACDOCA - Paste Data'!B:G,6,FALSE),0)</f>
        <v>0</v>
      </c>
      <c r="F103" s="64">
        <f t="shared" si="199"/>
        <v>0</v>
      </c>
      <c r="G103" s="64">
        <f>IFERROR(VLOOKUP(B103,'ACDOCA - Paste Data'!B:H,7,FALSE),0)</f>
        <v>0</v>
      </c>
      <c r="H103" s="64">
        <f t="shared" si="200"/>
        <v>0</v>
      </c>
      <c r="I103" s="64">
        <f t="shared" si="201"/>
        <v>0</v>
      </c>
      <c r="J103" s="65">
        <f t="shared" si="196"/>
        <v>0</v>
      </c>
      <c r="K103" s="198" t="str">
        <f>IFERROR(VLOOKUP(B103,'WIP - Paste Data'!B:E,4,FALSE),"")</f>
        <v/>
      </c>
      <c r="L103" s="64"/>
      <c r="M103" s="64"/>
      <c r="N103" s="66"/>
      <c r="O103" s="66"/>
      <c r="P103" s="189" t="str">
        <f>IFERROR(VLOOKUP(B103,'JTD Paste Data'!A:B,2,FALSE),"0")</f>
        <v>0</v>
      </c>
      <c r="Q103" s="189">
        <f t="shared" si="197"/>
        <v>0</v>
      </c>
      <c r="R103" s="189" t="str">
        <f>IFERROR(VLOOKUP(B103,'JTD Paste Data'!A:C,3,FALSE),"0")</f>
        <v>0</v>
      </c>
      <c r="S103" s="189">
        <f t="shared" si="198"/>
        <v>0</v>
      </c>
      <c r="T103" s="189">
        <f t="shared" si="191"/>
        <v>0</v>
      </c>
      <c r="U103" s="193">
        <f t="shared" si="192"/>
        <v>0</v>
      </c>
    </row>
    <row r="104" spans="1:21" x14ac:dyDescent="0.25">
      <c r="A104" s="54" t="str">
        <f>VLOOKUP(B104,'SAP Contracts'!A:J,10,FALSE)</f>
        <v>Lumen - WA Enterprise MSA (2025-27)</v>
      </c>
      <c r="B104" s="54">
        <f>VLOOKUP(C104,'Active North Sky Projects'!C:D,2,FALSE)</f>
        <v>21641</v>
      </c>
      <c r="C104" s="108" t="s">
        <v>185</v>
      </c>
      <c r="D104" s="225">
        <f>IFERROR(VLOOKUP(B104,'MTD Hours Paste Data'!A:C,3,FALSE),"")</f>
        <v>48.66</v>
      </c>
      <c r="E104" s="64">
        <f>IFERROR(VLOOKUP(B104,'ACDOCA - Paste Data'!B:G,6,FALSE),0)</f>
        <v>43082.54</v>
      </c>
      <c r="F104" s="64">
        <f t="shared" si="199"/>
        <v>43082.54</v>
      </c>
      <c r="G104" s="64">
        <f>IFERROR(VLOOKUP(B104,'ACDOCA - Paste Data'!B:H,7,FALSE),0)</f>
        <v>28534.91</v>
      </c>
      <c r="H104" s="64">
        <f t="shared" si="200"/>
        <v>28534.91</v>
      </c>
      <c r="I104" s="64">
        <f t="shared" si="201"/>
        <v>14547.630000000001</v>
      </c>
      <c r="J104" s="65">
        <f t="shared" si="196"/>
        <v>0.33766880968485147</v>
      </c>
      <c r="K104" s="198">
        <f>IFERROR(VLOOKUP(B104,'WIP - Paste Data'!B:E,4,FALSE),"")</f>
        <v>676868.15</v>
      </c>
      <c r="L104" s="64"/>
      <c r="M104" s="64"/>
      <c r="N104" s="66"/>
      <c r="O104" s="66"/>
      <c r="P104" s="189">
        <f>IFERROR(VLOOKUP(B104,'JTD Paste Data'!A:B,2,FALSE),"0")</f>
        <v>2003084.85</v>
      </c>
      <c r="Q104" s="189">
        <f t="shared" si="197"/>
        <v>2003084.85</v>
      </c>
      <c r="R104" s="189">
        <f>IFERROR(VLOOKUP(B104,'JTD Paste Data'!A:C,3,FALSE),"0")</f>
        <v>1234339.99</v>
      </c>
      <c r="S104" s="189">
        <f t="shared" si="198"/>
        <v>1234339.99</v>
      </c>
      <c r="T104" s="189">
        <f t="shared" si="191"/>
        <v>768744.8600000001</v>
      </c>
      <c r="U104" s="193">
        <f t="shared" si="192"/>
        <v>0.38378047739715071</v>
      </c>
    </row>
    <row r="105" spans="1:21" x14ac:dyDescent="0.25">
      <c r="A105" s="54" t="str">
        <f>VLOOKUP(B105,'SAP Contracts'!A:J,10,FALSE)</f>
        <v>Lumen-Enterprise MSA Western WA</v>
      </c>
      <c r="B105" s="54">
        <f>VLOOKUP(C105,'Active North Sky Projects'!C:D,2,FALSE)</f>
        <v>21286</v>
      </c>
      <c r="C105" s="108" t="s">
        <v>30</v>
      </c>
      <c r="D105" s="225">
        <f>IFERROR(VLOOKUP(B105,'MTD Hours Paste Data'!A:C,3,FALSE),"")</f>
        <v>0</v>
      </c>
      <c r="E105" s="64">
        <f>IFERROR(VLOOKUP(B105,'ACDOCA - Paste Data'!B:G,6,FALSE),0)</f>
        <v>0</v>
      </c>
      <c r="F105" s="64">
        <f t="shared" si="199"/>
        <v>0</v>
      </c>
      <c r="G105" s="64">
        <f>IFERROR(VLOOKUP(B105,'ACDOCA - Paste Data'!B:H,7,FALSE),0)</f>
        <v>0</v>
      </c>
      <c r="H105" s="64">
        <f t="shared" si="200"/>
        <v>0</v>
      </c>
      <c r="I105" s="64">
        <f t="shared" si="201"/>
        <v>0</v>
      </c>
      <c r="J105" s="65">
        <f t="shared" si="196"/>
        <v>0</v>
      </c>
      <c r="K105" s="198">
        <f>IFERROR(VLOOKUP(B105,'WIP - Paste Data'!B:E,4,FALSE),"")</f>
        <v>72086.09</v>
      </c>
      <c r="L105" s="64"/>
      <c r="M105" s="64"/>
      <c r="N105" s="66"/>
      <c r="O105" s="66"/>
      <c r="P105" s="189">
        <f>IFERROR(VLOOKUP(B105,'JTD Paste Data'!A:B,2,FALSE),"0")</f>
        <v>1768855.2999999998</v>
      </c>
      <c r="Q105" s="189">
        <f t="shared" si="197"/>
        <v>1768855.2999999998</v>
      </c>
      <c r="R105" s="189">
        <f>IFERROR(VLOOKUP(B105,'JTD Paste Data'!A:C,3,FALSE),"0")</f>
        <v>2095448.64</v>
      </c>
      <c r="S105" s="189">
        <f t="shared" si="198"/>
        <v>2095448.64</v>
      </c>
      <c r="T105" s="189">
        <f t="shared" si="191"/>
        <v>-326593.34000000008</v>
      </c>
      <c r="U105" s="193">
        <f t="shared" si="192"/>
        <v>-0.18463541930196331</v>
      </c>
    </row>
    <row r="106" spans="1:21" ht="12.75" customHeight="1" x14ac:dyDescent="0.25">
      <c r="K106" s="198" t="str">
        <f>IFERROR(VLOOKUP(B106,'WIP - Paste Data'!B:E,4,FALSE),"")</f>
        <v/>
      </c>
      <c r="P106" s="189"/>
      <c r="Q106" s="189"/>
      <c r="R106" s="189"/>
      <c r="S106" s="189"/>
      <c r="T106" s="189"/>
      <c r="U106" s="189"/>
    </row>
    <row r="107" spans="1:21" ht="15.75" thickBot="1" x14ac:dyDescent="0.3">
      <c r="A107" s="75" t="s">
        <v>1059</v>
      </c>
      <c r="B107" s="68" t="s">
        <v>1151</v>
      </c>
      <c r="C107" s="68"/>
      <c r="D107" s="226"/>
      <c r="E107" s="68">
        <f>SUM(E92:E106)</f>
        <v>1562465.68</v>
      </c>
      <c r="F107" s="68">
        <f>SUM(F92:F106)</f>
        <v>1562465.68</v>
      </c>
      <c r="G107" s="68">
        <f>SUM(G92:G106)</f>
        <v>1415155.75</v>
      </c>
      <c r="H107" s="68">
        <f>SUM(H92:H106)</f>
        <v>1415155.75</v>
      </c>
      <c r="I107" s="68">
        <f>F107-H107</f>
        <v>147309.92999999993</v>
      </c>
      <c r="J107" s="69">
        <f t="shared" ref="J107" si="202">IFERROR(I107/F107,0)</f>
        <v>9.4280426050702082E-2</v>
      </c>
      <c r="K107" s="206">
        <f>SUM(K92:K106)</f>
        <v>21042381.039999999</v>
      </c>
      <c r="L107" s="68">
        <f>SUM(L95:L106)</f>
        <v>0</v>
      </c>
      <c r="M107" s="68">
        <f>SUM(M95:M106)</f>
        <v>0</v>
      </c>
      <c r="N107" s="68">
        <f>SUM(N95:N106)</f>
        <v>0</v>
      </c>
      <c r="O107" s="68">
        <f>SUM(O95:O106)</f>
        <v>0</v>
      </c>
      <c r="P107" s="68">
        <f>SUM(P92:P106)</f>
        <v>93267494.699999973</v>
      </c>
      <c r="Q107" s="68">
        <f>SUM(Q92:Q106)</f>
        <v>93267494.699999973</v>
      </c>
      <c r="R107" s="68">
        <f>SUM(R92:R106)</f>
        <v>88691899.070000008</v>
      </c>
      <c r="S107" s="68">
        <f>SUM(S92:S106)</f>
        <v>88691899.070000008</v>
      </c>
      <c r="T107" s="68">
        <f>SUM(T92:T106)</f>
        <v>4575595.629999998</v>
      </c>
      <c r="U107" s="69">
        <f>IFERROR(T107/Q107,0)</f>
        <v>4.905884568592362E-2</v>
      </c>
    </row>
    <row r="108" spans="1:21" ht="15" x14ac:dyDescent="0.25">
      <c r="A108" s="87"/>
      <c r="B108" s="112"/>
      <c r="C108" s="112"/>
      <c r="D108" s="232"/>
      <c r="E108" s="76"/>
      <c r="F108" s="76"/>
      <c r="G108" s="76"/>
      <c r="H108" s="76"/>
      <c r="I108" s="76"/>
      <c r="J108" s="77"/>
      <c r="K108" s="207"/>
      <c r="L108" s="76"/>
      <c r="M108" s="76"/>
      <c r="N108" s="76"/>
      <c r="O108" s="76"/>
      <c r="P108" s="76"/>
      <c r="Q108" s="76"/>
      <c r="R108" s="76"/>
      <c r="S108" s="76"/>
      <c r="T108" s="76"/>
      <c r="U108" s="76"/>
    </row>
    <row r="109" spans="1:21" ht="15" x14ac:dyDescent="0.25">
      <c r="A109" s="33" t="s">
        <v>2737</v>
      </c>
      <c r="B109" s="126"/>
      <c r="C109" s="126"/>
      <c r="D109" s="233"/>
      <c r="E109" s="29">
        <f>+E107</f>
        <v>1562465.68</v>
      </c>
      <c r="F109" s="29">
        <f>+F107</f>
        <v>1562465.68</v>
      </c>
      <c r="G109" s="29">
        <f>+G107</f>
        <v>1415155.75</v>
      </c>
      <c r="H109" s="29">
        <f>+H107</f>
        <v>1415155.75</v>
      </c>
      <c r="I109" s="29">
        <f>+I107</f>
        <v>147309.92999999993</v>
      </c>
      <c r="J109" s="79">
        <f>IFERROR(I109/F109,0)</f>
        <v>9.4280426050702082E-2</v>
      </c>
      <c r="K109" s="208">
        <f>+K107</f>
        <v>21042381.039999999</v>
      </c>
      <c r="L109" s="76"/>
      <c r="M109" s="76"/>
      <c r="N109" s="78"/>
      <c r="O109" s="78"/>
      <c r="P109" s="78"/>
      <c r="Q109" s="78"/>
      <c r="R109" s="78"/>
      <c r="S109" s="78"/>
      <c r="T109" s="78"/>
      <c r="U109" s="78"/>
    </row>
    <row r="110" spans="1:21" ht="15" x14ac:dyDescent="0.25">
      <c r="A110" s="17" t="s">
        <v>2974</v>
      </c>
      <c r="B110" s="16"/>
      <c r="C110" s="16"/>
      <c r="D110" s="229"/>
      <c r="E110" s="18"/>
      <c r="F110" s="19">
        <v>2950000</v>
      </c>
      <c r="G110" s="16"/>
      <c r="H110" s="16"/>
      <c r="I110" s="19">
        <v>213000</v>
      </c>
      <c r="J110" s="28">
        <f>IFERROR(I110/F110,0)</f>
        <v>7.2203389830508474E-2</v>
      </c>
      <c r="K110" s="202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spans="1:21" ht="14.25" customHeight="1" x14ac:dyDescent="0.25">
      <c r="A111" s="125" t="s">
        <v>4759</v>
      </c>
      <c r="B111" s="16"/>
      <c r="C111" s="16"/>
      <c r="D111" s="229"/>
      <c r="E111" s="18"/>
      <c r="F111" s="31">
        <f>IFERROR(F107/F110,0)</f>
        <v>0.52964938305084741</v>
      </c>
      <c r="G111" s="32"/>
      <c r="H111" s="32"/>
      <c r="I111" s="31">
        <f>IFERROR(I107/I110,0)</f>
        <v>0.6915959154929574</v>
      </c>
      <c r="J111" s="16"/>
      <c r="K111" s="203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spans="1:21" ht="15.75" thickBot="1" x14ac:dyDescent="0.3">
      <c r="A112" s="17"/>
      <c r="B112" s="16"/>
      <c r="C112" s="16"/>
      <c r="D112" s="229"/>
      <c r="E112" s="18"/>
      <c r="F112" s="31"/>
      <c r="G112" s="32"/>
      <c r="H112" s="32"/>
      <c r="I112" s="31"/>
      <c r="J112" s="16"/>
      <c r="K112" s="203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spans="1:21" s="57" customFormat="1" ht="15" thickBot="1" x14ac:dyDescent="0.3">
      <c r="A113" s="130" t="s">
        <v>1057</v>
      </c>
      <c r="B113" s="127"/>
      <c r="C113" s="127"/>
      <c r="D113" s="230"/>
      <c r="E113" s="128"/>
      <c r="F113" s="128"/>
      <c r="G113" s="129"/>
      <c r="H113" s="129"/>
      <c r="I113" s="129"/>
      <c r="J113" s="129"/>
      <c r="K113" s="204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</row>
    <row r="114" spans="1:21" ht="14.25" x14ac:dyDescent="0.25">
      <c r="A114" s="109" t="s">
        <v>614</v>
      </c>
      <c r="B114" s="109"/>
      <c r="C114" s="109"/>
      <c r="D114" s="224"/>
      <c r="F114" s="73"/>
      <c r="H114" s="73"/>
      <c r="I114" s="73"/>
      <c r="J114" s="74"/>
      <c r="K114" s="205"/>
      <c r="N114" s="66"/>
      <c r="O114" s="66"/>
      <c r="P114" s="66"/>
      <c r="Q114" s="66"/>
      <c r="R114" s="66"/>
      <c r="S114" s="66"/>
      <c r="T114" s="66"/>
      <c r="U114" s="66"/>
    </row>
    <row r="115" spans="1:21" x14ac:dyDescent="0.25">
      <c r="A115" s="54" t="str">
        <f>VLOOKUP(B115,'SAP Contracts'!A:J,10,FALSE)</f>
        <v>Port of Woodland-2023-12 Ariel to Cougar</v>
      </c>
      <c r="B115" s="54">
        <f>VLOOKUP(C115,'Active North Sky Projects'!C:D,2,FALSE)</f>
        <v>21064</v>
      </c>
      <c r="C115" s="107" t="s">
        <v>92</v>
      </c>
      <c r="D115" s="225" t="str">
        <f>IFERROR(VLOOKUP(B115,'MTD Hours Paste Data'!A:C,3,FALSE),"")</f>
        <v/>
      </c>
      <c r="E115" s="64">
        <f>IFERROR(VLOOKUP(B115,'ACDOCA - Paste Data'!B:G,6,FALSE),0)</f>
        <v>0</v>
      </c>
      <c r="F115" s="64">
        <f t="shared" ref="F115" si="203">E115 +L115</f>
        <v>0</v>
      </c>
      <c r="G115" s="64">
        <f>IFERROR(VLOOKUP(B115,'ACDOCA - Paste Data'!B:H,7,FALSE),0)</f>
        <v>0</v>
      </c>
      <c r="H115" s="64">
        <f t="shared" ref="H115" si="204">G115+M115</f>
        <v>0</v>
      </c>
      <c r="I115" s="64">
        <f t="shared" ref="I115" si="205">F115-H115</f>
        <v>0</v>
      </c>
      <c r="J115" s="65">
        <f t="shared" ref="J115" si="206">IFERROR(I115/F115,0)</f>
        <v>0</v>
      </c>
      <c r="K115" s="198" t="str">
        <f>IFERROR(VLOOKUP(B115,'WIP - Paste Data'!B:E,4,FALSE),"")</f>
        <v/>
      </c>
      <c r="L115" s="64"/>
      <c r="M115" s="64"/>
      <c r="N115" s="66"/>
      <c r="O115" s="66"/>
      <c r="P115" s="189">
        <f>IFERROR(VLOOKUP(B115,'JTD Paste Data'!A:B,2,FALSE),"0")</f>
        <v>4822163.09</v>
      </c>
      <c r="Q115" s="189">
        <f t="shared" ref="Q115" si="207">SUM(P115+L115)</f>
        <v>4822163.09</v>
      </c>
      <c r="R115" s="189">
        <f>IFERROR(VLOOKUP(B115,'JTD Paste Data'!A:C,3,FALSE),"0")</f>
        <v>4171829.9299999997</v>
      </c>
      <c r="S115" s="189">
        <f t="shared" ref="S115" si="208">SUM(R115+M115)</f>
        <v>4171829.9299999997</v>
      </c>
      <c r="T115" s="189">
        <f t="shared" ref="T115" si="209">SUM(Q115-S115)</f>
        <v>650333.16000000015</v>
      </c>
      <c r="U115" s="193">
        <f t="shared" ref="U115" si="210">IFERROR(T115/Q115,0)</f>
        <v>0.13486336896166656</v>
      </c>
    </row>
    <row r="116" spans="1:21" x14ac:dyDescent="0.25">
      <c r="A116" s="54" t="str">
        <f>VLOOKUP(B116,'SAP Contracts'!A:J,10,FALSE)</f>
        <v>Ziply - Eastern WA BAU SSP (legacy)</v>
      </c>
      <c r="B116" s="54">
        <f>VLOOKUP(C116,'Active North Sky Projects'!C:D,2,FALSE)</f>
        <v>21544</v>
      </c>
      <c r="C116" s="108" t="s">
        <v>160</v>
      </c>
      <c r="D116" s="225">
        <f>IFERROR(VLOOKUP(B116,'MTD Hours Paste Data'!A:C,3,FALSE),"")</f>
        <v>0</v>
      </c>
      <c r="E116" s="64">
        <f>IFERROR(VLOOKUP(B116,'ACDOCA - Paste Data'!B:G,6,FALSE),0)</f>
        <v>15895</v>
      </c>
      <c r="F116" s="64">
        <f t="shared" ref="F116:F125" si="211">E116 +L116</f>
        <v>15895</v>
      </c>
      <c r="G116" s="64">
        <f>IFERROR(VLOOKUP(B116,'ACDOCA - Paste Data'!B:H,7,FALSE),0)</f>
        <v>2728.29</v>
      </c>
      <c r="H116" s="64">
        <f t="shared" ref="H116:H125" si="212">G116+M116</f>
        <v>2728.29</v>
      </c>
      <c r="I116" s="64">
        <f t="shared" ref="I116:I125" si="213">F116-H116</f>
        <v>13166.71</v>
      </c>
      <c r="J116" s="65">
        <f t="shared" ref="J116:J125" si="214">IFERROR(I116/F116,0)</f>
        <v>0.82835545769109775</v>
      </c>
      <c r="K116" s="198">
        <f>IFERROR(VLOOKUP(B116,'WIP - Paste Data'!B:E,4,FALSE),"")</f>
        <v>23755</v>
      </c>
      <c r="L116" s="64"/>
      <c r="M116" s="64"/>
      <c r="N116" s="66"/>
      <c r="O116" s="66"/>
      <c r="P116" s="189">
        <f>IFERROR(VLOOKUP(B116,'JTD Paste Data'!A:B,2,FALSE),"0")</f>
        <v>1506540.4700000002</v>
      </c>
      <c r="Q116" s="189">
        <f t="shared" ref="Q116:Q125" si="215">SUM(P116+L116)</f>
        <v>1506540.4700000002</v>
      </c>
      <c r="R116" s="189">
        <f>IFERROR(VLOOKUP(B116,'JTD Paste Data'!A:C,3,FALSE),"0")</f>
        <v>1333694.1300000001</v>
      </c>
      <c r="S116" s="189">
        <f t="shared" ref="S116:S125" si="216">SUM(R116+M116)</f>
        <v>1333694.1300000001</v>
      </c>
      <c r="T116" s="189">
        <f t="shared" ref="T116:T125" si="217">SUM(Q116-S116)</f>
        <v>172846.34000000008</v>
      </c>
      <c r="U116" s="193">
        <f t="shared" ref="U116:U125" si="218">IFERROR(T116/Q116,0)</f>
        <v>0.1147306318296249</v>
      </c>
    </row>
    <row r="117" spans="1:21" x14ac:dyDescent="0.25">
      <c r="A117" s="54" t="str">
        <f>VLOOKUP(B117,'SAP Contracts'!A:J,10,FALSE)</f>
        <v>Ziply - ID NESC Program</v>
      </c>
      <c r="B117" s="54">
        <f>VLOOKUP(C117,'Active North Sky Projects'!C:D,2,FALSE)</f>
        <v>21132</v>
      </c>
      <c r="C117" s="108" t="s">
        <v>779</v>
      </c>
      <c r="D117" s="225" t="str">
        <f>IFERROR(VLOOKUP(B117,'MTD Hours Paste Data'!A:C,3,FALSE),"")</f>
        <v/>
      </c>
      <c r="E117" s="64">
        <f>IFERROR(VLOOKUP(B117,'ACDOCA - Paste Data'!B:G,6,FALSE),0)</f>
        <v>0</v>
      </c>
      <c r="F117" s="64">
        <f t="shared" si="211"/>
        <v>0</v>
      </c>
      <c r="G117" s="64">
        <f>IFERROR(VLOOKUP(B117,'ACDOCA - Paste Data'!B:H,7,FALSE),0)</f>
        <v>0</v>
      </c>
      <c r="H117" s="64">
        <f t="shared" si="212"/>
        <v>0</v>
      </c>
      <c r="I117" s="64">
        <f t="shared" si="213"/>
        <v>0</v>
      </c>
      <c r="J117" s="65">
        <f t="shared" si="214"/>
        <v>0</v>
      </c>
      <c r="K117" s="198">
        <f>IFERROR(VLOOKUP(B117,'WIP - Paste Data'!B:E,4,FALSE),"")</f>
        <v>33007.5</v>
      </c>
      <c r="L117" s="64"/>
      <c r="M117" s="64"/>
      <c r="N117" s="66"/>
      <c r="O117" s="66"/>
      <c r="P117" s="189">
        <f>IFERROR(VLOOKUP(B117,'JTD Paste Data'!A:B,2,FALSE),"0")</f>
        <v>107043.8</v>
      </c>
      <c r="Q117" s="189">
        <f t="shared" si="215"/>
        <v>107043.8</v>
      </c>
      <c r="R117" s="189">
        <f>IFERROR(VLOOKUP(B117,'JTD Paste Data'!A:C,3,FALSE),"0")</f>
        <v>91795.36</v>
      </c>
      <c r="S117" s="189">
        <f t="shared" si="216"/>
        <v>91795.36</v>
      </c>
      <c r="T117" s="189">
        <f t="shared" si="217"/>
        <v>15248.440000000002</v>
      </c>
      <c r="U117" s="193">
        <f t="shared" si="218"/>
        <v>0.14245047354447435</v>
      </c>
    </row>
    <row r="118" spans="1:21" x14ac:dyDescent="0.25">
      <c r="A118" s="54" t="str">
        <f>VLOOKUP(B118,'SAP Contracts'!A:J,10,FALSE)</f>
        <v>Ziply - MT BAU SSP (2024-27)</v>
      </c>
      <c r="B118" s="54">
        <f>VLOOKUP(C118,'Active North Sky Projects'!C:D,2,FALSE)</f>
        <v>21255</v>
      </c>
      <c r="C118" s="108" t="s">
        <v>787</v>
      </c>
      <c r="D118" s="225">
        <f>IFERROR(VLOOKUP(B118,'MTD Hours Paste Data'!A:C,3,FALSE),"")</f>
        <v>0</v>
      </c>
      <c r="E118" s="64">
        <f>IFERROR(VLOOKUP(B118,'ACDOCA - Paste Data'!B:G,6,FALSE),0)</f>
        <v>0</v>
      </c>
      <c r="F118" s="64">
        <f t="shared" si="211"/>
        <v>0</v>
      </c>
      <c r="G118" s="64">
        <f>IFERROR(VLOOKUP(B118,'ACDOCA - Paste Data'!B:H,7,FALSE),0)</f>
        <v>0</v>
      </c>
      <c r="H118" s="64">
        <f t="shared" si="212"/>
        <v>0</v>
      </c>
      <c r="I118" s="64">
        <f t="shared" si="213"/>
        <v>0</v>
      </c>
      <c r="J118" s="65">
        <f t="shared" si="214"/>
        <v>0</v>
      </c>
      <c r="K118" s="198" t="str">
        <f>IFERROR(VLOOKUP(B118,'WIP - Paste Data'!B:E,4,FALSE),"")</f>
        <v/>
      </c>
      <c r="L118" s="64"/>
      <c r="M118" s="64"/>
      <c r="N118" s="66"/>
      <c r="O118" s="66"/>
      <c r="P118" s="189">
        <f>IFERROR(VLOOKUP(B118,'JTD Paste Data'!A:B,2,FALSE),"0")</f>
        <v>9958</v>
      </c>
      <c r="Q118" s="189">
        <f t="shared" si="215"/>
        <v>9958</v>
      </c>
      <c r="R118" s="189">
        <f>IFERROR(VLOOKUP(B118,'JTD Paste Data'!A:C,3,FALSE),"0")</f>
        <v>10881.849999999999</v>
      </c>
      <c r="S118" s="189">
        <f t="shared" si="216"/>
        <v>10881.849999999999</v>
      </c>
      <c r="T118" s="189">
        <f t="shared" si="217"/>
        <v>-923.84999999999854</v>
      </c>
      <c r="U118" s="193">
        <f t="shared" si="218"/>
        <v>-9.2774653544888383E-2</v>
      </c>
    </row>
    <row r="119" spans="1:21" x14ac:dyDescent="0.25">
      <c r="A119" s="54" t="str">
        <f>VLOOKUP(B119,'SAP Contracts'!A:J,10,FALSE)</f>
        <v>Ziply - OR BAU SSP (2024-27)</v>
      </c>
      <c r="B119" s="54">
        <f>VLOOKUP(C119,'Active North Sky Projects'!C:D,2,FALSE)</f>
        <v>21498</v>
      </c>
      <c r="C119" s="107" t="s">
        <v>124</v>
      </c>
      <c r="D119" s="225">
        <f>IFERROR(VLOOKUP(B119,'MTD Hours Paste Data'!A:C,3,FALSE),"")</f>
        <v>1438.76</v>
      </c>
      <c r="E119" s="64">
        <f>IFERROR(VLOOKUP(B119,'ACDOCA - Paste Data'!B:G,6,FALSE),0)</f>
        <v>424520.01</v>
      </c>
      <c r="F119" s="64">
        <f t="shared" si="211"/>
        <v>424520.01</v>
      </c>
      <c r="G119" s="64">
        <f>IFERROR(VLOOKUP(B119,'ACDOCA - Paste Data'!B:H,7,FALSE),0)</f>
        <v>273100.48</v>
      </c>
      <c r="H119" s="64">
        <f t="shared" si="212"/>
        <v>273100.48</v>
      </c>
      <c r="I119" s="64">
        <f t="shared" si="213"/>
        <v>151419.53000000003</v>
      </c>
      <c r="J119" s="65">
        <f t="shared" si="214"/>
        <v>0.35668408186459816</v>
      </c>
      <c r="K119" s="198">
        <f>IFERROR(VLOOKUP(B119,'WIP - Paste Data'!B:E,4,FALSE),"")</f>
        <v>2403427.0700000003</v>
      </c>
      <c r="L119" s="64"/>
      <c r="M119" s="64"/>
      <c r="N119" s="66"/>
      <c r="O119" s="66"/>
      <c r="P119" s="189">
        <f>IFERROR(VLOOKUP(B119,'JTD Paste Data'!A:B,2,FALSE),"0")</f>
        <v>13737871.65</v>
      </c>
      <c r="Q119" s="189">
        <f t="shared" si="215"/>
        <v>13737871.65</v>
      </c>
      <c r="R119" s="189">
        <f>IFERROR(VLOOKUP(B119,'JTD Paste Data'!A:C,3,FALSE),"0")</f>
        <v>11261495.130000001</v>
      </c>
      <c r="S119" s="189">
        <f t="shared" si="216"/>
        <v>11261495.130000001</v>
      </c>
      <c r="T119" s="189">
        <f t="shared" si="217"/>
        <v>2476376.5199999996</v>
      </c>
      <c r="U119" s="193">
        <f t="shared" si="218"/>
        <v>0.18025911022396249</v>
      </c>
    </row>
    <row r="120" spans="1:21" x14ac:dyDescent="0.25">
      <c r="A120" s="54" t="str">
        <f>VLOOKUP(B120,'SAP Contracts'!A:J,10,FALSE)</f>
        <v>Ziply - OR FTTP MSA (Alton)</v>
      </c>
      <c r="B120" s="54">
        <f>VLOOKUP(C120,'Active North Sky Projects'!C:D,2,FALSE)</f>
        <v>21555</v>
      </c>
      <c r="C120" s="107" t="s">
        <v>137</v>
      </c>
      <c r="D120" s="225">
        <f>IFERROR(VLOOKUP(B120,'MTD Hours Paste Data'!A:C,3,FALSE),"")</f>
        <v>330.67</v>
      </c>
      <c r="E120" s="64">
        <f>IFERROR(VLOOKUP(B120,'ACDOCA - Paste Data'!B:G,6,FALSE),0)</f>
        <v>75477.7</v>
      </c>
      <c r="F120" s="64">
        <f t="shared" si="211"/>
        <v>75477.7</v>
      </c>
      <c r="G120" s="64">
        <f>IFERROR(VLOOKUP(B120,'ACDOCA - Paste Data'!B:H,7,FALSE),0)</f>
        <v>30325.93</v>
      </c>
      <c r="H120" s="64">
        <f t="shared" si="212"/>
        <v>30325.93</v>
      </c>
      <c r="I120" s="64">
        <f t="shared" si="213"/>
        <v>45151.77</v>
      </c>
      <c r="J120" s="65">
        <f t="shared" si="214"/>
        <v>0.59821337958098886</v>
      </c>
      <c r="K120" s="198">
        <f>IFERROR(VLOOKUP(B120,'WIP - Paste Data'!B:E,4,FALSE),"")</f>
        <v>519242.03</v>
      </c>
      <c r="L120" s="64"/>
      <c r="M120" s="64"/>
      <c r="N120" s="66"/>
      <c r="O120" s="66"/>
      <c r="P120" s="189">
        <f>IFERROR(VLOOKUP(B120,'JTD Paste Data'!A:B,2,FALSE),"0")</f>
        <v>3265800.88</v>
      </c>
      <c r="Q120" s="189">
        <f t="shared" si="215"/>
        <v>3265800.88</v>
      </c>
      <c r="R120" s="189">
        <f>IFERROR(VLOOKUP(B120,'JTD Paste Data'!A:C,3,FALSE),"0")</f>
        <v>2174894.0499999998</v>
      </c>
      <c r="S120" s="189">
        <f t="shared" si="216"/>
        <v>2174894.0499999998</v>
      </c>
      <c r="T120" s="189">
        <f t="shared" si="217"/>
        <v>1090906.83</v>
      </c>
      <c r="U120" s="193">
        <f t="shared" si="218"/>
        <v>0.33403960317384696</v>
      </c>
    </row>
    <row r="121" spans="1:21" x14ac:dyDescent="0.25">
      <c r="A121" s="54" t="str">
        <f>VLOOKUP(B121,'SAP Contracts'!A:J,10,FALSE)</f>
        <v>Ziply - OR NESC Program</v>
      </c>
      <c r="B121" s="54">
        <f>VLOOKUP(C121,'Active North Sky Projects'!C:D,2,FALSE)</f>
        <v>21152</v>
      </c>
      <c r="C121" s="107" t="s">
        <v>721</v>
      </c>
      <c r="D121" s="225" t="str">
        <f>IFERROR(VLOOKUP(B121,'MTD Hours Paste Data'!A:C,3,FALSE),"")</f>
        <v/>
      </c>
      <c r="E121" s="64">
        <f>IFERROR(VLOOKUP(B121,'ACDOCA - Paste Data'!B:G,6,FALSE),0)</f>
        <v>142504.17000000001</v>
      </c>
      <c r="F121" s="64">
        <f t="shared" si="211"/>
        <v>142504.17000000001</v>
      </c>
      <c r="G121" s="64">
        <f>IFERROR(VLOOKUP(B121,'ACDOCA - Paste Data'!B:H,7,FALSE),0)</f>
        <v>123537.37</v>
      </c>
      <c r="H121" s="64">
        <f t="shared" si="212"/>
        <v>123537.37</v>
      </c>
      <c r="I121" s="64">
        <f t="shared" si="213"/>
        <v>18966.800000000017</v>
      </c>
      <c r="J121" s="65">
        <f t="shared" si="214"/>
        <v>0.13309645605458434</v>
      </c>
      <c r="K121" s="198">
        <f>IFERROR(VLOOKUP(B121,'WIP - Paste Data'!B:E,4,FALSE),"")</f>
        <v>1645431.81</v>
      </c>
      <c r="L121" s="64"/>
      <c r="M121" s="64"/>
      <c r="N121" s="66"/>
      <c r="O121" s="66"/>
      <c r="P121" s="189">
        <f>IFERROR(VLOOKUP(B121,'JTD Paste Data'!A:B,2,FALSE),"0")</f>
        <v>1741729.31</v>
      </c>
      <c r="Q121" s="189">
        <f t="shared" si="215"/>
        <v>1741729.31</v>
      </c>
      <c r="R121" s="189">
        <f>IFERROR(VLOOKUP(B121,'JTD Paste Data'!A:C,3,FALSE),"0")</f>
        <v>1513055.8399999999</v>
      </c>
      <c r="S121" s="189">
        <f t="shared" si="216"/>
        <v>1513055.8399999999</v>
      </c>
      <c r="T121" s="189">
        <f t="shared" si="217"/>
        <v>228673.4700000002</v>
      </c>
      <c r="U121" s="193">
        <f t="shared" si="218"/>
        <v>0.13129105004267294</v>
      </c>
    </row>
    <row r="122" spans="1:21" x14ac:dyDescent="0.25">
      <c r="A122" s="54" t="str">
        <f>VLOOKUP(B122,'SAP Contracts'!A:J,10,FALSE)</f>
        <v>Ziply - WA BAU SSP (2024-27)</v>
      </c>
      <c r="B122" s="54">
        <f>VLOOKUP(C122,'Active North Sky Projects'!C:D,2,FALSE)</f>
        <v>21203</v>
      </c>
      <c r="C122" s="108" t="s">
        <v>172</v>
      </c>
      <c r="D122" s="225">
        <f>IFERROR(VLOOKUP(B122,'MTD Hours Paste Data'!A:C,3,FALSE),"")</f>
        <v>412.02</v>
      </c>
      <c r="E122" s="64">
        <f>IFERROR(VLOOKUP(B122,'ACDOCA - Paste Data'!B:G,6,FALSE),0)</f>
        <v>76505.11</v>
      </c>
      <c r="F122" s="64">
        <f t="shared" si="211"/>
        <v>76505.11</v>
      </c>
      <c r="G122" s="64">
        <f>IFERROR(VLOOKUP(B122,'ACDOCA - Paste Data'!B:H,7,FALSE),0)</f>
        <v>70354.679999999993</v>
      </c>
      <c r="H122" s="64">
        <f t="shared" si="212"/>
        <v>70354.679999999993</v>
      </c>
      <c r="I122" s="64">
        <f t="shared" si="213"/>
        <v>6150.4300000000076</v>
      </c>
      <c r="J122" s="65">
        <f t="shared" si="214"/>
        <v>8.0392407775114721E-2</v>
      </c>
      <c r="K122" s="198">
        <f>IFERROR(VLOOKUP(B122,'WIP - Paste Data'!B:E,4,FALSE),"")</f>
        <v>565886.41999999993</v>
      </c>
      <c r="L122" s="64"/>
      <c r="M122" s="64"/>
      <c r="N122" s="66"/>
      <c r="O122" s="66"/>
      <c r="P122" s="189">
        <f>IFERROR(VLOOKUP(B122,'JTD Paste Data'!A:B,2,FALSE),"0")</f>
        <v>1582687.3399999999</v>
      </c>
      <c r="Q122" s="189">
        <f t="shared" si="215"/>
        <v>1582687.3399999999</v>
      </c>
      <c r="R122" s="189">
        <f>IFERROR(VLOOKUP(B122,'JTD Paste Data'!A:C,3,FALSE),"0")</f>
        <v>1249018.2999999998</v>
      </c>
      <c r="S122" s="189">
        <f t="shared" si="216"/>
        <v>1249018.2999999998</v>
      </c>
      <c r="T122" s="189">
        <f t="shared" si="217"/>
        <v>333669.04000000004</v>
      </c>
      <c r="U122" s="193">
        <f t="shared" si="218"/>
        <v>0.21082435650240311</v>
      </c>
    </row>
    <row r="123" spans="1:21" x14ac:dyDescent="0.25">
      <c r="A123" s="54" t="str">
        <f>VLOOKUP(B123,'SAP Contracts'!A:J,10,FALSE)</f>
        <v>Ziply - WA BAU SSP (legacy)</v>
      </c>
      <c r="B123" s="54">
        <f>VLOOKUP(C123,'Active North Sky Projects'!C:D,2,FALSE)</f>
        <v>21186</v>
      </c>
      <c r="C123" s="107" t="s">
        <v>126</v>
      </c>
      <c r="D123" s="225" t="str">
        <f>IFERROR(VLOOKUP(B123,'MTD Hours Paste Data'!A:C,3,FALSE),"")</f>
        <v/>
      </c>
      <c r="E123" s="64">
        <f>IFERROR(VLOOKUP(B123,'ACDOCA - Paste Data'!B:G,6,FALSE),0)</f>
        <v>0</v>
      </c>
      <c r="F123" s="64">
        <f t="shared" si="211"/>
        <v>0</v>
      </c>
      <c r="G123" s="64">
        <f>IFERROR(VLOOKUP(B123,'ACDOCA - Paste Data'!B:H,7,FALSE),0)</f>
        <v>0</v>
      </c>
      <c r="H123" s="64">
        <f t="shared" si="212"/>
        <v>0</v>
      </c>
      <c r="I123" s="64">
        <f t="shared" si="213"/>
        <v>0</v>
      </c>
      <c r="J123" s="65">
        <f t="shared" si="214"/>
        <v>0</v>
      </c>
      <c r="K123" s="198" t="str">
        <f>IFERROR(VLOOKUP(B123,'WIP - Paste Data'!B:E,4,FALSE),"")</f>
        <v/>
      </c>
      <c r="L123" s="64"/>
      <c r="M123" s="64"/>
      <c r="N123" s="66"/>
      <c r="O123" s="66"/>
      <c r="P123" s="189" t="str">
        <f>IFERROR(VLOOKUP(B123,'JTD Paste Data'!A:B,2,FALSE),"0")</f>
        <v>0</v>
      </c>
      <c r="Q123" s="189">
        <f t="shared" si="215"/>
        <v>0</v>
      </c>
      <c r="R123" s="189" t="str">
        <f>IFERROR(VLOOKUP(B123,'JTD Paste Data'!A:C,3,FALSE),"0")</f>
        <v>0</v>
      </c>
      <c r="S123" s="189">
        <f t="shared" si="216"/>
        <v>0</v>
      </c>
      <c r="T123" s="189">
        <f t="shared" si="217"/>
        <v>0</v>
      </c>
      <c r="U123" s="193">
        <f t="shared" si="218"/>
        <v>0</v>
      </c>
    </row>
    <row r="124" spans="1:21" x14ac:dyDescent="0.25">
      <c r="A124" s="54" t="str">
        <f>VLOOKUP(B124,'SAP Contracts'!A:J,10,FALSE)</f>
        <v>Ziply - WA FTTP MSA (Alton)</v>
      </c>
      <c r="B124" s="54">
        <f>VLOOKUP(C124,'Active North Sky Projects'!C:D,2,FALSE)</f>
        <v>21164</v>
      </c>
      <c r="C124" s="107" t="s">
        <v>161</v>
      </c>
      <c r="D124" s="225">
        <f>IFERROR(VLOOKUP(B124,'MTD Hours Paste Data'!A:C,3,FALSE),"")</f>
        <v>147.12</v>
      </c>
      <c r="E124" s="64">
        <f>IFERROR(VLOOKUP(B124,'ACDOCA - Paste Data'!B:G,6,FALSE),0)</f>
        <v>117076.53</v>
      </c>
      <c r="F124" s="64">
        <f t="shared" si="211"/>
        <v>117076.53</v>
      </c>
      <c r="G124" s="64">
        <f>IFERROR(VLOOKUP(B124,'ACDOCA - Paste Data'!B:H,7,FALSE),0)</f>
        <v>114528.55</v>
      </c>
      <c r="H124" s="64">
        <f t="shared" si="212"/>
        <v>114528.55</v>
      </c>
      <c r="I124" s="64">
        <f t="shared" si="213"/>
        <v>2547.9799999999959</v>
      </c>
      <c r="J124" s="65">
        <f t="shared" si="214"/>
        <v>2.176337136059632E-2</v>
      </c>
      <c r="K124" s="198">
        <f>IFERROR(VLOOKUP(B124,'WIP - Paste Data'!B:E,4,FALSE),"")</f>
        <v>645120.02999999991</v>
      </c>
      <c r="L124" s="64"/>
      <c r="M124" s="64"/>
      <c r="N124" s="66"/>
      <c r="O124" s="66"/>
      <c r="P124" s="189">
        <f>IFERROR(VLOOKUP(B124,'JTD Paste Data'!A:B,2,FALSE),"0")</f>
        <v>1333671.9000000001</v>
      </c>
      <c r="Q124" s="189">
        <f t="shared" si="215"/>
        <v>1333671.9000000001</v>
      </c>
      <c r="R124" s="189">
        <f>IFERROR(VLOOKUP(B124,'JTD Paste Data'!A:C,3,FALSE),"0")</f>
        <v>1069473.51</v>
      </c>
      <c r="S124" s="189">
        <f t="shared" si="216"/>
        <v>1069473.51</v>
      </c>
      <c r="T124" s="189">
        <f t="shared" si="217"/>
        <v>264198.39000000013</v>
      </c>
      <c r="U124" s="193">
        <f t="shared" si="218"/>
        <v>0.19809849034084029</v>
      </c>
    </row>
    <row r="125" spans="1:21" x14ac:dyDescent="0.25">
      <c r="A125" s="54" t="str">
        <f>VLOOKUP(B125,'SAP Contracts'!A:J,10,FALSE)</f>
        <v>Ziply - WA NESC Program</v>
      </c>
      <c r="B125" s="54">
        <f>VLOOKUP(C125,'Active North Sky Projects'!C:D,2,FALSE)</f>
        <v>21686</v>
      </c>
      <c r="C125" s="108" t="s">
        <v>913</v>
      </c>
      <c r="D125" s="225">
        <f>IFERROR(VLOOKUP(B125,'MTD Hours Paste Data'!A:C,3,FALSE),"")</f>
        <v>0</v>
      </c>
      <c r="E125" s="64">
        <f>IFERROR(VLOOKUP(B125,'ACDOCA - Paste Data'!B:G,6,FALSE),0)</f>
        <v>48623.25</v>
      </c>
      <c r="F125" s="64">
        <f t="shared" si="211"/>
        <v>48623.25</v>
      </c>
      <c r="G125" s="64">
        <f>IFERROR(VLOOKUP(B125,'ACDOCA - Paste Data'!B:H,7,FALSE),0)</f>
        <v>33940.57</v>
      </c>
      <c r="H125" s="64">
        <f t="shared" si="212"/>
        <v>33940.57</v>
      </c>
      <c r="I125" s="64">
        <f t="shared" si="213"/>
        <v>14682.68</v>
      </c>
      <c r="J125" s="65">
        <f t="shared" si="214"/>
        <v>0.30196829705953426</v>
      </c>
      <c r="K125" s="198">
        <f>IFERROR(VLOOKUP(B125,'WIP - Paste Data'!B:E,4,FALSE),"")</f>
        <v>206164.09999999998</v>
      </c>
      <c r="L125" s="64"/>
      <c r="M125" s="64"/>
      <c r="N125" s="66"/>
      <c r="O125" s="66"/>
      <c r="P125" s="189">
        <f>IFERROR(VLOOKUP(B125,'JTD Paste Data'!A:B,2,FALSE),"0")</f>
        <v>208223.6</v>
      </c>
      <c r="Q125" s="189">
        <f t="shared" si="215"/>
        <v>208223.6</v>
      </c>
      <c r="R125" s="189">
        <f>IFERROR(VLOOKUP(B125,'JTD Paste Data'!A:C,3,FALSE),"0")</f>
        <v>157578.69</v>
      </c>
      <c r="S125" s="189">
        <f t="shared" si="216"/>
        <v>157578.69</v>
      </c>
      <c r="T125" s="189">
        <f t="shared" si="217"/>
        <v>50644.91</v>
      </c>
      <c r="U125" s="193">
        <f t="shared" si="218"/>
        <v>0.24322367877608495</v>
      </c>
    </row>
    <row r="126" spans="1:21" ht="15.75" thickBot="1" x14ac:dyDescent="0.3">
      <c r="A126" s="75" t="s">
        <v>1152</v>
      </c>
      <c r="B126" s="68" t="s">
        <v>1153</v>
      </c>
      <c r="C126" s="68"/>
      <c r="D126" s="226"/>
      <c r="E126" s="68">
        <f>SUM(E115:E125)</f>
        <v>900601.77</v>
      </c>
      <c r="F126" s="68">
        <f>SUM(F115:F125)</f>
        <v>900601.77</v>
      </c>
      <c r="G126" s="68">
        <f>SUM(G115:G125)</f>
        <v>648515.86999999988</v>
      </c>
      <c r="H126" s="68">
        <f>SUM(H115:H125)</f>
        <v>648515.86999999988</v>
      </c>
      <c r="I126" s="68">
        <f>F126-H126</f>
        <v>252085.90000000014</v>
      </c>
      <c r="J126" s="69">
        <f t="shared" ref="J126" si="219">IFERROR(I126/F126,0)</f>
        <v>0.2799082884325223</v>
      </c>
      <c r="K126" s="206">
        <f>SUM(K115:K125)</f>
        <v>6042033.96</v>
      </c>
      <c r="L126" s="68">
        <f>SUM(L115:L125)</f>
        <v>0</v>
      </c>
      <c r="M126" s="68">
        <f>SUM(M115:M125)</f>
        <v>0</v>
      </c>
      <c r="N126" s="68"/>
      <c r="O126" s="68"/>
      <c r="P126" s="68">
        <f>SUM(P115:P125)</f>
        <v>28315690.039999999</v>
      </c>
      <c r="Q126" s="68">
        <f>SUM(Q115:Q125)</f>
        <v>28315690.039999999</v>
      </c>
      <c r="R126" s="68">
        <f>SUM(R115:R125)</f>
        <v>23033716.790000003</v>
      </c>
      <c r="S126" s="68">
        <f>SUM(S115:S125)</f>
        <v>23033716.790000003</v>
      </c>
      <c r="T126" s="68">
        <f>SUM(T115:T125)</f>
        <v>5281973.25</v>
      </c>
      <c r="U126" s="69">
        <f>IFERROR(T126/Q126,0)</f>
        <v>0.18653874380382221</v>
      </c>
    </row>
    <row r="127" spans="1:21" ht="14.25" x14ac:dyDescent="0.25">
      <c r="A127" s="113" t="s">
        <v>615</v>
      </c>
      <c r="B127" s="113"/>
      <c r="C127" s="113"/>
      <c r="D127" s="234"/>
      <c r="E127" s="60"/>
      <c r="F127" s="61"/>
      <c r="G127" s="60"/>
      <c r="H127" s="61"/>
      <c r="I127" s="61"/>
      <c r="J127" s="62"/>
      <c r="K127" s="197"/>
      <c r="L127" s="60"/>
      <c r="M127" s="60"/>
      <c r="N127" s="63"/>
      <c r="O127" s="63"/>
      <c r="P127" s="63"/>
      <c r="Q127" s="63"/>
      <c r="R127" s="63"/>
      <c r="S127" s="63"/>
      <c r="T127" s="63"/>
      <c r="U127" s="63"/>
    </row>
    <row r="128" spans="1:21" ht="14.25" x14ac:dyDescent="0.25">
      <c r="A128" s="114" t="s">
        <v>612</v>
      </c>
      <c r="B128" s="114"/>
      <c r="C128" s="114"/>
      <c r="D128" s="235"/>
      <c r="F128" s="73"/>
      <c r="H128" s="73"/>
      <c r="I128" s="73"/>
      <c r="J128" s="74"/>
      <c r="K128" s="205"/>
      <c r="N128" s="66"/>
      <c r="O128" s="66"/>
      <c r="P128" s="66"/>
      <c r="Q128" s="66"/>
      <c r="R128" s="66"/>
      <c r="S128" s="66"/>
      <c r="T128" s="66"/>
      <c r="U128" s="66"/>
    </row>
    <row r="129" spans="1:21" x14ac:dyDescent="0.25">
      <c r="A129" s="54" t="str">
        <f>VLOOKUP(B129,'SAP Contracts'!A:J,10,FALSE)</f>
        <v>Ziply - Eastern WA FTTP MSA</v>
      </c>
      <c r="B129" s="54">
        <f>VLOOKUP(C129,'Active North Sky Projects'!C:D,2,FALSE)</f>
        <v>21115</v>
      </c>
      <c r="C129" s="108" t="s">
        <v>134</v>
      </c>
      <c r="D129" s="225">
        <f>IFERROR(VLOOKUP(B129,'MTD Hours Paste Data'!A:C,3,FALSE),"")</f>
        <v>0</v>
      </c>
      <c r="E129" s="64">
        <f>IFERROR(VLOOKUP(B129,'ACDOCA - Paste Data'!B:G,6,FALSE),0)</f>
        <v>0</v>
      </c>
      <c r="F129" s="64">
        <f t="shared" ref="F129" si="220">E129 +L129</f>
        <v>0</v>
      </c>
      <c r="G129" s="64">
        <f>IFERROR(VLOOKUP(B129,'ACDOCA - Paste Data'!B:H,7,FALSE),0)</f>
        <v>0</v>
      </c>
      <c r="H129" s="64">
        <f t="shared" ref="H129" si="221">G129+M129</f>
        <v>0</v>
      </c>
      <c r="I129" s="64">
        <f t="shared" ref="I129" si="222">F129-H129</f>
        <v>0</v>
      </c>
      <c r="J129" s="65">
        <f t="shared" ref="J129:J143" si="223">IFERROR(I129/F129,0)</f>
        <v>0</v>
      </c>
      <c r="K129" s="198" t="str">
        <f>IFERROR(VLOOKUP(B129,'WIP - Paste Data'!B:E,4,FALSE),"")</f>
        <v/>
      </c>
      <c r="L129" s="64"/>
      <c r="M129" s="64"/>
      <c r="N129" s="66"/>
      <c r="O129" s="66"/>
      <c r="P129" s="189">
        <f>IFERROR(VLOOKUP(B129,'JTD Paste Data'!A:B,2,FALSE),"0")</f>
        <v>1053236.9099999999</v>
      </c>
      <c r="Q129" s="189">
        <f t="shared" ref="Q129" si="224">SUM(P129+L129)</f>
        <v>1053236.9099999999</v>
      </c>
      <c r="R129" s="189">
        <f>IFERROR(VLOOKUP(B129,'JTD Paste Data'!A:C,3,FALSE),"0")</f>
        <v>1022109.97</v>
      </c>
      <c r="S129" s="189">
        <f t="shared" ref="S129" si="225">SUM(R129+M129)</f>
        <v>1022109.97</v>
      </c>
      <c r="T129" s="189">
        <f t="shared" ref="T129" si="226">SUM(Q129-S129)</f>
        <v>31126.939999999944</v>
      </c>
      <c r="U129" s="193">
        <f t="shared" ref="U129" si="227">IFERROR(T129/Q129,0)</f>
        <v>2.9553597775072226E-2</v>
      </c>
    </row>
    <row r="130" spans="1:21" x14ac:dyDescent="0.25">
      <c r="A130" s="54" t="str">
        <f>VLOOKUP(B130,'SAP Contracts'!A:J,10,FALSE)</f>
        <v>Ziply - ID FTTH (2024-27)</v>
      </c>
      <c r="B130" s="54">
        <f>VLOOKUP(C130,'Active North Sky Projects'!C:D,2,FALSE)</f>
        <v>21287</v>
      </c>
      <c r="C130" s="108" t="s">
        <v>154</v>
      </c>
      <c r="D130" s="225">
        <f>IFERROR(VLOOKUP(B130,'MTD Hours Paste Data'!A:C,3,FALSE),"")</f>
        <v>0</v>
      </c>
      <c r="E130" s="64">
        <f>IFERROR(VLOOKUP(B130,'ACDOCA - Paste Data'!B:G,6,FALSE),0)</f>
        <v>0</v>
      </c>
      <c r="F130" s="64">
        <f t="shared" ref="F130:F143" si="228">E130 +L130</f>
        <v>0</v>
      </c>
      <c r="G130" s="64">
        <f>IFERROR(VLOOKUP(B130,'ACDOCA - Paste Data'!B:H,7,FALSE),0)</f>
        <v>0</v>
      </c>
      <c r="H130" s="64">
        <f t="shared" ref="H130:H143" si="229">G130+M130</f>
        <v>0</v>
      </c>
      <c r="I130" s="64">
        <f t="shared" ref="I130:I143" si="230">F130-H130</f>
        <v>0</v>
      </c>
      <c r="J130" s="65">
        <f t="shared" si="223"/>
        <v>0</v>
      </c>
      <c r="K130" s="198" t="str">
        <f>IFERROR(VLOOKUP(B130,'WIP - Paste Data'!B:E,4,FALSE),"")</f>
        <v/>
      </c>
      <c r="L130" s="64"/>
      <c r="M130" s="64"/>
      <c r="N130" s="66"/>
      <c r="O130" s="66"/>
      <c r="P130" s="189">
        <f>IFERROR(VLOOKUP(B130,'JTD Paste Data'!A:B,2,FALSE),"0")</f>
        <v>931677.64999999991</v>
      </c>
      <c r="Q130" s="189">
        <f t="shared" ref="Q130:Q162" si="231">SUM(P130+L130)</f>
        <v>931677.64999999991</v>
      </c>
      <c r="R130" s="189">
        <f>IFERROR(VLOOKUP(B130,'JTD Paste Data'!A:C,3,FALSE),"0")</f>
        <v>816553.35000000009</v>
      </c>
      <c r="S130" s="189">
        <f t="shared" ref="S130:S162" si="232">SUM(R130+M130)</f>
        <v>816553.35000000009</v>
      </c>
      <c r="T130" s="189">
        <f t="shared" ref="T130:T162" si="233">SUM(Q130-S130)</f>
        <v>115124.29999999981</v>
      </c>
      <c r="U130" s="193">
        <f t="shared" ref="U130:U162" si="234">IFERROR(T130/Q130,0)</f>
        <v>0.12356666492965654</v>
      </c>
    </row>
    <row r="131" spans="1:21" x14ac:dyDescent="0.25">
      <c r="A131" s="54" t="str">
        <f>VLOOKUP(B131,'SAP Contracts'!A:J,10,FALSE)</f>
        <v>Ziply - ID FTTH Soft Scape Bid WOs (354)</v>
      </c>
      <c r="B131" s="54">
        <f>VLOOKUP(C131,'Active North Sky Projects'!C:D,2,FALSE)</f>
        <v>21536</v>
      </c>
      <c r="C131" s="108" t="s">
        <v>758</v>
      </c>
      <c r="D131" s="225">
        <f>IFERROR(VLOOKUP(B131,'MTD Hours Paste Data'!A:C,3,FALSE),"")</f>
        <v>0</v>
      </c>
      <c r="E131" s="64">
        <f>IFERROR(VLOOKUP(B131,'ACDOCA - Paste Data'!B:G,6,FALSE),0)</f>
        <v>0</v>
      </c>
      <c r="F131" s="64">
        <f t="shared" si="228"/>
        <v>0</v>
      </c>
      <c r="G131" s="64">
        <f>IFERROR(VLOOKUP(B131,'ACDOCA - Paste Data'!B:H,7,FALSE),0)</f>
        <v>0</v>
      </c>
      <c r="H131" s="64">
        <f t="shared" si="229"/>
        <v>0</v>
      </c>
      <c r="I131" s="64">
        <f t="shared" si="230"/>
        <v>0</v>
      </c>
      <c r="J131" s="65">
        <f t="shared" si="223"/>
        <v>0</v>
      </c>
      <c r="K131" s="198" t="str">
        <f>IFERROR(VLOOKUP(B131,'WIP - Paste Data'!B:E,4,FALSE),"")</f>
        <v/>
      </c>
      <c r="L131" s="64"/>
      <c r="M131" s="64"/>
      <c r="N131" s="66"/>
      <c r="O131" s="66"/>
      <c r="P131" s="189">
        <f>IFERROR(VLOOKUP(B131,'JTD Paste Data'!A:B,2,FALSE),"0")</f>
        <v>7358</v>
      </c>
      <c r="Q131" s="189">
        <f t="shared" si="231"/>
        <v>7358</v>
      </c>
      <c r="R131" s="189">
        <f>IFERROR(VLOOKUP(B131,'JTD Paste Data'!A:C,3,FALSE),"0")</f>
        <v>23841.07</v>
      </c>
      <c r="S131" s="189">
        <f t="shared" si="232"/>
        <v>23841.07</v>
      </c>
      <c r="T131" s="189">
        <f t="shared" si="233"/>
        <v>-16483.07</v>
      </c>
      <c r="U131" s="193">
        <f t="shared" si="234"/>
        <v>-2.2401562924707799</v>
      </c>
    </row>
    <row r="132" spans="1:21" x14ac:dyDescent="0.25">
      <c r="A132" s="54" t="str">
        <f>VLOOKUP(B132,'SAP Contracts'!A:J,10,FALSE)</f>
        <v>Ziply - MT FTTH MSA (2024-27)</v>
      </c>
      <c r="B132" s="54">
        <f>VLOOKUP(C132,'Active North Sky Projects'!C:D,2,FALSE)</f>
        <v>21214</v>
      </c>
      <c r="C132" s="108" t="s">
        <v>162</v>
      </c>
      <c r="D132" s="225">
        <f>IFERROR(VLOOKUP(B132,'MTD Hours Paste Data'!A:C,3,FALSE),"")</f>
        <v>0.56999999999999995</v>
      </c>
      <c r="E132" s="64">
        <f>IFERROR(VLOOKUP(B132,'ACDOCA - Paste Data'!B:G,6,FALSE),0)</f>
        <v>3639.6</v>
      </c>
      <c r="F132" s="64">
        <f t="shared" si="228"/>
        <v>3639.6</v>
      </c>
      <c r="G132" s="64">
        <f>IFERROR(VLOOKUP(B132,'ACDOCA - Paste Data'!B:H,7,FALSE),0)</f>
        <v>-10111.41</v>
      </c>
      <c r="H132" s="64">
        <f t="shared" si="229"/>
        <v>-10111.41</v>
      </c>
      <c r="I132" s="64">
        <f t="shared" si="230"/>
        <v>13751.01</v>
      </c>
      <c r="J132" s="65">
        <f t="shared" si="223"/>
        <v>3.7781651829871414</v>
      </c>
      <c r="K132" s="198">
        <f>IFERROR(VLOOKUP(B132,'WIP - Paste Data'!B:E,4,FALSE),"")</f>
        <v>297724.79999999999</v>
      </c>
      <c r="L132" s="64"/>
      <c r="M132" s="64"/>
      <c r="N132" s="66"/>
      <c r="O132" s="66"/>
      <c r="P132" s="189">
        <f>IFERROR(VLOOKUP(B132,'JTD Paste Data'!A:B,2,FALSE),"0")</f>
        <v>1614051.34</v>
      </c>
      <c r="Q132" s="189">
        <f t="shared" si="231"/>
        <v>1614051.34</v>
      </c>
      <c r="R132" s="189">
        <f>IFERROR(VLOOKUP(B132,'JTD Paste Data'!A:C,3,FALSE),"0")</f>
        <v>1321687.53</v>
      </c>
      <c r="S132" s="189">
        <f t="shared" si="232"/>
        <v>1321687.53</v>
      </c>
      <c r="T132" s="189">
        <f t="shared" si="233"/>
        <v>292363.81000000006</v>
      </c>
      <c r="U132" s="193">
        <f t="shared" si="234"/>
        <v>0.18113662357233323</v>
      </c>
    </row>
    <row r="133" spans="1:21" x14ac:dyDescent="0.25">
      <c r="A133" s="54" t="str">
        <f>VLOOKUP(B133,'SAP Contracts'!A:J,10,FALSE)</f>
        <v>Ziply - OR FTTP MSA (2024-27)</v>
      </c>
      <c r="B133" s="54">
        <f>VLOOKUP(C133,'Active North Sky Projects'!C:D,2,FALSE)</f>
        <v>21137</v>
      </c>
      <c r="C133" s="108" t="s">
        <v>122</v>
      </c>
      <c r="D133" s="225">
        <f>IFERROR(VLOOKUP(B133,'MTD Hours Paste Data'!A:C,3,FALSE),"")</f>
        <v>381.26</v>
      </c>
      <c r="E133" s="64">
        <f>IFERROR(VLOOKUP(B133,'ACDOCA - Paste Data'!B:G,6,FALSE),0)</f>
        <v>176306.83</v>
      </c>
      <c r="F133" s="64">
        <f t="shared" si="228"/>
        <v>176306.83</v>
      </c>
      <c r="G133" s="64">
        <f>IFERROR(VLOOKUP(B133,'ACDOCA - Paste Data'!B:H,7,FALSE),0)</f>
        <v>147225.73000000001</v>
      </c>
      <c r="H133" s="64">
        <f t="shared" si="229"/>
        <v>147225.73000000001</v>
      </c>
      <c r="I133" s="64">
        <f t="shared" si="230"/>
        <v>29081.099999999977</v>
      </c>
      <c r="J133" s="65">
        <f t="shared" si="223"/>
        <v>0.16494596380639354</v>
      </c>
      <c r="K133" s="198">
        <f>IFERROR(VLOOKUP(B133,'WIP - Paste Data'!B:E,4,FALSE),"")</f>
        <v>990512.03000000014</v>
      </c>
      <c r="L133" s="64"/>
      <c r="M133" s="64"/>
      <c r="N133" s="66"/>
      <c r="O133" s="66"/>
      <c r="P133" s="189">
        <f>IFERROR(VLOOKUP(B133,'JTD Paste Data'!A:B,2,FALSE),"0")</f>
        <v>7612952</v>
      </c>
      <c r="Q133" s="189">
        <f t="shared" si="231"/>
        <v>7612952</v>
      </c>
      <c r="R133" s="189">
        <f>IFERROR(VLOOKUP(B133,'JTD Paste Data'!A:C,3,FALSE),"0")</f>
        <v>6631760.8700000001</v>
      </c>
      <c r="S133" s="189">
        <f t="shared" si="232"/>
        <v>6631760.8700000001</v>
      </c>
      <c r="T133" s="189">
        <f t="shared" si="233"/>
        <v>981191.12999999989</v>
      </c>
      <c r="U133" s="193">
        <f t="shared" si="234"/>
        <v>0.12888444981657574</v>
      </c>
    </row>
    <row r="134" spans="1:21" x14ac:dyDescent="0.25">
      <c r="A134" s="54" t="str">
        <f>VLOOKUP(B134,'SAP Contracts'!A:J,10,FALSE)</f>
        <v>Ziply - OR Softscape FTTP (1450)</v>
      </c>
      <c r="B134" s="54">
        <f>VLOOKUP(C134,'Active North Sky Projects'!C:D,2,FALSE)</f>
        <v>21170</v>
      </c>
      <c r="C134" s="108" t="s">
        <v>178</v>
      </c>
      <c r="D134" s="225">
        <f>IFERROR(VLOOKUP(B134,'MTD Hours Paste Data'!A:C,3,FALSE),"")</f>
        <v>0</v>
      </c>
      <c r="E134" s="64">
        <f>IFERROR(VLOOKUP(B134,'ACDOCA - Paste Data'!B:G,6,FALSE),0)</f>
        <v>0</v>
      </c>
      <c r="F134" s="64">
        <f t="shared" si="228"/>
        <v>0</v>
      </c>
      <c r="G134" s="64">
        <f>IFERROR(VLOOKUP(B134,'ACDOCA - Paste Data'!B:H,7,FALSE),0)</f>
        <v>353.05</v>
      </c>
      <c r="H134" s="64">
        <f t="shared" si="229"/>
        <v>353.05</v>
      </c>
      <c r="I134" s="64">
        <f t="shared" si="230"/>
        <v>-353.05</v>
      </c>
      <c r="J134" s="65">
        <f t="shared" si="223"/>
        <v>0</v>
      </c>
      <c r="K134" s="198">
        <f>IFERROR(VLOOKUP(B134,'WIP - Paste Data'!B:E,4,FALSE),"")</f>
        <v>150657.85</v>
      </c>
      <c r="L134" s="64"/>
      <c r="M134" s="64"/>
      <c r="N134" s="66"/>
      <c r="O134" s="66"/>
      <c r="P134" s="189">
        <f>IFERROR(VLOOKUP(B134,'JTD Paste Data'!A:B,2,FALSE),"0")</f>
        <v>2430365.9500000002</v>
      </c>
      <c r="Q134" s="189">
        <f t="shared" si="231"/>
        <v>2430365.9500000002</v>
      </c>
      <c r="R134" s="189">
        <f>IFERROR(VLOOKUP(B134,'JTD Paste Data'!A:C,3,FALSE),"0")</f>
        <v>2464361.9900000002</v>
      </c>
      <c r="S134" s="189">
        <f t="shared" si="232"/>
        <v>2464361.9900000002</v>
      </c>
      <c r="T134" s="189">
        <f t="shared" si="233"/>
        <v>-33996.040000000037</v>
      </c>
      <c r="U134" s="193">
        <f t="shared" si="234"/>
        <v>-1.3988033365921719E-2</v>
      </c>
    </row>
    <row r="135" spans="1:21" x14ac:dyDescent="0.25">
      <c r="A135" s="54" t="str">
        <f>VLOOKUP(B135,'SAP Contracts'!A:J,10,FALSE)</f>
        <v>Ziply - Softscape FTTP-Keizer 6005282</v>
      </c>
      <c r="B135" s="54">
        <f>VLOOKUP(C135,'Active North Sky Projects'!C:D,2,FALSE)</f>
        <v>21123</v>
      </c>
      <c r="C135" s="108" t="s">
        <v>176</v>
      </c>
      <c r="D135" s="225" t="str">
        <f>IFERROR(VLOOKUP(B135,'MTD Hours Paste Data'!A:C,3,FALSE),"")</f>
        <v/>
      </c>
      <c r="E135" s="64">
        <f>IFERROR(VLOOKUP(B135,'ACDOCA - Paste Data'!B:G,6,FALSE),0)</f>
        <v>0</v>
      </c>
      <c r="F135" s="64">
        <f t="shared" si="228"/>
        <v>0</v>
      </c>
      <c r="G135" s="64">
        <f>IFERROR(VLOOKUP(B135,'ACDOCA - Paste Data'!B:H,7,FALSE),0)</f>
        <v>630</v>
      </c>
      <c r="H135" s="64">
        <f t="shared" si="229"/>
        <v>630</v>
      </c>
      <c r="I135" s="64">
        <f t="shared" si="230"/>
        <v>-630</v>
      </c>
      <c r="J135" s="65">
        <f t="shared" si="223"/>
        <v>0</v>
      </c>
      <c r="K135" s="198" t="str">
        <f>IFERROR(VLOOKUP(B135,'WIP - Paste Data'!B:E,4,FALSE),"")</f>
        <v/>
      </c>
      <c r="L135" s="64"/>
      <c r="M135" s="64"/>
      <c r="N135" s="66"/>
      <c r="O135" s="66"/>
      <c r="P135" s="189">
        <f>IFERROR(VLOOKUP(B135,'JTD Paste Data'!A:B,2,FALSE),"0")</f>
        <v>130835</v>
      </c>
      <c r="Q135" s="189">
        <f t="shared" si="231"/>
        <v>130835</v>
      </c>
      <c r="R135" s="189">
        <f>IFERROR(VLOOKUP(B135,'JTD Paste Data'!A:C,3,FALSE),"0")</f>
        <v>115111.66</v>
      </c>
      <c r="S135" s="189">
        <f t="shared" si="232"/>
        <v>115111.66</v>
      </c>
      <c r="T135" s="189">
        <f t="shared" si="233"/>
        <v>15723.339999999997</v>
      </c>
      <c r="U135" s="193">
        <f t="shared" si="234"/>
        <v>0.12017686398899374</v>
      </c>
    </row>
    <row r="136" spans="1:21" x14ac:dyDescent="0.25">
      <c r="A136" s="54" t="str">
        <f>VLOOKUP(B136,'SAP Contracts'!A:J,10,FALSE)</f>
        <v>Ziply - Softscape Keizer FTTP</v>
      </c>
      <c r="B136" s="54">
        <f>VLOOKUP(C136,'Active North Sky Projects'!C:D,2,FALSE)</f>
        <v>21458</v>
      </c>
      <c r="C136" s="108" t="s">
        <v>163</v>
      </c>
      <c r="D136" s="225" t="str">
        <f>IFERROR(VLOOKUP(B136,'MTD Hours Paste Data'!A:C,3,FALSE),"")</f>
        <v/>
      </c>
      <c r="E136" s="64">
        <f>IFERROR(VLOOKUP(B136,'ACDOCA - Paste Data'!B:G,6,FALSE),0)</f>
        <v>0</v>
      </c>
      <c r="F136" s="64">
        <f t="shared" si="228"/>
        <v>0</v>
      </c>
      <c r="G136" s="64">
        <f>IFERROR(VLOOKUP(B136,'ACDOCA - Paste Data'!B:H,7,FALSE),0)</f>
        <v>0</v>
      </c>
      <c r="H136" s="64">
        <f t="shared" si="229"/>
        <v>0</v>
      </c>
      <c r="I136" s="64">
        <f t="shared" si="230"/>
        <v>0</v>
      </c>
      <c r="J136" s="65">
        <f t="shared" si="223"/>
        <v>0</v>
      </c>
      <c r="K136" s="198" t="str">
        <f>IFERROR(VLOOKUP(B136,'WIP - Paste Data'!B:E,4,FALSE),"")</f>
        <v/>
      </c>
      <c r="L136" s="64"/>
      <c r="M136" s="64"/>
      <c r="N136" s="66"/>
      <c r="O136" s="66"/>
      <c r="P136" s="189">
        <f>IFERROR(VLOOKUP(B136,'JTD Paste Data'!A:B,2,FALSE),"0")</f>
        <v>1445362.65</v>
      </c>
      <c r="Q136" s="189">
        <f t="shared" si="231"/>
        <v>1445362.65</v>
      </c>
      <c r="R136" s="189">
        <f>IFERROR(VLOOKUP(B136,'JTD Paste Data'!A:C,3,FALSE),"0")</f>
        <v>1163143.42</v>
      </c>
      <c r="S136" s="189">
        <f t="shared" si="232"/>
        <v>1163143.42</v>
      </c>
      <c r="T136" s="189">
        <f t="shared" si="233"/>
        <v>282219.23</v>
      </c>
      <c r="U136" s="193">
        <f t="shared" si="234"/>
        <v>0.19525842182237102</v>
      </c>
    </row>
    <row r="137" spans="1:21" x14ac:dyDescent="0.25">
      <c r="A137" s="54" t="str">
        <f>VLOOKUP(B137,'SAP Contracts'!A:J,10,FALSE)</f>
        <v>Ziply - Softscape Sammamish FTTP</v>
      </c>
      <c r="B137" s="54">
        <f>VLOOKUP(C137,'Active North Sky Projects'!C:D,2,FALSE)</f>
        <v>21597</v>
      </c>
      <c r="C137" s="108" t="s">
        <v>165</v>
      </c>
      <c r="D137" s="225" t="str">
        <f>IFERROR(VLOOKUP(B137,'MTD Hours Paste Data'!A:C,3,FALSE),"")</f>
        <v/>
      </c>
      <c r="E137" s="64">
        <f>IFERROR(VLOOKUP(B137,'ACDOCA - Paste Data'!B:G,6,FALSE),0)</f>
        <v>0</v>
      </c>
      <c r="F137" s="64">
        <f t="shared" si="228"/>
        <v>0</v>
      </c>
      <c r="G137" s="64">
        <f>IFERROR(VLOOKUP(B137,'ACDOCA - Paste Data'!B:H,7,FALSE),0)</f>
        <v>261.25</v>
      </c>
      <c r="H137" s="64">
        <f t="shared" si="229"/>
        <v>261.25</v>
      </c>
      <c r="I137" s="64">
        <f t="shared" si="230"/>
        <v>-261.25</v>
      </c>
      <c r="J137" s="65">
        <f t="shared" si="223"/>
        <v>0</v>
      </c>
      <c r="K137" s="198">
        <f>IFERROR(VLOOKUP(B137,'WIP - Paste Data'!B:E,4,FALSE),"")</f>
        <v>9555</v>
      </c>
      <c r="L137" s="64"/>
      <c r="M137" s="64"/>
      <c r="N137" s="66"/>
      <c r="O137" s="66"/>
      <c r="P137" s="189">
        <f>IFERROR(VLOOKUP(B137,'JTD Paste Data'!A:B,2,FALSE),"0")</f>
        <v>386694.77</v>
      </c>
      <c r="Q137" s="189">
        <f t="shared" si="231"/>
        <v>386694.77</v>
      </c>
      <c r="R137" s="189">
        <f>IFERROR(VLOOKUP(B137,'JTD Paste Data'!A:C,3,FALSE),"0")</f>
        <v>362273.77</v>
      </c>
      <c r="S137" s="189">
        <f t="shared" si="232"/>
        <v>362273.77</v>
      </c>
      <c r="T137" s="189">
        <f t="shared" si="233"/>
        <v>24421</v>
      </c>
      <c r="U137" s="193">
        <f t="shared" si="234"/>
        <v>6.3153168583066174E-2</v>
      </c>
    </row>
    <row r="138" spans="1:21" x14ac:dyDescent="0.25">
      <c r="A138" s="54" t="str">
        <f>VLOOKUP(B138,'SAP Contracts'!A:J,10,FALSE)</f>
        <v>Ziply - WA FTTP MSA (2024-27)</v>
      </c>
      <c r="B138" s="54">
        <f>VLOOKUP(C138,'Active North Sky Projects'!C:D,2,FALSE)</f>
        <v>21245</v>
      </c>
      <c r="C138" s="107" t="s">
        <v>125</v>
      </c>
      <c r="D138" s="225">
        <f>IFERROR(VLOOKUP(B138,'MTD Hours Paste Data'!A:C,3,FALSE),"")</f>
        <v>1505.33</v>
      </c>
      <c r="E138" s="64">
        <f>IFERROR(VLOOKUP(B138,'ACDOCA - Paste Data'!B:G,6,FALSE),0)</f>
        <v>1097845.3999999999</v>
      </c>
      <c r="F138" s="64">
        <f t="shared" si="228"/>
        <v>1097845.3999999999</v>
      </c>
      <c r="G138" s="64">
        <f>IFERROR(VLOOKUP(B138,'ACDOCA - Paste Data'!B:H,7,FALSE),0)</f>
        <v>1029185.62</v>
      </c>
      <c r="H138" s="64">
        <f t="shared" si="229"/>
        <v>1029185.62</v>
      </c>
      <c r="I138" s="64">
        <f t="shared" si="230"/>
        <v>68659.779999999912</v>
      </c>
      <c r="J138" s="65">
        <f t="shared" si="223"/>
        <v>6.2540481565072747E-2</v>
      </c>
      <c r="K138" s="198">
        <f>IFERROR(VLOOKUP(B138,'WIP - Paste Data'!B:E,4,FALSE),"")</f>
        <v>11948348.08</v>
      </c>
      <c r="L138" s="64"/>
      <c r="M138" s="64"/>
      <c r="N138" s="66"/>
      <c r="O138" s="66"/>
      <c r="P138" s="189">
        <f>IFERROR(VLOOKUP(B138,'JTD Paste Data'!A:B,2,FALSE),"0")</f>
        <v>15725285.559999999</v>
      </c>
      <c r="Q138" s="189">
        <f t="shared" si="231"/>
        <v>15725285.559999999</v>
      </c>
      <c r="R138" s="189">
        <f>IFERROR(VLOOKUP(B138,'JTD Paste Data'!A:C,3,FALSE),"0")</f>
        <v>12613796.16</v>
      </c>
      <c r="S138" s="189">
        <f t="shared" si="232"/>
        <v>12613796.16</v>
      </c>
      <c r="T138" s="189">
        <f t="shared" si="233"/>
        <v>3111489.3999999985</v>
      </c>
      <c r="U138" s="193">
        <f t="shared" si="234"/>
        <v>0.19786536709480262</v>
      </c>
    </row>
    <row r="139" spans="1:21" x14ac:dyDescent="0.25">
      <c r="A139" s="54" t="str">
        <f>VLOOKUP(B139,'SAP Contracts'!A:J,10,FALSE)</f>
        <v>Ziply - Hwy 530 WO 5513611</v>
      </c>
      <c r="B139" s="118">
        <v>21248</v>
      </c>
      <c r="C139" s="107" t="s">
        <v>1614</v>
      </c>
      <c r="D139" s="225" t="str">
        <f>IFERROR(VLOOKUP(B139,'MTD Hours Paste Data'!A:C,3,FALSE),"")</f>
        <v/>
      </c>
      <c r="E139" s="64">
        <f>IFERROR(VLOOKUP(B139,'ACDOCA - Paste Data'!B:G,6,FALSE),0)</f>
        <v>0</v>
      </c>
      <c r="F139" s="64">
        <f t="shared" ref="F139" si="235">E139 +L139</f>
        <v>0</v>
      </c>
      <c r="G139" s="64">
        <f>IFERROR(VLOOKUP(B139,'ACDOCA - Paste Data'!B:H,7,FALSE),0)</f>
        <v>711</v>
      </c>
      <c r="H139" s="64">
        <f t="shared" ref="H139" si="236">G139+M139</f>
        <v>711</v>
      </c>
      <c r="I139" s="64">
        <f t="shared" ref="I139" si="237">F139-H139</f>
        <v>-711</v>
      </c>
      <c r="J139" s="65">
        <f t="shared" ref="J139" si="238">IFERROR(I139/F139,0)</f>
        <v>0</v>
      </c>
      <c r="K139" s="198">
        <f>IFERROR(VLOOKUP(B139,'WIP - Paste Data'!B:E,4,FALSE),"")</f>
        <v>220917.48</v>
      </c>
      <c r="L139" s="64"/>
      <c r="M139" s="64"/>
      <c r="N139" s="66"/>
      <c r="O139" s="66"/>
      <c r="P139" s="189">
        <f>IFERROR(VLOOKUP(B139,'JTD Paste Data'!A:B,2,FALSE),"0")</f>
        <v>220917.48</v>
      </c>
      <c r="Q139" s="189">
        <f t="shared" si="231"/>
        <v>220917.48</v>
      </c>
      <c r="R139" s="189">
        <f>IFERROR(VLOOKUP(B139,'JTD Paste Data'!A:C,3,FALSE),"0")</f>
        <v>169680.99</v>
      </c>
      <c r="S139" s="189">
        <f t="shared" si="232"/>
        <v>169680.99</v>
      </c>
      <c r="T139" s="189">
        <f t="shared" si="233"/>
        <v>51236.49000000002</v>
      </c>
      <c r="U139" s="193">
        <f t="shared" si="234"/>
        <v>0.23192592093663217</v>
      </c>
    </row>
    <row r="140" spans="1:21" x14ac:dyDescent="0.25">
      <c r="A140" s="54" t="str">
        <f>VLOOKUP(B140,'SAP Contracts'!A:J,10,FALSE)</f>
        <v>Ziply - Hwy 530 WO 5513478 H4203</v>
      </c>
      <c r="B140" s="118">
        <v>21235</v>
      </c>
      <c r="C140" s="107">
        <v>1485233</v>
      </c>
      <c r="D140" s="225" t="str">
        <f>IFERROR(VLOOKUP(B140,'MTD Hours Paste Data'!A:C,3,FALSE),"")</f>
        <v/>
      </c>
      <c r="E140" s="64">
        <f>IFERROR(VLOOKUP(B140,'ACDOCA - Paste Data'!B:G,6,FALSE),0)</f>
        <v>0</v>
      </c>
      <c r="F140" s="64">
        <f t="shared" ref="F140" si="239">E140 +L140</f>
        <v>0</v>
      </c>
      <c r="G140" s="64">
        <f>IFERROR(VLOOKUP(B140,'ACDOCA - Paste Data'!B:H,7,FALSE),0)</f>
        <v>1963.7</v>
      </c>
      <c r="H140" s="64">
        <f t="shared" ref="H140" si="240">G140+M140</f>
        <v>1963.7</v>
      </c>
      <c r="I140" s="64">
        <f t="shared" ref="I140" si="241">F140-H140</f>
        <v>-1963.7</v>
      </c>
      <c r="J140" s="65">
        <f t="shared" ref="J140" si="242">IFERROR(I140/F140,0)</f>
        <v>0</v>
      </c>
      <c r="K140" s="198">
        <f>IFERROR(VLOOKUP(B140,'WIP - Paste Data'!B:E,4,FALSE),"")</f>
        <v>3166.95</v>
      </c>
      <c r="L140" s="64"/>
      <c r="M140" s="64"/>
      <c r="N140" s="66"/>
      <c r="O140" s="66"/>
      <c r="P140" s="189">
        <f>IFERROR(VLOOKUP(B140,'JTD Paste Data'!A:B,2,FALSE),"0")</f>
        <v>181193.56</v>
      </c>
      <c r="Q140" s="189">
        <f t="shared" si="231"/>
        <v>181193.56</v>
      </c>
      <c r="R140" s="189">
        <f>IFERROR(VLOOKUP(B140,'JTD Paste Data'!A:C,3,FALSE),"0")</f>
        <v>119300.68000000001</v>
      </c>
      <c r="S140" s="189">
        <f t="shared" si="232"/>
        <v>119300.68000000001</v>
      </c>
      <c r="T140" s="189">
        <f t="shared" si="233"/>
        <v>61892.87999999999</v>
      </c>
      <c r="U140" s="193">
        <f t="shared" si="234"/>
        <v>0.34158432562393493</v>
      </c>
    </row>
    <row r="141" spans="1:21" x14ac:dyDescent="0.25">
      <c r="A141" s="54" t="str">
        <f>VLOOKUP(B141,'SAP Contracts'!A:J,10,FALSE)</f>
        <v>Ziply - WA FTTP MSA (Cody)</v>
      </c>
      <c r="B141" s="54">
        <f>VLOOKUP(C141,'Active North Sky Projects'!C:D,2,FALSE)</f>
        <v>21471</v>
      </c>
      <c r="C141" s="107" t="s">
        <v>180</v>
      </c>
      <c r="D141" s="225" t="str">
        <f>IFERROR(VLOOKUP(B141,'MTD Hours Paste Data'!A:C,3,FALSE),"")</f>
        <v/>
      </c>
      <c r="E141" s="64">
        <f>IFERROR(VLOOKUP(B141,'ACDOCA - Paste Data'!B:G,6,FALSE),0)</f>
        <v>0</v>
      </c>
      <c r="F141" s="64">
        <f t="shared" si="228"/>
        <v>0</v>
      </c>
      <c r="G141" s="64">
        <f>IFERROR(VLOOKUP(B141,'ACDOCA - Paste Data'!B:H,7,FALSE),0)</f>
        <v>0</v>
      </c>
      <c r="H141" s="64">
        <f t="shared" si="229"/>
        <v>0</v>
      </c>
      <c r="I141" s="64">
        <f t="shared" si="230"/>
        <v>0</v>
      </c>
      <c r="J141" s="65">
        <f t="shared" si="223"/>
        <v>0</v>
      </c>
      <c r="K141" s="198">
        <f>IFERROR(VLOOKUP(B141,'WIP - Paste Data'!B:E,4,FALSE),"")</f>
        <v>43173.04</v>
      </c>
      <c r="L141" s="64"/>
      <c r="M141" s="64"/>
      <c r="N141" s="66"/>
      <c r="O141" s="66"/>
      <c r="P141" s="189">
        <f>IFERROR(VLOOKUP(B141,'JTD Paste Data'!A:B,2,FALSE),"0")</f>
        <v>220711.97</v>
      </c>
      <c r="Q141" s="189">
        <f t="shared" si="231"/>
        <v>220711.97</v>
      </c>
      <c r="R141" s="189">
        <f>IFERROR(VLOOKUP(B141,'JTD Paste Data'!A:C,3,FALSE),"0")</f>
        <v>211934.13</v>
      </c>
      <c r="S141" s="189">
        <f t="shared" si="232"/>
        <v>211934.13</v>
      </c>
      <c r="T141" s="189">
        <f t="shared" si="233"/>
        <v>8777.8399999999965</v>
      </c>
      <c r="U141" s="193">
        <f t="shared" si="234"/>
        <v>3.977056613649E-2</v>
      </c>
    </row>
    <row r="142" spans="1:21" ht="15" customHeight="1" x14ac:dyDescent="0.25">
      <c r="A142" s="54" t="str">
        <f>VLOOKUP(B142,'SAP Contracts'!A:J,10,FALSE)</f>
        <v>Ziply - WA FTTP MSA legacy)</v>
      </c>
      <c r="B142" s="54">
        <f>VLOOKUP(C142,'Active North Sky Projects'!C:D,2,FALSE)</f>
        <v>21587</v>
      </c>
      <c r="C142" s="107" t="s">
        <v>426</v>
      </c>
      <c r="D142" s="225" t="str">
        <f>IFERROR(VLOOKUP(B142,'MTD Hours Paste Data'!A:C,3,FALSE),"")</f>
        <v/>
      </c>
      <c r="E142" s="64">
        <f>IFERROR(VLOOKUP(B142,'ACDOCA - Paste Data'!B:G,6,FALSE),0)</f>
        <v>0</v>
      </c>
      <c r="F142" s="64">
        <f t="shared" si="228"/>
        <v>0</v>
      </c>
      <c r="G142" s="64">
        <f>IFERROR(VLOOKUP(B142,'ACDOCA - Paste Data'!B:H,7,FALSE),0)</f>
        <v>0</v>
      </c>
      <c r="H142" s="64">
        <f t="shared" si="229"/>
        <v>0</v>
      </c>
      <c r="I142" s="64">
        <f t="shared" si="230"/>
        <v>0</v>
      </c>
      <c r="J142" s="65">
        <f t="shared" si="223"/>
        <v>0</v>
      </c>
      <c r="K142" s="198" t="str">
        <f>IFERROR(VLOOKUP(B142,'WIP - Paste Data'!B:E,4,FALSE),"")</f>
        <v/>
      </c>
      <c r="L142" s="64"/>
      <c r="M142" s="64"/>
      <c r="N142" s="66"/>
      <c r="O142" s="66"/>
      <c r="P142" s="189" t="str">
        <f>IFERROR(VLOOKUP(B142,'JTD Paste Data'!A:B,2,FALSE),"0")</f>
        <v>0</v>
      </c>
      <c r="Q142" s="189">
        <f t="shared" si="231"/>
        <v>0</v>
      </c>
      <c r="R142" s="189" t="str">
        <f>IFERROR(VLOOKUP(B142,'JTD Paste Data'!A:C,3,FALSE),"0")</f>
        <v>0</v>
      </c>
      <c r="S142" s="189">
        <f t="shared" si="232"/>
        <v>0</v>
      </c>
      <c r="T142" s="189">
        <f t="shared" si="233"/>
        <v>0</v>
      </c>
      <c r="U142" s="193">
        <f t="shared" si="234"/>
        <v>0</v>
      </c>
    </row>
    <row r="143" spans="1:21" ht="15" customHeight="1" x14ac:dyDescent="0.25">
      <c r="A143" s="54" t="str">
        <f>VLOOKUP(B143,'SAP Contracts'!A:J,10,FALSE)</f>
        <v>Ziply - WA Softscape FTTP (1450)</v>
      </c>
      <c r="B143" s="54">
        <f>VLOOKUP(C143,'Active North Sky Projects'!C:D,2,FALSE)</f>
        <v>21491</v>
      </c>
      <c r="C143" s="108" t="s">
        <v>181</v>
      </c>
      <c r="D143" s="225">
        <f>IFERROR(VLOOKUP(B143,'MTD Hours Paste Data'!A:C,3,FALSE),"")</f>
        <v>66.37</v>
      </c>
      <c r="E143" s="64">
        <f>IFERROR(VLOOKUP(B143,'ACDOCA - Paste Data'!B:G,6,FALSE),0)</f>
        <v>29950.73</v>
      </c>
      <c r="F143" s="64">
        <f t="shared" si="228"/>
        <v>29950.73</v>
      </c>
      <c r="G143" s="64">
        <f>IFERROR(VLOOKUP(B143,'ACDOCA - Paste Data'!B:H,7,FALSE),0)</f>
        <v>10488.41</v>
      </c>
      <c r="H143" s="64">
        <f t="shared" si="229"/>
        <v>10488.41</v>
      </c>
      <c r="I143" s="64">
        <f t="shared" si="230"/>
        <v>19462.32</v>
      </c>
      <c r="J143" s="65">
        <f t="shared" si="223"/>
        <v>0.64981120660498093</v>
      </c>
      <c r="K143" s="198">
        <f>IFERROR(VLOOKUP(B143,'WIP - Paste Data'!B:E,4,FALSE),"")</f>
        <v>2434315.2999999998</v>
      </c>
      <c r="L143" s="64"/>
      <c r="M143" s="64"/>
      <c r="N143" s="66"/>
      <c r="O143" s="66"/>
      <c r="P143" s="189">
        <f>IFERROR(VLOOKUP(B143,'JTD Paste Data'!A:B,2,FALSE),"0")</f>
        <v>10078084.34</v>
      </c>
      <c r="Q143" s="189">
        <f t="shared" si="231"/>
        <v>10078084.34</v>
      </c>
      <c r="R143" s="189">
        <f>IFERROR(VLOOKUP(B143,'JTD Paste Data'!A:C,3,FALSE),"0")</f>
        <v>10388113.43</v>
      </c>
      <c r="S143" s="189">
        <f t="shared" si="232"/>
        <v>10388113.43</v>
      </c>
      <c r="T143" s="189">
        <f t="shared" si="233"/>
        <v>-310029.08999999985</v>
      </c>
      <c r="U143" s="193">
        <f t="shared" si="234"/>
        <v>-3.0762700483611932E-2</v>
      </c>
    </row>
    <row r="144" spans="1:21" x14ac:dyDescent="0.25">
      <c r="A144" s="111" t="s">
        <v>613</v>
      </c>
      <c r="B144" s="111"/>
      <c r="C144" s="111"/>
      <c r="D144" s="231"/>
      <c r="E144" s="64"/>
      <c r="F144" s="64"/>
      <c r="G144" s="64">
        <f>IFERROR(VLOOKUP(B144,'ACDOCA - Paste Data'!B:H,7,FALSE),0)</f>
        <v>0</v>
      </c>
      <c r="H144" s="64"/>
      <c r="I144" s="64">
        <f t="shared" ref="I144:I145" si="243">F144-H144</f>
        <v>0</v>
      </c>
      <c r="J144" s="65"/>
      <c r="K144" s="198"/>
      <c r="L144" s="64"/>
      <c r="M144" s="64"/>
      <c r="N144" s="66"/>
      <c r="O144" s="66"/>
      <c r="P144" s="189"/>
      <c r="Q144" s="189"/>
      <c r="R144" s="189"/>
      <c r="S144" s="189"/>
      <c r="T144" s="189">
        <f t="shared" si="233"/>
        <v>0</v>
      </c>
      <c r="U144" s="193">
        <f t="shared" si="234"/>
        <v>0</v>
      </c>
    </row>
    <row r="145" spans="1:21" x14ac:dyDescent="0.25">
      <c r="A145" s="54" t="str">
        <f>VLOOKUP(B145,'SAP Contracts'!A:J,10,FALSE)</f>
        <v>Ziply - Goldbar - 6011891</v>
      </c>
      <c r="B145" s="54">
        <f>VLOOKUP(C145,'Active North Sky Projects'!C:D,2,FALSE)</f>
        <v>21069</v>
      </c>
      <c r="C145" s="108" t="s">
        <v>733</v>
      </c>
      <c r="D145" s="225" t="str">
        <f>IFERROR(VLOOKUP(B145,'MTD Hours Paste Data'!A:C,3,FALSE),"")</f>
        <v/>
      </c>
      <c r="E145" s="64">
        <f>IFERROR(VLOOKUP(B145,'ACDOCA - Paste Data'!B:G,6,FALSE),0)</f>
        <v>0</v>
      </c>
      <c r="F145" s="64">
        <f t="shared" ref="F145" si="244">E145 +L145</f>
        <v>0</v>
      </c>
      <c r="G145" s="64">
        <f>IFERROR(VLOOKUP(B145,'ACDOCA - Paste Data'!B:H,7,FALSE),0)</f>
        <v>0</v>
      </c>
      <c r="H145" s="64">
        <f t="shared" ref="H145" si="245">G145+M145</f>
        <v>0</v>
      </c>
      <c r="I145" s="64">
        <f t="shared" si="243"/>
        <v>0</v>
      </c>
      <c r="J145" s="65">
        <f t="shared" ref="J145:J163" si="246">IFERROR(I145/F145,0)</f>
        <v>0</v>
      </c>
      <c r="K145" s="198">
        <f>IFERROR(VLOOKUP(B145,'WIP - Paste Data'!B:E,4,FALSE),"")</f>
        <v>775.13</v>
      </c>
      <c r="L145" s="64"/>
      <c r="M145" s="64"/>
      <c r="N145" s="66"/>
      <c r="O145" s="66"/>
      <c r="P145" s="189">
        <f>IFERROR(VLOOKUP(B145,'JTD Paste Data'!A:B,2,FALSE),"0")</f>
        <v>775.13</v>
      </c>
      <c r="Q145" s="189">
        <f t="shared" si="231"/>
        <v>775.13</v>
      </c>
      <c r="R145" s="189">
        <f>IFERROR(VLOOKUP(B145,'JTD Paste Data'!A:C,3,FALSE),"0")</f>
        <v>110.69</v>
      </c>
      <c r="S145" s="189">
        <f t="shared" si="232"/>
        <v>110.69</v>
      </c>
      <c r="T145" s="189">
        <f t="shared" si="233"/>
        <v>664.44</v>
      </c>
      <c r="U145" s="193">
        <f t="shared" si="234"/>
        <v>0.85719814740753175</v>
      </c>
    </row>
    <row r="146" spans="1:21" x14ac:dyDescent="0.25">
      <c r="A146" s="54" t="str">
        <f>VLOOKUP(B146,'SAP Contracts'!A:J,10,FALSE)</f>
        <v>Ziply - Goldbar - 6012764</v>
      </c>
      <c r="B146" s="54">
        <f>VLOOKUP(C146,'Active North Sky Projects'!C:D,2,FALSE)</f>
        <v>21682</v>
      </c>
      <c r="C146" s="108" t="s">
        <v>728</v>
      </c>
      <c r="D146" s="225" t="str">
        <f>IFERROR(VLOOKUP(B146,'MTD Hours Paste Data'!A:C,3,FALSE),"")</f>
        <v/>
      </c>
      <c r="E146" s="64">
        <f>IFERROR(VLOOKUP(B146,'ACDOCA - Paste Data'!B:G,6,FALSE),0)</f>
        <v>0</v>
      </c>
      <c r="F146" s="64">
        <f t="shared" ref="F146:F162" si="247">E146 +L146</f>
        <v>0</v>
      </c>
      <c r="G146" s="64">
        <f>IFERROR(VLOOKUP(B146,'ACDOCA - Paste Data'!B:H,7,FALSE),0)</f>
        <v>0</v>
      </c>
      <c r="H146" s="64">
        <f t="shared" ref="H146:H162" si="248">G146+M146</f>
        <v>0</v>
      </c>
      <c r="I146" s="64">
        <f t="shared" ref="I146:I162" si="249">F146-H146</f>
        <v>0</v>
      </c>
      <c r="J146" s="65">
        <f t="shared" si="246"/>
        <v>0</v>
      </c>
      <c r="K146" s="198" t="str">
        <f>IFERROR(VLOOKUP(B146,'WIP - Paste Data'!B:E,4,FALSE),"")</f>
        <v/>
      </c>
      <c r="L146" s="64"/>
      <c r="M146" s="64"/>
      <c r="N146" s="66"/>
      <c r="O146" s="66"/>
      <c r="P146" s="189" t="str">
        <f>IFERROR(VLOOKUP(B146,'JTD Paste Data'!A:B,2,FALSE),"0")</f>
        <v>0</v>
      </c>
      <c r="Q146" s="189">
        <f t="shared" si="231"/>
        <v>0</v>
      </c>
      <c r="R146" s="189" t="str">
        <f>IFERROR(VLOOKUP(B146,'JTD Paste Data'!A:C,3,FALSE),"0")</f>
        <v>0</v>
      </c>
      <c r="S146" s="189">
        <f t="shared" si="232"/>
        <v>0</v>
      </c>
      <c r="T146" s="189">
        <f t="shared" si="233"/>
        <v>0</v>
      </c>
      <c r="U146" s="193">
        <f t="shared" si="234"/>
        <v>0</v>
      </c>
    </row>
    <row r="147" spans="1:21" x14ac:dyDescent="0.25">
      <c r="A147" s="54" t="str">
        <f>VLOOKUP(B147,'SAP Contracts'!A:J,10,FALSE)</f>
        <v>Ziply - Goldbar - 6012765</v>
      </c>
      <c r="B147" s="54">
        <f>VLOOKUP(C147,'Active North Sky Projects'!C:D,2,FALSE)</f>
        <v>21155</v>
      </c>
      <c r="C147" s="108" t="s">
        <v>729</v>
      </c>
      <c r="D147" s="225" t="str">
        <f>IFERROR(VLOOKUP(B147,'MTD Hours Paste Data'!A:C,3,FALSE),"")</f>
        <v/>
      </c>
      <c r="E147" s="64">
        <f>IFERROR(VLOOKUP(B147,'ACDOCA - Paste Data'!B:G,6,FALSE),0)</f>
        <v>0</v>
      </c>
      <c r="F147" s="64">
        <f t="shared" si="247"/>
        <v>0</v>
      </c>
      <c r="G147" s="64">
        <f>IFERROR(VLOOKUP(B147,'ACDOCA - Paste Data'!B:H,7,FALSE),0)</f>
        <v>0</v>
      </c>
      <c r="H147" s="64">
        <f t="shared" si="248"/>
        <v>0</v>
      </c>
      <c r="I147" s="64">
        <f t="shared" si="249"/>
        <v>0</v>
      </c>
      <c r="J147" s="65">
        <f t="shared" si="246"/>
        <v>0</v>
      </c>
      <c r="K147" s="198" t="str">
        <f>IFERROR(VLOOKUP(B147,'WIP - Paste Data'!B:E,4,FALSE),"")</f>
        <v/>
      </c>
      <c r="L147" s="64"/>
      <c r="M147" s="64"/>
      <c r="N147" s="66"/>
      <c r="O147" s="66"/>
      <c r="P147" s="189" t="str">
        <f>IFERROR(VLOOKUP(B147,'JTD Paste Data'!A:B,2,FALSE),"0")</f>
        <v>0</v>
      </c>
      <c r="Q147" s="189">
        <f t="shared" si="231"/>
        <v>0</v>
      </c>
      <c r="R147" s="189" t="str">
        <f>IFERROR(VLOOKUP(B147,'JTD Paste Data'!A:C,3,FALSE),"0")</f>
        <v>0</v>
      </c>
      <c r="S147" s="189">
        <f t="shared" si="232"/>
        <v>0</v>
      </c>
      <c r="T147" s="189">
        <f t="shared" si="233"/>
        <v>0</v>
      </c>
      <c r="U147" s="193">
        <f t="shared" si="234"/>
        <v>0</v>
      </c>
    </row>
    <row r="148" spans="1:21" ht="15" customHeight="1" x14ac:dyDescent="0.25">
      <c r="A148" s="54" t="str">
        <f>VLOOKUP(B148,'SAP Contracts'!A:J,10,FALSE)</f>
        <v>Ziply - Goldbar - 6012766</v>
      </c>
      <c r="B148" s="54">
        <f>VLOOKUP(C148,'Active North Sky Projects'!C:D,2,FALSE)</f>
        <v>21162</v>
      </c>
      <c r="C148" s="108" t="s">
        <v>730</v>
      </c>
      <c r="D148" s="225" t="str">
        <f>IFERROR(VLOOKUP(B148,'MTD Hours Paste Data'!A:C,3,FALSE),"")</f>
        <v/>
      </c>
      <c r="E148" s="64">
        <f>IFERROR(VLOOKUP(B148,'ACDOCA - Paste Data'!B:G,6,FALSE),0)</f>
        <v>0</v>
      </c>
      <c r="F148" s="64">
        <f t="shared" si="247"/>
        <v>0</v>
      </c>
      <c r="G148" s="64">
        <f>IFERROR(VLOOKUP(B148,'ACDOCA - Paste Data'!B:H,7,FALSE),0)</f>
        <v>0</v>
      </c>
      <c r="H148" s="64">
        <f t="shared" si="248"/>
        <v>0</v>
      </c>
      <c r="I148" s="64">
        <f t="shared" si="249"/>
        <v>0</v>
      </c>
      <c r="J148" s="65">
        <f t="shared" si="246"/>
        <v>0</v>
      </c>
      <c r="K148" s="198" t="str">
        <f>IFERROR(VLOOKUP(B148,'WIP - Paste Data'!B:E,4,FALSE),"")</f>
        <v/>
      </c>
      <c r="L148" s="64"/>
      <c r="M148" s="64"/>
      <c r="N148" s="66"/>
      <c r="O148" s="66"/>
      <c r="P148" s="189">
        <f>IFERROR(VLOOKUP(B148,'JTD Paste Data'!A:B,2,FALSE),"0")</f>
        <v>4440.18</v>
      </c>
      <c r="Q148" s="189">
        <f t="shared" si="231"/>
        <v>4440.18</v>
      </c>
      <c r="R148" s="189">
        <f>IFERROR(VLOOKUP(B148,'JTD Paste Data'!A:C,3,FALSE),"0")</f>
        <v>7822.8600000000006</v>
      </c>
      <c r="S148" s="189">
        <f t="shared" si="232"/>
        <v>7822.8600000000006</v>
      </c>
      <c r="T148" s="189">
        <f t="shared" si="233"/>
        <v>-3382.6800000000003</v>
      </c>
      <c r="U148" s="193">
        <f t="shared" si="234"/>
        <v>-0.76183397970352551</v>
      </c>
    </row>
    <row r="149" spans="1:21" x14ac:dyDescent="0.25">
      <c r="A149" s="54" t="str">
        <f>VLOOKUP(B149,'SAP Contracts'!A:J,10,FALSE)</f>
        <v>Ziply - Goldbar - 6012769</v>
      </c>
      <c r="B149" s="54">
        <f>VLOOKUP(C149,'Active North Sky Projects'!C:D,2,FALSE)</f>
        <v>21169</v>
      </c>
      <c r="C149" s="108" t="s">
        <v>731</v>
      </c>
      <c r="D149" s="225" t="str">
        <f>IFERROR(VLOOKUP(B149,'MTD Hours Paste Data'!A:C,3,FALSE),"")</f>
        <v/>
      </c>
      <c r="E149" s="64">
        <f>IFERROR(VLOOKUP(B149,'ACDOCA - Paste Data'!B:G,6,FALSE),0)</f>
        <v>0</v>
      </c>
      <c r="F149" s="64">
        <f t="shared" si="247"/>
        <v>0</v>
      </c>
      <c r="G149" s="64">
        <f>IFERROR(VLOOKUP(B149,'ACDOCA - Paste Data'!B:H,7,FALSE),0)</f>
        <v>0</v>
      </c>
      <c r="H149" s="64">
        <f t="shared" si="248"/>
        <v>0</v>
      </c>
      <c r="I149" s="64">
        <f t="shared" si="249"/>
        <v>0</v>
      </c>
      <c r="J149" s="65">
        <f t="shared" si="246"/>
        <v>0</v>
      </c>
      <c r="K149" s="198" t="str">
        <f>IFERROR(VLOOKUP(B149,'WIP - Paste Data'!B:E,4,FALSE),"")</f>
        <v/>
      </c>
      <c r="L149" s="64"/>
      <c r="M149" s="64"/>
      <c r="N149" s="66"/>
      <c r="O149" s="66"/>
      <c r="P149" s="189" t="str">
        <f>IFERROR(VLOOKUP(B149,'JTD Paste Data'!A:B,2,FALSE),"0")</f>
        <v>0</v>
      </c>
      <c r="Q149" s="189">
        <f t="shared" si="231"/>
        <v>0</v>
      </c>
      <c r="R149" s="189" t="str">
        <f>IFERROR(VLOOKUP(B149,'JTD Paste Data'!A:C,3,FALSE),"0")</f>
        <v>0</v>
      </c>
      <c r="S149" s="189">
        <f t="shared" si="232"/>
        <v>0</v>
      </c>
      <c r="T149" s="189">
        <f t="shared" si="233"/>
        <v>0</v>
      </c>
      <c r="U149" s="193">
        <f t="shared" si="234"/>
        <v>0</v>
      </c>
    </row>
    <row r="150" spans="1:21" x14ac:dyDescent="0.25">
      <c r="A150" s="54" t="str">
        <f>VLOOKUP(B150,'SAP Contracts'!A:J,10,FALSE)</f>
        <v>Ziply - Goldbar - 6012770</v>
      </c>
      <c r="B150" s="54">
        <f>VLOOKUP(C150,'Active North Sky Projects'!C:D,2,FALSE)</f>
        <v>21054</v>
      </c>
      <c r="C150" s="108" t="s">
        <v>732</v>
      </c>
      <c r="D150" s="225" t="str">
        <f>IFERROR(VLOOKUP(B150,'MTD Hours Paste Data'!A:C,3,FALSE),"")</f>
        <v/>
      </c>
      <c r="E150" s="64">
        <f>IFERROR(VLOOKUP(B150,'ACDOCA - Paste Data'!B:G,6,FALSE),0)</f>
        <v>0</v>
      </c>
      <c r="F150" s="64">
        <f t="shared" si="247"/>
        <v>0</v>
      </c>
      <c r="G150" s="64">
        <f>IFERROR(VLOOKUP(B150,'ACDOCA - Paste Data'!B:H,7,FALSE),0)</f>
        <v>0</v>
      </c>
      <c r="H150" s="64">
        <f t="shared" si="248"/>
        <v>0</v>
      </c>
      <c r="I150" s="64">
        <f t="shared" si="249"/>
        <v>0</v>
      </c>
      <c r="J150" s="65">
        <f t="shared" si="246"/>
        <v>0</v>
      </c>
      <c r="K150" s="198" t="str">
        <f>IFERROR(VLOOKUP(B150,'WIP - Paste Data'!B:E,4,FALSE),"")</f>
        <v/>
      </c>
      <c r="L150" s="64"/>
      <c r="M150" s="64"/>
      <c r="N150" s="66"/>
      <c r="O150" s="66"/>
      <c r="P150" s="189" t="str">
        <f>IFERROR(VLOOKUP(B150,'JTD Paste Data'!A:B,2,FALSE),"0")</f>
        <v>0</v>
      </c>
      <c r="Q150" s="189">
        <f t="shared" si="231"/>
        <v>0</v>
      </c>
      <c r="R150" s="189" t="str">
        <f>IFERROR(VLOOKUP(B150,'JTD Paste Data'!A:C,3,FALSE),"0")</f>
        <v>0</v>
      </c>
      <c r="S150" s="189">
        <f t="shared" si="232"/>
        <v>0</v>
      </c>
      <c r="T150" s="189">
        <f t="shared" si="233"/>
        <v>0</v>
      </c>
      <c r="U150" s="193">
        <f t="shared" si="234"/>
        <v>0</v>
      </c>
    </row>
    <row r="151" spans="1:21" x14ac:dyDescent="0.25">
      <c r="A151" s="54" t="str">
        <f>VLOOKUP(B151,'SAP Contracts'!A:J,10,FALSE)</f>
        <v>Ziply - Granite Falls - 6011884</v>
      </c>
      <c r="B151" s="54">
        <f>VLOOKUP(C151,'Active North Sky Projects'!C:D,2,FALSE)</f>
        <v>21124</v>
      </c>
      <c r="C151" s="108" t="s">
        <v>723</v>
      </c>
      <c r="D151" s="225" t="str">
        <f>IFERROR(VLOOKUP(B151,'MTD Hours Paste Data'!A:C,3,FALSE),"")</f>
        <v/>
      </c>
      <c r="E151" s="64">
        <f>IFERROR(VLOOKUP(B151,'ACDOCA - Paste Data'!B:G,6,FALSE),0)</f>
        <v>56429.51</v>
      </c>
      <c r="F151" s="64">
        <f t="shared" si="247"/>
        <v>56429.51</v>
      </c>
      <c r="G151" s="64">
        <f>IFERROR(VLOOKUP(B151,'ACDOCA - Paste Data'!B:H,7,FALSE),0)</f>
        <v>50301.71</v>
      </c>
      <c r="H151" s="64">
        <f t="shared" si="248"/>
        <v>50301.71</v>
      </c>
      <c r="I151" s="64">
        <f t="shared" si="249"/>
        <v>6127.8000000000029</v>
      </c>
      <c r="J151" s="65">
        <f t="shared" si="246"/>
        <v>0.10859211784755889</v>
      </c>
      <c r="K151" s="198">
        <f>IFERROR(VLOOKUP(B151,'WIP - Paste Data'!B:E,4,FALSE),"")</f>
        <v>101184.61</v>
      </c>
      <c r="L151" s="64"/>
      <c r="M151" s="64"/>
      <c r="N151" s="66"/>
      <c r="O151" s="66"/>
      <c r="P151" s="189">
        <f>IFERROR(VLOOKUP(B151,'JTD Paste Data'!A:B,2,FALSE),"0")</f>
        <v>101184.61</v>
      </c>
      <c r="Q151" s="189">
        <f t="shared" si="231"/>
        <v>101184.61</v>
      </c>
      <c r="R151" s="189">
        <f>IFERROR(VLOOKUP(B151,'JTD Paste Data'!A:C,3,FALSE),"0")</f>
        <v>90244.15</v>
      </c>
      <c r="S151" s="189">
        <f t="shared" si="232"/>
        <v>90244.15</v>
      </c>
      <c r="T151" s="189">
        <f t="shared" si="233"/>
        <v>10940.460000000006</v>
      </c>
      <c r="U151" s="193">
        <f t="shared" si="234"/>
        <v>0.10812375518371822</v>
      </c>
    </row>
    <row r="152" spans="1:21" x14ac:dyDescent="0.25">
      <c r="A152" s="54" t="str">
        <f>VLOOKUP(B152,'SAP Contracts'!A:J,10,FALSE)</f>
        <v>Ziply - Granite Falls - 6012690</v>
      </c>
      <c r="B152" s="54">
        <f>VLOOKUP(C152,'Active North Sky Projects'!C:D,2,FALSE)</f>
        <v>21134</v>
      </c>
      <c r="C152" s="108" t="s">
        <v>725</v>
      </c>
      <c r="D152" s="225">
        <f>IFERROR(VLOOKUP(B152,'MTD Hours Paste Data'!A:C,3,FALSE),"")</f>
        <v>0</v>
      </c>
      <c r="E152" s="64">
        <f>IFERROR(VLOOKUP(B152,'ACDOCA - Paste Data'!B:G,6,FALSE),0)</f>
        <v>0</v>
      </c>
      <c r="F152" s="64">
        <f t="shared" si="247"/>
        <v>0</v>
      </c>
      <c r="G152" s="64">
        <f>IFERROR(VLOOKUP(B152,'ACDOCA - Paste Data'!B:H,7,FALSE),0)</f>
        <v>0</v>
      </c>
      <c r="H152" s="64">
        <f t="shared" si="248"/>
        <v>0</v>
      </c>
      <c r="I152" s="64">
        <f t="shared" si="249"/>
        <v>0</v>
      </c>
      <c r="J152" s="65">
        <f t="shared" si="246"/>
        <v>0</v>
      </c>
      <c r="K152" s="198" t="str">
        <f>IFERROR(VLOOKUP(B152,'WIP - Paste Data'!B:E,4,FALSE),"")</f>
        <v/>
      </c>
      <c r="L152" s="64"/>
      <c r="M152" s="64"/>
      <c r="N152" s="66"/>
      <c r="O152" s="66"/>
      <c r="P152" s="189">
        <f>IFERROR(VLOOKUP(B152,'JTD Paste Data'!A:B,2,FALSE),"0")</f>
        <v>18981</v>
      </c>
      <c r="Q152" s="189">
        <f t="shared" si="231"/>
        <v>18981</v>
      </c>
      <c r="R152" s="189">
        <f>IFERROR(VLOOKUP(B152,'JTD Paste Data'!A:C,3,FALSE),"0")</f>
        <v>10871.52</v>
      </c>
      <c r="S152" s="189">
        <f t="shared" si="232"/>
        <v>10871.52</v>
      </c>
      <c r="T152" s="189">
        <f t="shared" si="233"/>
        <v>8109.48</v>
      </c>
      <c r="U152" s="193">
        <f t="shared" si="234"/>
        <v>0.42724197882092618</v>
      </c>
    </row>
    <row r="153" spans="1:21" x14ac:dyDescent="0.25">
      <c r="A153" s="54" t="str">
        <f>VLOOKUP(B153,'SAP Contracts'!A:J,10,FALSE)</f>
        <v>Ziply - Granite Falls - 6012767</v>
      </c>
      <c r="B153" s="54">
        <f>VLOOKUP(C153,'Active North Sky Projects'!C:D,2,FALSE)</f>
        <v>21140</v>
      </c>
      <c r="C153" s="108" t="s">
        <v>726</v>
      </c>
      <c r="D153" s="225" t="str">
        <f>IFERROR(VLOOKUP(B153,'MTD Hours Paste Data'!A:C,3,FALSE),"")</f>
        <v/>
      </c>
      <c r="E153" s="64">
        <f>IFERROR(VLOOKUP(B153,'ACDOCA - Paste Data'!B:G,6,FALSE),0)</f>
        <v>0</v>
      </c>
      <c r="F153" s="64">
        <f t="shared" si="247"/>
        <v>0</v>
      </c>
      <c r="G153" s="64">
        <f>IFERROR(VLOOKUP(B153,'ACDOCA - Paste Data'!B:H,7,FALSE),0)</f>
        <v>0</v>
      </c>
      <c r="H153" s="64">
        <f t="shared" si="248"/>
        <v>0</v>
      </c>
      <c r="I153" s="64">
        <f t="shared" si="249"/>
        <v>0</v>
      </c>
      <c r="J153" s="65">
        <f t="shared" si="246"/>
        <v>0</v>
      </c>
      <c r="K153" s="198" t="str">
        <f>IFERROR(VLOOKUP(B153,'WIP - Paste Data'!B:E,4,FALSE),"")</f>
        <v/>
      </c>
      <c r="L153" s="64"/>
      <c r="M153" s="64"/>
      <c r="N153" s="66"/>
      <c r="O153" s="66"/>
      <c r="P153" s="189" t="str">
        <f>IFERROR(VLOOKUP(B153,'JTD Paste Data'!A:B,2,FALSE),"0")</f>
        <v>0</v>
      </c>
      <c r="Q153" s="189">
        <f t="shared" si="231"/>
        <v>0</v>
      </c>
      <c r="R153" s="189" t="str">
        <f>IFERROR(VLOOKUP(B153,'JTD Paste Data'!A:C,3,FALSE),"0")</f>
        <v>0</v>
      </c>
      <c r="S153" s="189">
        <f t="shared" si="232"/>
        <v>0</v>
      </c>
      <c r="T153" s="189">
        <f t="shared" si="233"/>
        <v>0</v>
      </c>
      <c r="U153" s="193">
        <f t="shared" si="234"/>
        <v>0</v>
      </c>
    </row>
    <row r="154" spans="1:21" x14ac:dyDescent="0.25">
      <c r="A154" s="54" t="str">
        <f>VLOOKUP(B154,'SAP Contracts'!A:J,10,FALSE)</f>
        <v>Ziply - Granite Falls - 6012771</v>
      </c>
      <c r="B154" s="54">
        <f>VLOOKUP(C154,'Active North Sky Projects'!C:D,2,FALSE)</f>
        <v>21149</v>
      </c>
      <c r="C154" s="108" t="s">
        <v>727</v>
      </c>
      <c r="D154" s="225" t="str">
        <f>IFERROR(VLOOKUP(B154,'MTD Hours Paste Data'!A:C,3,FALSE),"")</f>
        <v/>
      </c>
      <c r="E154" s="64">
        <f>IFERROR(VLOOKUP(B154,'ACDOCA - Paste Data'!B:G,6,FALSE),0)</f>
        <v>21489.79</v>
      </c>
      <c r="F154" s="64">
        <f t="shared" si="247"/>
        <v>21489.79</v>
      </c>
      <c r="G154" s="64">
        <f>IFERROR(VLOOKUP(B154,'ACDOCA - Paste Data'!B:H,7,FALSE),0)</f>
        <v>24053.09</v>
      </c>
      <c r="H154" s="64">
        <f t="shared" si="248"/>
        <v>24053.09</v>
      </c>
      <c r="I154" s="64">
        <f t="shared" si="249"/>
        <v>-2563.2999999999993</v>
      </c>
      <c r="J154" s="65">
        <f t="shared" si="246"/>
        <v>-0.11927989989664856</v>
      </c>
      <c r="K154" s="198">
        <f>IFERROR(VLOOKUP(B154,'WIP - Paste Data'!B:E,4,FALSE),"")</f>
        <v>95320.07</v>
      </c>
      <c r="L154" s="64"/>
      <c r="M154" s="64"/>
      <c r="N154" s="66"/>
      <c r="O154" s="66"/>
      <c r="P154" s="189">
        <f>IFERROR(VLOOKUP(B154,'JTD Paste Data'!A:B,2,FALSE),"0")</f>
        <v>95320.07</v>
      </c>
      <c r="Q154" s="189">
        <f t="shared" si="231"/>
        <v>95320.07</v>
      </c>
      <c r="R154" s="189">
        <f>IFERROR(VLOOKUP(B154,'JTD Paste Data'!A:C,3,FALSE),"0")</f>
        <v>88079.05</v>
      </c>
      <c r="S154" s="189">
        <f t="shared" si="232"/>
        <v>88079.05</v>
      </c>
      <c r="T154" s="189">
        <f t="shared" si="233"/>
        <v>7241.0200000000041</v>
      </c>
      <c r="U154" s="193">
        <f t="shared" si="234"/>
        <v>7.5965323986858208E-2</v>
      </c>
    </row>
    <row r="155" spans="1:21" x14ac:dyDescent="0.25">
      <c r="A155" s="54" t="str">
        <f>VLOOKUP(B155,'SAP Contracts'!A:J,10,FALSE)</f>
        <v>Ziply - Granite Falls - 6012772</v>
      </c>
      <c r="B155" s="54">
        <f>VLOOKUP(C155,'Active North Sky Projects'!C:D,2,FALSE)</f>
        <v>21130</v>
      </c>
      <c r="C155" s="108" t="s">
        <v>724</v>
      </c>
      <c r="D155" s="225" t="str">
        <f>IFERROR(VLOOKUP(B155,'MTD Hours Paste Data'!A:C,3,FALSE),"")</f>
        <v/>
      </c>
      <c r="E155" s="64">
        <f>IFERROR(VLOOKUP(B155,'ACDOCA - Paste Data'!B:G,6,FALSE),0)</f>
        <v>16585.189999999999</v>
      </c>
      <c r="F155" s="64">
        <f t="shared" si="247"/>
        <v>16585.189999999999</v>
      </c>
      <c r="G155" s="64">
        <f>IFERROR(VLOOKUP(B155,'ACDOCA - Paste Data'!B:H,7,FALSE),0)</f>
        <v>14660.28</v>
      </c>
      <c r="H155" s="64">
        <f t="shared" si="248"/>
        <v>14660.28</v>
      </c>
      <c r="I155" s="64">
        <f t="shared" si="249"/>
        <v>1924.909999999998</v>
      </c>
      <c r="J155" s="65">
        <f t="shared" si="246"/>
        <v>0.116061980598353</v>
      </c>
      <c r="K155" s="198">
        <f>IFERROR(VLOOKUP(B155,'WIP - Paste Data'!B:E,4,FALSE),"")</f>
        <v>16585.189999999999</v>
      </c>
      <c r="L155" s="64"/>
      <c r="M155" s="64"/>
      <c r="N155" s="66"/>
      <c r="O155" s="66"/>
      <c r="P155" s="189">
        <f>IFERROR(VLOOKUP(B155,'JTD Paste Data'!A:B,2,FALSE),"0")</f>
        <v>16585.189999999999</v>
      </c>
      <c r="Q155" s="189">
        <f t="shared" si="231"/>
        <v>16585.189999999999</v>
      </c>
      <c r="R155" s="189">
        <f>IFERROR(VLOOKUP(B155,'JTD Paste Data'!A:C,3,FALSE),"0")</f>
        <v>14700.28</v>
      </c>
      <c r="S155" s="189">
        <f t="shared" si="232"/>
        <v>14700.28</v>
      </c>
      <c r="T155" s="189">
        <f t="shared" si="233"/>
        <v>1884.909999999998</v>
      </c>
      <c r="U155" s="193">
        <f t="shared" si="234"/>
        <v>0.1136501903204002</v>
      </c>
    </row>
    <row r="156" spans="1:21" x14ac:dyDescent="0.25">
      <c r="A156" s="54" t="str">
        <f>VLOOKUP(B156,'SAP Contracts'!A:J,10,FALSE)</f>
        <v>Ziply - Great Falls Build (FTTH)</v>
      </c>
      <c r="B156" s="54">
        <f>VLOOKUP(C156,'Active North Sky Projects'!C:D,2,FALSE)</f>
        <v>21630</v>
      </c>
      <c r="C156" s="108" t="s">
        <v>111</v>
      </c>
      <c r="D156" s="225">
        <f>IFERROR(VLOOKUP(B156,'MTD Hours Paste Data'!A:C,3,FALSE),"")</f>
        <v>92.7</v>
      </c>
      <c r="E156" s="64">
        <f>IFERROR(VLOOKUP(B156,'ACDOCA - Paste Data'!B:G,6,FALSE),0)</f>
        <v>14600.4</v>
      </c>
      <c r="F156" s="64">
        <f t="shared" si="247"/>
        <v>14600.4</v>
      </c>
      <c r="G156" s="64">
        <f>IFERROR(VLOOKUP(B156,'ACDOCA - Paste Data'!B:H,7,FALSE),0)</f>
        <v>11738.37</v>
      </c>
      <c r="H156" s="64">
        <f t="shared" si="248"/>
        <v>11738.37</v>
      </c>
      <c r="I156" s="64">
        <f t="shared" si="249"/>
        <v>2862.0299999999988</v>
      </c>
      <c r="J156" s="65">
        <f t="shared" si="246"/>
        <v>0.19602408153201276</v>
      </c>
      <c r="K156" s="198">
        <f>IFERROR(VLOOKUP(B156,'WIP - Paste Data'!B:E,4,FALSE),"")</f>
        <v>75901.5</v>
      </c>
      <c r="L156" s="64"/>
      <c r="M156" s="64"/>
      <c r="N156" s="66"/>
      <c r="O156" s="66"/>
      <c r="P156" s="189">
        <f>IFERROR(VLOOKUP(B156,'JTD Paste Data'!A:B,2,FALSE),"0")</f>
        <v>2053849.6400000001</v>
      </c>
      <c r="Q156" s="189">
        <f t="shared" si="231"/>
        <v>2053849.6400000001</v>
      </c>
      <c r="R156" s="189">
        <f>IFERROR(VLOOKUP(B156,'JTD Paste Data'!A:C,3,FALSE),"0")</f>
        <v>1812359.11</v>
      </c>
      <c r="S156" s="189">
        <f t="shared" si="232"/>
        <v>1812359.11</v>
      </c>
      <c r="T156" s="189">
        <f t="shared" si="233"/>
        <v>241490.53000000003</v>
      </c>
      <c r="U156" s="193">
        <f t="shared" si="234"/>
        <v>0.1175794592246782</v>
      </c>
    </row>
    <row r="157" spans="1:21" x14ac:dyDescent="0.25">
      <c r="A157" s="54" t="str">
        <f>VLOOKUP(B157,'SAP Contracts'!A:J,10,FALSE)</f>
        <v>Ziply - Hwy 530 WO 5513480</v>
      </c>
      <c r="B157" s="54">
        <f>VLOOKUP(C157,'Active North Sky Projects'!C:D,2,FALSE)</f>
        <v>21619</v>
      </c>
      <c r="C157" s="108" t="s">
        <v>1097</v>
      </c>
      <c r="D157" s="225" t="str">
        <f>IFERROR(VLOOKUP(B157,'MTD Hours Paste Data'!A:C,3,FALSE),"")</f>
        <v/>
      </c>
      <c r="E157" s="64">
        <f>IFERROR(VLOOKUP(B157,'ACDOCA - Paste Data'!B:G,6,FALSE),0)</f>
        <v>0</v>
      </c>
      <c r="F157" s="64">
        <f t="shared" si="247"/>
        <v>0</v>
      </c>
      <c r="G157" s="64">
        <f>IFERROR(VLOOKUP(B157,'ACDOCA - Paste Data'!B:H,7,FALSE),0)</f>
        <v>0</v>
      </c>
      <c r="H157" s="64">
        <f t="shared" si="248"/>
        <v>0</v>
      </c>
      <c r="I157" s="64">
        <f t="shared" si="249"/>
        <v>0</v>
      </c>
      <c r="J157" s="65">
        <f t="shared" si="246"/>
        <v>0</v>
      </c>
      <c r="K157" s="198">
        <f>IFERROR(VLOOKUP(B157,'WIP - Paste Data'!B:E,4,FALSE),"")</f>
        <v>514.75</v>
      </c>
      <c r="L157" s="64"/>
      <c r="M157" s="64"/>
      <c r="N157" s="66"/>
      <c r="O157" s="66"/>
      <c r="P157" s="189">
        <f>IFERROR(VLOOKUP(B157,'JTD Paste Data'!A:B,2,FALSE),"0")</f>
        <v>514.75</v>
      </c>
      <c r="Q157" s="189">
        <f t="shared" si="231"/>
        <v>514.75</v>
      </c>
      <c r="R157" s="189">
        <f>IFERROR(VLOOKUP(B157,'JTD Paste Data'!A:C,3,FALSE),"0")</f>
        <v>435.83</v>
      </c>
      <c r="S157" s="189">
        <f t="shared" si="232"/>
        <v>435.83</v>
      </c>
      <c r="T157" s="189">
        <f t="shared" si="233"/>
        <v>78.920000000000016</v>
      </c>
      <c r="U157" s="193">
        <f t="shared" si="234"/>
        <v>0.15331714424477905</v>
      </c>
    </row>
    <row r="158" spans="1:21" x14ac:dyDescent="0.25">
      <c r="A158" s="54" t="str">
        <f>VLOOKUP(B158,'SAP Contracts'!A:J,10,FALSE)</f>
        <v>Ziply - Hwy 530 WO 5513608</v>
      </c>
      <c r="B158" s="54">
        <f>VLOOKUP(C158,'Active North Sky Projects'!C:D,2,FALSE)</f>
        <v>21244</v>
      </c>
      <c r="C158" s="107" t="s">
        <v>581</v>
      </c>
      <c r="D158" s="225" t="str">
        <f>IFERROR(VLOOKUP(B158,'MTD Hours Paste Data'!A:C,3,FALSE),"")</f>
        <v/>
      </c>
      <c r="E158" s="64">
        <f>IFERROR(VLOOKUP(B158,'ACDOCA - Paste Data'!B:G,6,FALSE),0)</f>
        <v>0</v>
      </c>
      <c r="F158" s="64">
        <f t="shared" si="247"/>
        <v>0</v>
      </c>
      <c r="G158" s="64">
        <f>IFERROR(VLOOKUP(B158,'ACDOCA - Paste Data'!B:H,7,FALSE),0)</f>
        <v>0</v>
      </c>
      <c r="H158" s="64">
        <f t="shared" si="248"/>
        <v>0</v>
      </c>
      <c r="I158" s="64">
        <f t="shared" si="249"/>
        <v>0</v>
      </c>
      <c r="J158" s="65">
        <f t="shared" si="246"/>
        <v>0</v>
      </c>
      <c r="K158" s="198" t="str">
        <f>IFERROR(VLOOKUP(B158,'WIP - Paste Data'!B:E,4,FALSE),"")</f>
        <v/>
      </c>
      <c r="L158" s="64"/>
      <c r="M158" s="64"/>
      <c r="N158" s="66"/>
      <c r="O158" s="66"/>
      <c r="P158" s="189">
        <f>IFERROR(VLOOKUP(B158,'JTD Paste Data'!A:B,2,FALSE),"0")</f>
        <v>584496.56000000006</v>
      </c>
      <c r="Q158" s="189">
        <f t="shared" si="231"/>
        <v>584496.56000000006</v>
      </c>
      <c r="R158" s="189">
        <f>IFERROR(VLOOKUP(B158,'JTD Paste Data'!A:C,3,FALSE),"0")</f>
        <v>447313.8</v>
      </c>
      <c r="S158" s="189">
        <f t="shared" si="232"/>
        <v>447313.8</v>
      </c>
      <c r="T158" s="189">
        <f t="shared" si="233"/>
        <v>137182.76000000007</v>
      </c>
      <c r="U158" s="193">
        <f t="shared" si="234"/>
        <v>0.23470242493813831</v>
      </c>
    </row>
    <row r="159" spans="1:21" x14ac:dyDescent="0.25">
      <c r="A159" s="54" t="str">
        <f>VLOOKUP(B159,'SAP Contracts'!A:J,10,FALSE)</f>
        <v>Ziply - Hwy 530 WO 5519650</v>
      </c>
      <c r="B159" s="54">
        <f>VLOOKUP(C159,'Active North Sky Projects'!C:D,2,FALSE)</f>
        <v>21388</v>
      </c>
      <c r="C159" s="107" t="s">
        <v>684</v>
      </c>
      <c r="D159" s="225">
        <f>IFERROR(VLOOKUP(B159,'MTD Hours Paste Data'!A:C,3,FALSE),"")</f>
        <v>0</v>
      </c>
      <c r="E159" s="64">
        <f>IFERROR(VLOOKUP(B159,'ACDOCA - Paste Data'!B:G,6,FALSE),0)</f>
        <v>0</v>
      </c>
      <c r="F159" s="64">
        <f t="shared" si="247"/>
        <v>0</v>
      </c>
      <c r="G159" s="64">
        <f>IFERROR(VLOOKUP(B159,'ACDOCA - Paste Data'!B:H,7,FALSE),0)</f>
        <v>0</v>
      </c>
      <c r="H159" s="64">
        <f t="shared" si="248"/>
        <v>0</v>
      </c>
      <c r="I159" s="64">
        <f t="shared" si="249"/>
        <v>0</v>
      </c>
      <c r="J159" s="65">
        <f t="shared" si="246"/>
        <v>0</v>
      </c>
      <c r="K159" s="198">
        <f>IFERROR(VLOOKUP(B159,'WIP - Paste Data'!B:E,4,FALSE),"")</f>
        <v>1053.8</v>
      </c>
      <c r="L159" s="64"/>
      <c r="M159" s="64"/>
      <c r="N159" s="66"/>
      <c r="O159" s="66"/>
      <c r="P159" s="189">
        <f>IFERROR(VLOOKUP(B159,'JTD Paste Data'!A:B,2,FALSE),"0")</f>
        <v>78301.62999999999</v>
      </c>
      <c r="Q159" s="189">
        <f t="shared" si="231"/>
        <v>78301.62999999999</v>
      </c>
      <c r="R159" s="189">
        <f>IFERROR(VLOOKUP(B159,'JTD Paste Data'!A:C,3,FALSE),"0")</f>
        <v>58600.22</v>
      </c>
      <c r="S159" s="189">
        <f t="shared" si="232"/>
        <v>58600.22</v>
      </c>
      <c r="T159" s="189">
        <f t="shared" si="233"/>
        <v>19701.409999999989</v>
      </c>
      <c r="U159" s="193">
        <f t="shared" si="234"/>
        <v>0.25160919383159702</v>
      </c>
    </row>
    <row r="160" spans="1:21" x14ac:dyDescent="0.25">
      <c r="A160" s="54" t="str">
        <f>VLOOKUP(B160,'SAP Contracts'!A:J,10,FALSE)</f>
        <v>Ziply - Hwy 530 WO 5520317 (FTTP PW)</v>
      </c>
      <c r="B160" s="54">
        <f>VLOOKUP(C160,'Active North Sky Projects'!C:D,2,FALSE)</f>
        <v>21612</v>
      </c>
      <c r="C160" s="108" t="s">
        <v>864</v>
      </c>
      <c r="D160" s="225" t="str">
        <f>IFERROR(VLOOKUP(B160,'MTD Hours Paste Data'!A:C,3,FALSE),"")</f>
        <v/>
      </c>
      <c r="E160" s="64">
        <f>IFERROR(VLOOKUP(B160,'ACDOCA - Paste Data'!B:G,6,FALSE),0)</f>
        <v>34630.800000000003</v>
      </c>
      <c r="F160" s="64">
        <f t="shared" si="247"/>
        <v>34630.800000000003</v>
      </c>
      <c r="G160" s="64">
        <f>IFERROR(VLOOKUP(B160,'ACDOCA - Paste Data'!B:H,7,FALSE),0)</f>
        <v>4130.76</v>
      </c>
      <c r="H160" s="64">
        <f t="shared" si="248"/>
        <v>4130.76</v>
      </c>
      <c r="I160" s="64">
        <f t="shared" si="249"/>
        <v>30500.04</v>
      </c>
      <c r="J160" s="65">
        <f t="shared" si="246"/>
        <v>0.88072005266987763</v>
      </c>
      <c r="K160" s="198">
        <f>IFERROR(VLOOKUP(B160,'WIP - Paste Data'!B:E,4,FALSE),"")</f>
        <v>64470.340000000004</v>
      </c>
      <c r="L160" s="64"/>
      <c r="M160" s="64"/>
      <c r="N160" s="66"/>
      <c r="O160" s="66"/>
      <c r="P160" s="189">
        <f>IFERROR(VLOOKUP(B160,'JTD Paste Data'!A:B,2,FALSE),"0")</f>
        <v>295464.40999999997</v>
      </c>
      <c r="Q160" s="189">
        <f t="shared" si="231"/>
        <v>295464.40999999997</v>
      </c>
      <c r="R160" s="189">
        <f>IFERROR(VLOOKUP(B160,'JTD Paste Data'!A:C,3,FALSE),"0")</f>
        <v>231837.42</v>
      </c>
      <c r="S160" s="189">
        <f t="shared" si="232"/>
        <v>231837.42</v>
      </c>
      <c r="T160" s="189">
        <f t="shared" si="233"/>
        <v>63626.989999999962</v>
      </c>
      <c r="U160" s="193">
        <f t="shared" si="234"/>
        <v>0.21534569933481995</v>
      </c>
    </row>
    <row r="161" spans="1:21" x14ac:dyDescent="0.25">
      <c r="A161" s="54" t="str">
        <f>VLOOKUP(B161,'SAP Contracts'!A:J,10,FALSE)</f>
        <v>Ziply - Hwy 530 WO 5520320</v>
      </c>
      <c r="B161" s="54">
        <f>VLOOKUP(C161,'Active North Sky Projects'!C:D,2,FALSE)</f>
        <v>21618</v>
      </c>
      <c r="C161" s="108" t="s">
        <v>808</v>
      </c>
      <c r="D161" s="225">
        <f>IFERROR(VLOOKUP(B161,'MTD Hours Paste Data'!A:C,3,FALSE),"")</f>
        <v>0</v>
      </c>
      <c r="E161" s="64">
        <f>IFERROR(VLOOKUP(B161,'ACDOCA - Paste Data'!B:G,6,FALSE),0)</f>
        <v>0</v>
      </c>
      <c r="F161" s="64">
        <f t="shared" si="247"/>
        <v>0</v>
      </c>
      <c r="G161" s="64">
        <f>IFERROR(VLOOKUP(B161,'ACDOCA - Paste Data'!B:H,7,FALSE),0)</f>
        <v>0</v>
      </c>
      <c r="H161" s="64">
        <f t="shared" si="248"/>
        <v>0</v>
      </c>
      <c r="I161" s="64">
        <f t="shared" si="249"/>
        <v>0</v>
      </c>
      <c r="J161" s="65">
        <f t="shared" si="246"/>
        <v>0</v>
      </c>
      <c r="K161" s="198">
        <f>IFERROR(VLOOKUP(B161,'WIP - Paste Data'!B:E,4,FALSE),"")</f>
        <v>135713.49</v>
      </c>
      <c r="L161" s="64"/>
      <c r="M161" s="64"/>
      <c r="N161" s="66"/>
      <c r="O161" s="66"/>
      <c r="P161" s="189">
        <f>IFERROR(VLOOKUP(B161,'JTD Paste Data'!A:B,2,FALSE),"0")</f>
        <v>541877.18000000005</v>
      </c>
      <c r="Q161" s="189">
        <f t="shared" si="231"/>
        <v>541877.18000000005</v>
      </c>
      <c r="R161" s="189">
        <f>IFERROR(VLOOKUP(B161,'JTD Paste Data'!A:C,3,FALSE),"0")</f>
        <v>405613.62</v>
      </c>
      <c r="S161" s="189">
        <f t="shared" si="232"/>
        <v>405613.62</v>
      </c>
      <c r="T161" s="189">
        <f t="shared" si="233"/>
        <v>136263.56000000006</v>
      </c>
      <c r="U161" s="193">
        <f t="shared" si="234"/>
        <v>0.25146576572942236</v>
      </c>
    </row>
    <row r="162" spans="1:21" x14ac:dyDescent="0.25">
      <c r="A162" s="54" t="str">
        <f>VLOOKUP(B162,'SAP Contracts'!A:J,10,FALSE)</f>
        <v>Ziply - WA FTTH Soft Scape Bid WOs (354)</v>
      </c>
      <c r="B162" s="54">
        <f>VLOOKUP(C162,'Active North Sky Projects'!C:D,2,FALSE)</f>
        <v>21131</v>
      </c>
      <c r="C162" s="108" t="s">
        <v>792</v>
      </c>
      <c r="D162" s="225">
        <f>IFERROR(VLOOKUP(B162,'MTD Hours Paste Data'!A:C,3,FALSE),"")</f>
        <v>0</v>
      </c>
      <c r="E162" s="64">
        <f>IFERROR(VLOOKUP(B162,'ACDOCA - Paste Data'!B:G,6,FALSE),0)</f>
        <v>20944.04</v>
      </c>
      <c r="F162" s="64">
        <f t="shared" si="247"/>
        <v>20944.04</v>
      </c>
      <c r="G162" s="64">
        <f>IFERROR(VLOOKUP(B162,'ACDOCA - Paste Data'!B:H,7,FALSE),0)</f>
        <v>27199.01</v>
      </c>
      <c r="H162" s="64">
        <f t="shared" si="248"/>
        <v>27199.01</v>
      </c>
      <c r="I162" s="64">
        <f t="shared" si="249"/>
        <v>-6254.9699999999975</v>
      </c>
      <c r="J162" s="65">
        <f t="shared" si="246"/>
        <v>-0.29865154955777384</v>
      </c>
      <c r="K162" s="198">
        <f>IFERROR(VLOOKUP(B162,'WIP - Paste Data'!B:E,4,FALSE),"")</f>
        <v>307427.12</v>
      </c>
      <c r="L162" s="64"/>
      <c r="M162" s="64"/>
      <c r="N162" s="66"/>
      <c r="O162" s="66"/>
      <c r="P162" s="189">
        <f>IFERROR(VLOOKUP(B162,'JTD Paste Data'!A:B,2,FALSE),"0")</f>
        <v>4961203.6899999995</v>
      </c>
      <c r="Q162" s="189">
        <f t="shared" si="231"/>
        <v>4961203.6899999995</v>
      </c>
      <c r="R162" s="189">
        <f>IFERROR(VLOOKUP(B162,'JTD Paste Data'!A:C,3,FALSE),"0")</f>
        <v>2694179.44</v>
      </c>
      <c r="S162" s="189">
        <f t="shared" si="232"/>
        <v>2694179.44</v>
      </c>
      <c r="T162" s="189">
        <f t="shared" si="233"/>
        <v>2267024.2499999995</v>
      </c>
      <c r="U162" s="193">
        <f t="shared" si="234"/>
        <v>0.45695044824898123</v>
      </c>
    </row>
    <row r="163" spans="1:21" ht="15.75" thickBot="1" x14ac:dyDescent="0.3">
      <c r="A163" s="75" t="s">
        <v>611</v>
      </c>
      <c r="B163" s="68" t="s">
        <v>1154</v>
      </c>
      <c r="C163" s="68"/>
      <c r="D163" s="226"/>
      <c r="E163" s="68">
        <f>SUM(E129:E162)</f>
        <v>1472422.2899999998</v>
      </c>
      <c r="F163" s="68">
        <f>SUM(F129:F162)</f>
        <v>1472422.2899999998</v>
      </c>
      <c r="G163" s="68">
        <f>SUM(G129:G162)</f>
        <v>1312790.57</v>
      </c>
      <c r="H163" s="68">
        <f>SUM(H129:H162)</f>
        <v>1312790.57</v>
      </c>
      <c r="I163" s="68">
        <f>F163-H163</f>
        <v>159631.71999999974</v>
      </c>
      <c r="J163" s="69">
        <f t="shared" si="246"/>
        <v>0.10841435985052886</v>
      </c>
      <c r="K163" s="206">
        <f>SUM(K129:K162)</f>
        <v>16897316.529999997</v>
      </c>
      <c r="L163" s="68">
        <f>SUM(L129:L162)</f>
        <v>0</v>
      </c>
      <c r="M163" s="68">
        <f>SUM(M129:M162)</f>
        <v>0</v>
      </c>
      <c r="N163" s="68"/>
      <c r="O163" s="68">
        <f t="shared" ref="O163:T163" si="250">SUM(O129:O162)</f>
        <v>0</v>
      </c>
      <c r="P163" s="68">
        <f t="shared" si="250"/>
        <v>50791721.219999991</v>
      </c>
      <c r="Q163" s="68">
        <f t="shared" si="250"/>
        <v>50791721.219999991</v>
      </c>
      <c r="R163" s="68">
        <f t="shared" si="250"/>
        <v>43285837.009999983</v>
      </c>
      <c r="S163" s="68">
        <f t="shared" si="250"/>
        <v>43285837.009999983</v>
      </c>
      <c r="T163" s="68">
        <f t="shared" si="250"/>
        <v>7505884.209999999</v>
      </c>
      <c r="U163" s="69">
        <f>IFERROR(T163/Q163,0)</f>
        <v>0.14777770923511147</v>
      </c>
    </row>
    <row r="164" spans="1:21" ht="15" x14ac:dyDescent="0.25">
      <c r="A164" s="87"/>
      <c r="B164" s="112"/>
      <c r="C164" s="112"/>
      <c r="D164" s="232"/>
      <c r="E164" s="76"/>
      <c r="F164" s="76"/>
      <c r="G164" s="76"/>
      <c r="H164" s="76"/>
      <c r="I164" s="76"/>
      <c r="J164" s="77"/>
      <c r="K164" s="207"/>
      <c r="L164" s="76"/>
      <c r="M164" s="76"/>
      <c r="N164" s="76"/>
      <c r="O164" s="76"/>
      <c r="P164" s="76"/>
      <c r="Q164" s="76"/>
      <c r="R164" s="76"/>
      <c r="S164" s="76"/>
      <c r="T164" s="76"/>
      <c r="U164" s="76"/>
    </row>
    <row r="165" spans="1:21" ht="15" x14ac:dyDescent="0.25">
      <c r="A165" s="33" t="s">
        <v>1065</v>
      </c>
      <c r="B165" s="126"/>
      <c r="C165" s="126"/>
      <c r="D165" s="233"/>
      <c r="E165" s="29">
        <f>+E163+E126</f>
        <v>2373024.0599999996</v>
      </c>
      <c r="F165" s="29">
        <f>+F163+F126</f>
        <v>2373024.0599999996</v>
      </c>
      <c r="G165" s="29">
        <f>+G163+G126</f>
        <v>1961306.44</v>
      </c>
      <c r="H165" s="29">
        <f>+H163+H126</f>
        <v>1961306.44</v>
      </c>
      <c r="I165" s="29">
        <f>+I163+I126</f>
        <v>411717.61999999988</v>
      </c>
      <c r="J165" s="79">
        <f>IFERROR(I165/F165,0)</f>
        <v>0.17349913426499347</v>
      </c>
      <c r="K165" s="208">
        <f>+K163+K126</f>
        <v>22939350.489999998</v>
      </c>
      <c r="L165" s="76"/>
      <c r="M165" s="76"/>
      <c r="N165" s="78"/>
      <c r="O165" s="78"/>
      <c r="P165" s="78"/>
      <c r="Q165" s="78"/>
      <c r="R165" s="78"/>
      <c r="S165" s="78"/>
      <c r="T165" s="78"/>
      <c r="U165" s="78"/>
    </row>
    <row r="166" spans="1:21" ht="15" x14ac:dyDescent="0.25">
      <c r="A166" s="17" t="s">
        <v>2975</v>
      </c>
      <c r="B166" s="16"/>
      <c r="C166" s="16"/>
      <c r="D166" s="229"/>
      <c r="E166" s="18"/>
      <c r="F166" s="19">
        <v>4945000</v>
      </c>
      <c r="G166" s="16"/>
      <c r="H166" s="16"/>
      <c r="I166" s="19">
        <v>668300</v>
      </c>
      <c r="J166" s="28">
        <f>IFERROR(I166/F166,0)</f>
        <v>0.13514661274014156</v>
      </c>
      <c r="K166" s="202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 spans="1:21" ht="15.75" customHeight="1" x14ac:dyDescent="0.25">
      <c r="A167" s="125" t="s">
        <v>4759</v>
      </c>
      <c r="B167" s="16"/>
      <c r="C167" s="16"/>
      <c r="D167" s="229"/>
      <c r="E167" s="18"/>
      <c r="F167" s="31">
        <f>IFERROR(F165/F166,0)</f>
        <v>0.47988353083923146</v>
      </c>
      <c r="G167" s="32"/>
      <c r="H167" s="32"/>
      <c r="I167" s="31">
        <f>IFERROR(I165/I166,0)</f>
        <v>0.61606706568906167</v>
      </c>
      <c r="J167" s="16"/>
      <c r="K167" s="203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 spans="1:21" ht="12.75" customHeight="1" thickBot="1" x14ac:dyDescent="0.3"/>
    <row r="169" spans="1:21" s="57" customFormat="1" ht="15" thickBot="1" x14ac:dyDescent="0.3">
      <c r="A169" s="127" t="s">
        <v>1058</v>
      </c>
      <c r="B169" s="127"/>
      <c r="C169" s="127"/>
      <c r="D169" s="230"/>
      <c r="E169" s="128"/>
      <c r="F169" s="128"/>
      <c r="G169" s="129"/>
      <c r="H169" s="129"/>
      <c r="I169" s="129"/>
      <c r="J169" s="129"/>
      <c r="K169" s="204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</row>
    <row r="170" spans="1:21" x14ac:dyDescent="0.25">
      <c r="A170" s="54" t="str">
        <f>VLOOKUP(B170,'SAP Contracts'!A:J,10,FALSE)</f>
        <v>Adams County - Othello FTTH</v>
      </c>
      <c r="B170" s="54">
        <f>VLOOKUP(C170,'Active North Sky Projects'!C:D,2,FALSE)</f>
        <v>21668</v>
      </c>
      <c r="C170" s="108" t="s">
        <v>1053</v>
      </c>
      <c r="D170" s="225">
        <f>IFERROR(VLOOKUP(B170,'MTD Hours Paste Data'!A:C,3,FALSE),"")</f>
        <v>1907.33</v>
      </c>
      <c r="E170" s="64">
        <f>IFERROR(VLOOKUP(B170,'ACDOCA - Paste Data'!B:G,6,FALSE),0)</f>
        <v>585736.53</v>
      </c>
      <c r="F170" s="64">
        <f t="shared" ref="F170" si="251">E170 +L170</f>
        <v>585736.53</v>
      </c>
      <c r="G170" s="64">
        <f>IFERROR(VLOOKUP(B170,'ACDOCA - Paste Data'!B:H,7,FALSE),0)</f>
        <v>355695.67</v>
      </c>
      <c r="H170" s="64">
        <f t="shared" ref="H170" si="252">G170+M170</f>
        <v>355695.67</v>
      </c>
      <c r="I170" s="64">
        <f t="shared" ref="I170" si="253">F170-H170</f>
        <v>230040.86000000004</v>
      </c>
      <c r="J170" s="65">
        <f t="shared" ref="J170:J200" si="254">IFERROR(I170/F170,0)</f>
        <v>0.39273777239060031</v>
      </c>
      <c r="K170" s="198">
        <f>IFERROR(VLOOKUP(B170,'WIP - Paste Data'!B:E,4,FALSE),"")</f>
        <v>2090212.3699999999</v>
      </c>
      <c r="L170" s="64"/>
      <c r="M170" s="64"/>
      <c r="N170" s="66"/>
      <c r="O170" s="66"/>
      <c r="P170" s="189">
        <f>IFERROR(VLOOKUP(B170,'JTD Paste Data'!A:B,2,FALSE),"0")</f>
        <v>3585274.14</v>
      </c>
      <c r="Q170" s="189">
        <f t="shared" ref="Q170" si="255">SUM(P170+L170)</f>
        <v>3585274.14</v>
      </c>
      <c r="R170" s="189">
        <f>IFERROR(VLOOKUP(B170,'JTD Paste Data'!A:C,3,FALSE),"0")</f>
        <v>2752581.96</v>
      </c>
      <c r="S170" s="189">
        <f t="shared" ref="S170" si="256">SUM(R170+M170)</f>
        <v>2752581.96</v>
      </c>
      <c r="T170" s="189">
        <f t="shared" ref="T170" si="257">SUM(Q170-S170)</f>
        <v>832692.18000000017</v>
      </c>
      <c r="U170" s="193">
        <f t="shared" ref="U170" si="258">IFERROR(T170/Q170,0)</f>
        <v>0.23225341981798919</v>
      </c>
    </row>
    <row r="171" spans="1:21" x14ac:dyDescent="0.25">
      <c r="A171" s="54" t="str">
        <f>VLOOKUP(B171,'SAP Contracts'!A:J,10,FALSE)</f>
        <v>Astound - Clallam County PWB Phase</v>
      </c>
      <c r="B171" s="54">
        <f>VLOOKUP(C171,'Active North Sky Projects'!C:D,2,FALSE)</f>
        <v>21655</v>
      </c>
      <c r="C171" s="108" t="s">
        <v>356</v>
      </c>
      <c r="D171" s="225">
        <f>IFERROR(VLOOKUP(B171,'MTD Hours Paste Data'!A:C,3,FALSE),"")</f>
        <v>0</v>
      </c>
      <c r="E171" s="64">
        <f>IFERROR(VLOOKUP(B171,'ACDOCA - Paste Data'!B:G,6,FALSE),0)</f>
        <v>2049</v>
      </c>
      <c r="F171" s="64">
        <f t="shared" ref="F171:F199" si="259">E171 +L171</f>
        <v>2049</v>
      </c>
      <c r="G171" s="64">
        <f>IFERROR(VLOOKUP(B171,'ACDOCA - Paste Data'!B:H,7,FALSE),0)</f>
        <v>158.44</v>
      </c>
      <c r="H171" s="64">
        <f t="shared" ref="H171:H199" si="260">G171+M171</f>
        <v>158.44</v>
      </c>
      <c r="I171" s="64">
        <f t="shared" ref="I171:I199" si="261">F171-H171</f>
        <v>1890.56</v>
      </c>
      <c r="J171" s="65">
        <f t="shared" si="254"/>
        <v>0.92267447535383107</v>
      </c>
      <c r="K171" s="198">
        <f>IFERROR(VLOOKUP(B171,'WIP - Paste Data'!B:E,4,FALSE),"")</f>
        <v>179735.34</v>
      </c>
      <c r="L171" s="64"/>
      <c r="M171" s="64"/>
      <c r="N171" s="66"/>
      <c r="O171" s="66"/>
      <c r="P171" s="189">
        <f>IFERROR(VLOOKUP(B171,'JTD Paste Data'!A:B,2,FALSE),"0")</f>
        <v>1451051.89</v>
      </c>
      <c r="Q171" s="189">
        <f t="shared" ref="Q171:Q199" si="262">SUM(P171+L171)</f>
        <v>1451051.89</v>
      </c>
      <c r="R171" s="189">
        <f>IFERROR(VLOOKUP(B171,'JTD Paste Data'!A:C,3,FALSE),"0")</f>
        <v>1129446.6200000001</v>
      </c>
      <c r="S171" s="189">
        <f t="shared" ref="S171:S199" si="263">SUM(R171+M171)</f>
        <v>1129446.6200000001</v>
      </c>
      <c r="T171" s="189">
        <f t="shared" ref="T171:T199" si="264">SUM(Q171-S171)</f>
        <v>321605.26999999979</v>
      </c>
      <c r="U171" s="193">
        <f t="shared" ref="U171:U199" si="265">IFERROR(T171/Q171,0)</f>
        <v>0.22163595403883166</v>
      </c>
    </row>
    <row r="172" spans="1:21" x14ac:dyDescent="0.25">
      <c r="A172" s="54" t="str">
        <f>VLOOKUP(B172,'SAP Contracts'!A:J,10,FALSE)</f>
        <v>Astound - Clallam County WSBO Phase</v>
      </c>
      <c r="B172" s="54">
        <f>VLOOKUP(C172,'Active North Sky Projects'!C:D,2,FALSE)</f>
        <v>21654</v>
      </c>
      <c r="C172" s="108" t="s">
        <v>330</v>
      </c>
      <c r="D172" s="225">
        <f>IFERROR(VLOOKUP(B172,'MTD Hours Paste Data'!A:C,3,FALSE),"")</f>
        <v>193.87</v>
      </c>
      <c r="E172" s="64">
        <f>IFERROR(VLOOKUP(B172,'ACDOCA - Paste Data'!B:G,6,FALSE),0)</f>
        <v>354229.47</v>
      </c>
      <c r="F172" s="64">
        <f t="shared" si="259"/>
        <v>354229.47</v>
      </c>
      <c r="G172" s="64">
        <f>IFERROR(VLOOKUP(B172,'ACDOCA - Paste Data'!B:H,7,FALSE),0)</f>
        <v>199269.3</v>
      </c>
      <c r="H172" s="64">
        <f t="shared" si="260"/>
        <v>199269.3</v>
      </c>
      <c r="I172" s="64">
        <f t="shared" si="261"/>
        <v>154960.16999999998</v>
      </c>
      <c r="J172" s="65">
        <f t="shared" si="254"/>
        <v>0.4374570246795107</v>
      </c>
      <c r="K172" s="198">
        <f>IFERROR(VLOOKUP(B172,'WIP - Paste Data'!B:E,4,FALSE),"")</f>
        <v>1675861.25</v>
      </c>
      <c r="L172" s="64"/>
      <c r="M172" s="64"/>
      <c r="N172" s="66"/>
      <c r="O172" s="66"/>
      <c r="P172" s="189">
        <f>IFERROR(VLOOKUP(B172,'JTD Paste Data'!A:B,2,FALSE),"0")</f>
        <v>10003888.640000001</v>
      </c>
      <c r="Q172" s="189">
        <f t="shared" si="262"/>
        <v>10003888.640000001</v>
      </c>
      <c r="R172" s="189">
        <f>IFERROR(VLOOKUP(B172,'JTD Paste Data'!A:C,3,FALSE),"0")</f>
        <v>6320657.1399999997</v>
      </c>
      <c r="S172" s="189">
        <f t="shared" si="263"/>
        <v>6320657.1399999997</v>
      </c>
      <c r="T172" s="189">
        <f t="shared" si="264"/>
        <v>3683231.5000000009</v>
      </c>
      <c r="U172" s="193">
        <f t="shared" si="265"/>
        <v>0.36817997806101138</v>
      </c>
    </row>
    <row r="173" spans="1:21" x14ac:dyDescent="0.25">
      <c r="A173" s="54" t="str">
        <f>VLOOKUP(B173,'SAP Contracts'!A:J,10,FALSE)</f>
        <v>Astound - Furnish and Install 6in class</v>
      </c>
      <c r="B173" s="54">
        <f>VLOOKUP(C173,'Active North Sky Projects'!C:D,2,FALSE)</f>
        <v>21521</v>
      </c>
      <c r="C173" s="108" t="s">
        <v>407</v>
      </c>
      <c r="D173" s="225" t="str">
        <f>IFERROR(VLOOKUP(B173,'MTD Hours Paste Data'!A:C,3,FALSE),"")</f>
        <v/>
      </c>
      <c r="E173" s="64">
        <f>IFERROR(VLOOKUP(B173,'ACDOCA - Paste Data'!B:G,6,FALSE),0)</f>
        <v>0</v>
      </c>
      <c r="F173" s="64">
        <f t="shared" si="259"/>
        <v>0</v>
      </c>
      <c r="G173" s="64">
        <f>IFERROR(VLOOKUP(B173,'ACDOCA - Paste Data'!B:H,7,FALSE),0)</f>
        <v>0</v>
      </c>
      <c r="H173" s="64">
        <f t="shared" si="260"/>
        <v>0</v>
      </c>
      <c r="I173" s="64">
        <f t="shared" si="261"/>
        <v>0</v>
      </c>
      <c r="J173" s="65">
        <f t="shared" si="254"/>
        <v>0</v>
      </c>
      <c r="K173" s="198" t="str">
        <f>IFERROR(VLOOKUP(B173,'WIP - Paste Data'!B:E,4,FALSE),"")</f>
        <v/>
      </c>
      <c r="L173" s="64"/>
      <c r="M173" s="64"/>
      <c r="N173" s="66"/>
      <c r="O173" s="66"/>
      <c r="P173" s="189" t="str">
        <f>IFERROR(VLOOKUP(B173,'JTD Paste Data'!A:B,2,FALSE),"0")</f>
        <v>0</v>
      </c>
      <c r="Q173" s="189">
        <f t="shared" si="262"/>
        <v>0</v>
      </c>
      <c r="R173" s="189" t="str">
        <f>IFERROR(VLOOKUP(B173,'JTD Paste Data'!A:C,3,FALSE),"0")</f>
        <v>0</v>
      </c>
      <c r="S173" s="189">
        <f t="shared" si="263"/>
        <v>0</v>
      </c>
      <c r="T173" s="189">
        <f t="shared" si="264"/>
        <v>0</v>
      </c>
      <c r="U173" s="193">
        <f t="shared" si="265"/>
        <v>0</v>
      </c>
    </row>
    <row r="174" spans="1:21" x14ac:dyDescent="0.25">
      <c r="A174" s="54" t="str">
        <f>VLOOKUP(B174,'SAP Contracts'!A:J,10,FALSE)</f>
        <v>AT&amp;T - CDA Bridge Cable Pulling</v>
      </c>
      <c r="B174" s="54">
        <f>VLOOKUP(C174,'Active North Sky Projects'!C:D,2,FALSE)</f>
        <v>21565</v>
      </c>
      <c r="C174" s="108" t="s">
        <v>1146</v>
      </c>
      <c r="D174" s="225">
        <f>IFERROR(VLOOKUP(B174,'MTD Hours Paste Data'!A:C,3,FALSE),"")</f>
        <v>0</v>
      </c>
      <c r="E174" s="64">
        <f>IFERROR(VLOOKUP(B174,'ACDOCA - Paste Data'!B:G,6,FALSE),0)</f>
        <v>0</v>
      </c>
      <c r="F174" s="64">
        <f t="shared" si="259"/>
        <v>0</v>
      </c>
      <c r="G174" s="64">
        <f>IFERROR(VLOOKUP(B174,'ACDOCA - Paste Data'!B:H,7,FALSE),0)</f>
        <v>0</v>
      </c>
      <c r="H174" s="64">
        <f t="shared" si="260"/>
        <v>0</v>
      </c>
      <c r="I174" s="64">
        <f t="shared" si="261"/>
        <v>0</v>
      </c>
      <c r="J174" s="65">
        <f t="shared" si="254"/>
        <v>0</v>
      </c>
      <c r="K174" s="198">
        <f>IFERROR(VLOOKUP(B174,'WIP - Paste Data'!B:E,4,FALSE),"")</f>
        <v>64886</v>
      </c>
      <c r="L174" s="64"/>
      <c r="M174" s="64"/>
      <c r="N174" s="66"/>
      <c r="O174" s="66"/>
      <c r="P174" s="189">
        <f>IFERROR(VLOOKUP(B174,'JTD Paste Data'!A:B,2,FALSE),"0")</f>
        <v>64886</v>
      </c>
      <c r="Q174" s="189">
        <f t="shared" si="262"/>
        <v>64886</v>
      </c>
      <c r="R174" s="189">
        <f>IFERROR(VLOOKUP(B174,'JTD Paste Data'!A:C,3,FALSE),"0")</f>
        <v>61645.56</v>
      </c>
      <c r="S174" s="189">
        <f t="shared" si="263"/>
        <v>61645.56</v>
      </c>
      <c r="T174" s="189">
        <f t="shared" si="264"/>
        <v>3240.4400000000023</v>
      </c>
      <c r="U174" s="193">
        <f t="shared" si="265"/>
        <v>4.994051105014953E-2</v>
      </c>
    </row>
    <row r="175" spans="1:21" x14ac:dyDescent="0.25">
      <c r="A175" s="54" t="str">
        <f>VLOOKUP(B175,'SAP Contracts'!A:J,10,FALSE)</f>
        <v>Avista - Dalton sub to CDA Call Center</v>
      </c>
      <c r="B175" s="54">
        <f>VLOOKUP(C175,'Active North Sky Projects'!C:D,2,FALSE)</f>
        <v>21165</v>
      </c>
      <c r="C175" s="108" t="s">
        <v>856</v>
      </c>
      <c r="D175" s="225">
        <f>IFERROR(VLOOKUP(B175,'MTD Hours Paste Data'!A:C,3,FALSE),"")</f>
        <v>12.53</v>
      </c>
      <c r="E175" s="64">
        <f>IFERROR(VLOOKUP(B175,'ACDOCA - Paste Data'!B:G,6,FALSE),0)</f>
        <v>0</v>
      </c>
      <c r="F175" s="64">
        <f t="shared" si="259"/>
        <v>0</v>
      </c>
      <c r="G175" s="64">
        <f>IFERROR(VLOOKUP(B175,'ACDOCA - Paste Data'!B:H,7,FALSE),0)</f>
        <v>-45923.16</v>
      </c>
      <c r="H175" s="64">
        <f t="shared" si="260"/>
        <v>-45923.16</v>
      </c>
      <c r="I175" s="64">
        <f t="shared" si="261"/>
        <v>45923.16</v>
      </c>
      <c r="J175" s="65">
        <f t="shared" si="254"/>
        <v>0</v>
      </c>
      <c r="K175" s="198">
        <f>IFERROR(VLOOKUP(B175,'WIP - Paste Data'!B:E,4,FALSE),"")</f>
        <v>65059</v>
      </c>
      <c r="L175" s="64"/>
      <c r="M175" s="64"/>
      <c r="N175" s="66"/>
      <c r="O175" s="66"/>
      <c r="P175" s="189">
        <f>IFERROR(VLOOKUP(B175,'JTD Paste Data'!A:B,2,FALSE),"0")</f>
        <v>825611.1</v>
      </c>
      <c r="Q175" s="189">
        <f t="shared" si="262"/>
        <v>825611.1</v>
      </c>
      <c r="R175" s="189">
        <f>IFERROR(VLOOKUP(B175,'JTD Paste Data'!A:C,3,FALSE),"0")</f>
        <v>694471.74</v>
      </c>
      <c r="S175" s="189">
        <f t="shared" si="263"/>
        <v>694471.74</v>
      </c>
      <c r="T175" s="189">
        <f t="shared" si="264"/>
        <v>131139.35999999999</v>
      </c>
      <c r="U175" s="193">
        <f t="shared" si="265"/>
        <v>0.15883914351442222</v>
      </c>
    </row>
    <row r="176" spans="1:21" x14ac:dyDescent="0.25">
      <c r="A176" s="54" t="str">
        <f>VLOOKUP(B176,'SAP Contracts'!A:J,10,FALSE)</f>
        <v>CAL-Ore 2024</v>
      </c>
      <c r="B176" s="54">
        <f>VLOOKUP(C176,'Active North Sky Projects'!C:D,2,FALSE)</f>
        <v>21421</v>
      </c>
      <c r="C176" s="108" t="s">
        <v>152</v>
      </c>
      <c r="D176" s="225" t="str">
        <f>IFERROR(VLOOKUP(B176,'MTD Hours Paste Data'!A:C,3,FALSE),"")</f>
        <v/>
      </c>
      <c r="E176" s="64">
        <f>IFERROR(VLOOKUP(B176,'ACDOCA - Paste Data'!B:G,6,FALSE),0)</f>
        <v>0</v>
      </c>
      <c r="F176" s="64">
        <f t="shared" si="259"/>
        <v>0</v>
      </c>
      <c r="G176" s="64">
        <f>IFERROR(VLOOKUP(B176,'ACDOCA - Paste Data'!B:H,7,FALSE),0)</f>
        <v>0</v>
      </c>
      <c r="H176" s="64">
        <f t="shared" si="260"/>
        <v>0</v>
      </c>
      <c r="I176" s="64">
        <f t="shared" si="261"/>
        <v>0</v>
      </c>
      <c r="J176" s="65">
        <f t="shared" si="254"/>
        <v>0</v>
      </c>
      <c r="K176" s="198" t="str">
        <f>IFERROR(VLOOKUP(B176,'WIP - Paste Data'!B:E,4,FALSE),"")</f>
        <v/>
      </c>
      <c r="L176" s="64"/>
      <c r="M176" s="64"/>
      <c r="N176" s="66"/>
      <c r="O176" s="66"/>
      <c r="P176" s="189" t="str">
        <f>IFERROR(VLOOKUP(B176,'JTD Paste Data'!A:B,2,FALSE),"0")</f>
        <v>0</v>
      </c>
      <c r="Q176" s="189">
        <f t="shared" si="262"/>
        <v>0</v>
      </c>
      <c r="R176" s="189" t="str">
        <f>IFERROR(VLOOKUP(B176,'JTD Paste Data'!A:C,3,FALSE),"0")</f>
        <v>0</v>
      </c>
      <c r="S176" s="189">
        <f t="shared" si="263"/>
        <v>0</v>
      </c>
      <c r="T176" s="189">
        <f t="shared" si="264"/>
        <v>0</v>
      </c>
      <c r="U176" s="193">
        <f t="shared" si="265"/>
        <v>0</v>
      </c>
    </row>
    <row r="177" spans="1:21" x14ac:dyDescent="0.25">
      <c r="A177" s="54" t="str">
        <f>VLOOKUP(B177,'SAP Contracts'!A:J,10,FALSE)</f>
        <v>Cogent Bridge 76 Final Reattach</v>
      </c>
      <c r="B177" s="54">
        <f>VLOOKUP(C177,'Active North Sky Projects'!C:D,2,FALSE)</f>
        <v>21360</v>
      </c>
      <c r="C177" s="108" t="s">
        <v>835</v>
      </c>
      <c r="D177" s="225" t="str">
        <f>IFERROR(VLOOKUP(B177,'MTD Hours Paste Data'!A:C,3,FALSE),"")</f>
        <v/>
      </c>
      <c r="E177" s="64">
        <f>IFERROR(VLOOKUP(B177,'ACDOCA - Paste Data'!B:G,6,FALSE),0)</f>
        <v>0</v>
      </c>
      <c r="F177" s="64">
        <f t="shared" si="259"/>
        <v>0</v>
      </c>
      <c r="G177" s="64">
        <f>IFERROR(VLOOKUP(B177,'ACDOCA - Paste Data'!B:H,7,FALSE),0)</f>
        <v>0</v>
      </c>
      <c r="H177" s="64">
        <f t="shared" si="260"/>
        <v>0</v>
      </c>
      <c r="I177" s="64">
        <f t="shared" si="261"/>
        <v>0</v>
      </c>
      <c r="J177" s="65">
        <f t="shared" si="254"/>
        <v>0</v>
      </c>
      <c r="K177" s="198" t="str">
        <f>IFERROR(VLOOKUP(B177,'WIP - Paste Data'!B:E,4,FALSE),"")</f>
        <v/>
      </c>
      <c r="L177" s="64"/>
      <c r="M177" s="64"/>
      <c r="N177" s="66"/>
      <c r="O177" s="66"/>
      <c r="P177" s="189">
        <f>IFERROR(VLOOKUP(B177,'JTD Paste Data'!A:B,2,FALSE),"0")</f>
        <v>16954</v>
      </c>
      <c r="Q177" s="189">
        <f t="shared" si="262"/>
        <v>16954</v>
      </c>
      <c r="R177" s="189">
        <f>IFERROR(VLOOKUP(B177,'JTD Paste Data'!A:C,3,FALSE),"0")</f>
        <v>12241.68</v>
      </c>
      <c r="S177" s="189">
        <f t="shared" si="263"/>
        <v>12241.68</v>
      </c>
      <c r="T177" s="189">
        <f t="shared" si="264"/>
        <v>4712.32</v>
      </c>
      <c r="U177" s="193">
        <f t="shared" si="265"/>
        <v>0.27794738704730443</v>
      </c>
    </row>
    <row r="178" spans="1:21" x14ac:dyDescent="0.25">
      <c r="A178" s="54" t="s">
        <v>2778</v>
      </c>
      <c r="B178" s="54">
        <v>22108</v>
      </c>
      <c r="C178" s="108" t="s">
        <v>2715</v>
      </c>
      <c r="D178" s="225" t="str">
        <f>IFERROR(VLOOKUP(B178,'MTD Hours Paste Data'!A:C,3,FALSE),"")</f>
        <v/>
      </c>
      <c r="E178" s="64">
        <f>IFERROR(VLOOKUP(B178,'ACDOCA - Paste Data'!B:G,6,FALSE),0)</f>
        <v>0</v>
      </c>
      <c r="F178" s="64">
        <f t="shared" ref="F178" si="266">E178 +L178</f>
        <v>0</v>
      </c>
      <c r="G178" s="64">
        <f>IFERROR(VLOOKUP(B178,'ACDOCA - Paste Data'!B:H,7,FALSE),0)</f>
        <v>-4550</v>
      </c>
      <c r="H178" s="64">
        <f t="shared" ref="H178" si="267">G178+M178</f>
        <v>-4550</v>
      </c>
      <c r="I178" s="64">
        <f t="shared" ref="I178" si="268">F178-H178</f>
        <v>4550</v>
      </c>
      <c r="J178" s="65">
        <f t="shared" ref="J178" si="269">IFERROR(I178/F178,0)</f>
        <v>0</v>
      </c>
      <c r="K178" s="198">
        <f>IFERROR(VLOOKUP(B178,'WIP - Paste Data'!B:E,4,FALSE),"")</f>
        <v>11871.35</v>
      </c>
      <c r="L178" s="64"/>
      <c r="M178" s="64"/>
      <c r="N178" s="66"/>
      <c r="O178" s="66"/>
      <c r="P178" s="189">
        <f>IFERROR(VLOOKUP(B178,'JTD Paste Data'!A:B,2,FALSE),"0")</f>
        <v>11871.35</v>
      </c>
      <c r="Q178" s="189">
        <f t="shared" ref="Q178" si="270">SUM(P178+L178)</f>
        <v>11871.35</v>
      </c>
      <c r="R178" s="189">
        <f>IFERROR(VLOOKUP(B178,'JTD Paste Data'!A:C,3,FALSE),"0")</f>
        <v>3018.82</v>
      </c>
      <c r="S178" s="189">
        <f t="shared" ref="S178" si="271">SUM(R178+M178)</f>
        <v>3018.82</v>
      </c>
      <c r="T178" s="189">
        <f t="shared" ref="T178" si="272">SUM(Q178-S178)</f>
        <v>8852.5300000000007</v>
      </c>
      <c r="U178" s="193">
        <f t="shared" ref="U178" si="273">IFERROR(T178/Q178,0)</f>
        <v>0.74570541682285507</v>
      </c>
    </row>
    <row r="179" spans="1:21" x14ac:dyDescent="0.25">
      <c r="A179" s="54" t="str">
        <f>VLOOKUP(B179,'SAP Contracts'!A:J,10,FALSE)</f>
        <v>Colville Tribes - Twin Lakes FTTH</v>
      </c>
      <c r="B179" s="54">
        <f>VLOOKUP(C179,'Active North Sky Projects'!C:D,2,FALSE)</f>
        <v>21402</v>
      </c>
      <c r="C179" s="108" t="s">
        <v>1043</v>
      </c>
      <c r="D179" s="225">
        <f>IFERROR(VLOOKUP(B179,'MTD Hours Paste Data'!A:C,3,FALSE),"")</f>
        <v>0</v>
      </c>
      <c r="E179" s="64">
        <f>IFERROR(VLOOKUP(B179,'ACDOCA - Paste Data'!B:G,6,FALSE),0)</f>
        <v>63056.03</v>
      </c>
      <c r="F179" s="64">
        <f t="shared" si="259"/>
        <v>63056.03</v>
      </c>
      <c r="G179" s="64">
        <f>IFERROR(VLOOKUP(B179,'ACDOCA - Paste Data'!B:H,7,FALSE),0)</f>
        <v>58873.919999999998</v>
      </c>
      <c r="H179" s="64">
        <f t="shared" si="260"/>
        <v>58873.919999999998</v>
      </c>
      <c r="I179" s="64">
        <f t="shared" si="261"/>
        <v>4182.1100000000006</v>
      </c>
      <c r="J179" s="65">
        <f t="shared" si="254"/>
        <v>6.6323712418939168E-2</v>
      </c>
      <c r="K179" s="198">
        <f>IFERROR(VLOOKUP(B179,'WIP - Paste Data'!B:E,4,FALSE),"")</f>
        <v>1203866.1200000001</v>
      </c>
      <c r="L179" s="64"/>
      <c r="M179" s="64"/>
      <c r="N179" s="66"/>
      <c r="O179" s="66"/>
      <c r="P179" s="189">
        <f>IFERROR(VLOOKUP(B179,'JTD Paste Data'!A:B,2,FALSE),"0")</f>
        <v>1203866.1200000001</v>
      </c>
      <c r="Q179" s="189">
        <f t="shared" si="262"/>
        <v>1203866.1200000001</v>
      </c>
      <c r="R179" s="189">
        <f>IFERROR(VLOOKUP(B179,'JTD Paste Data'!A:C,3,FALSE),"0")</f>
        <v>971926.02</v>
      </c>
      <c r="S179" s="189">
        <f t="shared" si="263"/>
        <v>971926.02</v>
      </c>
      <c r="T179" s="189">
        <f t="shared" si="264"/>
        <v>231940.10000000009</v>
      </c>
      <c r="U179" s="193">
        <f t="shared" si="265"/>
        <v>0.19266270239418323</v>
      </c>
    </row>
    <row r="180" spans="1:21" x14ac:dyDescent="0.25">
      <c r="A180" s="54" t="str">
        <f>VLOOKUP(B180,'SAP Contracts'!A:J,10,FALSE)</f>
        <v>Wash DOC-Telephone Conduit Move &amp;Replace</v>
      </c>
      <c r="B180" s="54">
        <v>21665</v>
      </c>
      <c r="C180" s="108" t="s">
        <v>2730</v>
      </c>
      <c r="D180" s="225" t="str">
        <f>IFERROR(VLOOKUP(B180,'MTD Hours Paste Data'!A:C,3,FALSE),"")</f>
        <v/>
      </c>
      <c r="E180" s="64">
        <f>IFERROR(VLOOKUP(B180,'ACDOCA - Paste Data'!B:G,6,FALSE),0)</f>
        <v>0</v>
      </c>
      <c r="F180" s="64">
        <f t="shared" ref="F180" si="274">E180 +L180</f>
        <v>0</v>
      </c>
      <c r="G180" s="64">
        <f>IFERROR(VLOOKUP(B180,'ACDOCA - Paste Data'!B:H,7,FALSE),0)</f>
        <v>0</v>
      </c>
      <c r="H180" s="64">
        <f t="shared" ref="H180" si="275">G180+M180</f>
        <v>0</v>
      </c>
      <c r="I180" s="64">
        <f t="shared" ref="I180" si="276">F180-H180</f>
        <v>0</v>
      </c>
      <c r="J180" s="65">
        <f t="shared" ref="J180" si="277">IFERROR(I180/F180,0)</f>
        <v>0</v>
      </c>
      <c r="K180" s="198" t="str">
        <f>IFERROR(VLOOKUP(B180,'WIP - Paste Data'!B:E,4,FALSE),"")</f>
        <v/>
      </c>
      <c r="L180" s="64"/>
      <c r="M180" s="64"/>
      <c r="N180" s="66"/>
      <c r="O180" s="66"/>
      <c r="P180" s="189">
        <f>IFERROR(VLOOKUP(B180,'JTD Paste Data'!A:B,2,FALSE),"0")</f>
        <v>4950</v>
      </c>
      <c r="Q180" s="189">
        <f t="shared" si="262"/>
        <v>4950</v>
      </c>
      <c r="R180" s="189">
        <f>IFERROR(VLOOKUP(B180,'JTD Paste Data'!A:C,3,FALSE),"0")</f>
        <v>4459.8899999999994</v>
      </c>
      <c r="S180" s="189">
        <f t="shared" si="263"/>
        <v>4459.8899999999994</v>
      </c>
      <c r="T180" s="189">
        <f t="shared" si="264"/>
        <v>490.11000000000058</v>
      </c>
      <c r="U180" s="193">
        <f t="shared" si="265"/>
        <v>9.9012121212121329E-2</v>
      </c>
    </row>
    <row r="181" spans="1:21" x14ac:dyDescent="0.25">
      <c r="A181" s="54" t="str">
        <f>VLOOKUP(B181,'SAP Contracts'!A:J,10,FALSE)</f>
        <v>Declaration - Deep Lake, Seg 6 and 7</v>
      </c>
      <c r="B181" s="54">
        <f>VLOOKUP(C181,'Active North Sky Projects'!C:D,2,FALSE)</f>
        <v>21687</v>
      </c>
      <c r="C181" s="108" t="s">
        <v>807</v>
      </c>
      <c r="D181" s="225">
        <f>IFERROR(VLOOKUP(B181,'MTD Hours Paste Data'!A:C,3,FALSE),"")</f>
        <v>0</v>
      </c>
      <c r="E181" s="64">
        <f>IFERROR(VLOOKUP(B181,'ACDOCA - Paste Data'!B:G,6,FALSE),0)</f>
        <v>0</v>
      </c>
      <c r="F181" s="64">
        <f t="shared" si="259"/>
        <v>0</v>
      </c>
      <c r="G181" s="64">
        <f>IFERROR(VLOOKUP(B181,'ACDOCA - Paste Data'!B:H,7,FALSE),0)</f>
        <v>0</v>
      </c>
      <c r="H181" s="64">
        <f t="shared" si="260"/>
        <v>0</v>
      </c>
      <c r="I181" s="64">
        <f t="shared" si="261"/>
        <v>0</v>
      </c>
      <c r="J181" s="65">
        <f t="shared" si="254"/>
        <v>0</v>
      </c>
      <c r="K181" s="198" t="str">
        <f>IFERROR(VLOOKUP(B181,'WIP - Paste Data'!B:E,4,FALSE),"")</f>
        <v/>
      </c>
      <c r="L181" s="64"/>
      <c r="M181" s="64"/>
      <c r="N181" s="66"/>
      <c r="O181" s="66"/>
      <c r="P181" s="189">
        <f>IFERROR(VLOOKUP(B181,'JTD Paste Data'!A:B,2,FALSE),"0")</f>
        <v>634337.05000000005</v>
      </c>
      <c r="Q181" s="189">
        <f t="shared" si="262"/>
        <v>634337.05000000005</v>
      </c>
      <c r="R181" s="189">
        <f>IFERROR(VLOOKUP(B181,'JTD Paste Data'!A:C,3,FALSE),"0")</f>
        <v>520744.47000000003</v>
      </c>
      <c r="S181" s="189">
        <f t="shared" si="263"/>
        <v>520744.47000000003</v>
      </c>
      <c r="T181" s="189">
        <f t="shared" si="264"/>
        <v>113592.58000000002</v>
      </c>
      <c r="U181" s="193">
        <f t="shared" si="265"/>
        <v>0.17907290769158132</v>
      </c>
    </row>
    <row r="182" spans="1:21" x14ac:dyDescent="0.25">
      <c r="A182" s="54" t="str">
        <f>VLOOKUP(B182,'SAP Contracts'!A:J,10,FALSE)</f>
        <v>Frontier - Middle Mile Segment (Fire)</v>
      </c>
      <c r="B182" s="54">
        <f>VLOOKUP(C182,'Active North Sky Projects'!C:D,2,FALSE)</f>
        <v>21075</v>
      </c>
      <c r="C182" s="108" t="s">
        <v>751</v>
      </c>
      <c r="D182" s="225">
        <f>IFERROR(VLOOKUP(B182,'MTD Hours Paste Data'!A:C,3,FALSE),"")</f>
        <v>143.12</v>
      </c>
      <c r="E182" s="64">
        <f>IFERROR(VLOOKUP(B182,'ACDOCA - Paste Data'!B:G,6,FALSE),0)</f>
        <v>446145.75</v>
      </c>
      <c r="F182" s="64">
        <f t="shared" si="259"/>
        <v>446145.75</v>
      </c>
      <c r="G182" s="64">
        <f>IFERROR(VLOOKUP(B182,'ACDOCA - Paste Data'!B:H,7,FALSE),0)</f>
        <v>402796.02</v>
      </c>
      <c r="H182" s="64">
        <f t="shared" si="260"/>
        <v>402796.02</v>
      </c>
      <c r="I182" s="64">
        <f t="shared" si="261"/>
        <v>43349.729999999981</v>
      </c>
      <c r="J182" s="65">
        <f t="shared" si="254"/>
        <v>9.7164951139846079E-2</v>
      </c>
      <c r="K182" s="198">
        <f>IFERROR(VLOOKUP(B182,'WIP - Paste Data'!B:E,4,FALSE),"")</f>
        <v>1818896.21</v>
      </c>
      <c r="L182" s="64"/>
      <c r="M182" s="64"/>
      <c r="N182" s="66"/>
      <c r="O182" s="66"/>
      <c r="P182" s="189">
        <f>IFERROR(VLOOKUP(B182,'JTD Paste Data'!A:B,2,FALSE),"0")</f>
        <v>2481896.61</v>
      </c>
      <c r="Q182" s="189">
        <f t="shared" si="262"/>
        <v>2481896.61</v>
      </c>
      <c r="R182" s="189">
        <f>IFERROR(VLOOKUP(B182,'JTD Paste Data'!A:C,3,FALSE),"0")</f>
        <v>2164491.36</v>
      </c>
      <c r="S182" s="189">
        <f t="shared" si="263"/>
        <v>2164491.36</v>
      </c>
      <c r="T182" s="189">
        <f t="shared" si="264"/>
        <v>317405.25</v>
      </c>
      <c r="U182" s="193">
        <f t="shared" si="265"/>
        <v>0.12788818386757861</v>
      </c>
    </row>
    <row r="183" spans="1:21" x14ac:dyDescent="0.25">
      <c r="A183" s="54" t="s">
        <v>2160</v>
      </c>
      <c r="B183" s="253">
        <v>21490</v>
      </c>
      <c r="C183" s="108" t="s">
        <v>2715</v>
      </c>
      <c r="D183" s="225" t="str">
        <f>IFERROR(VLOOKUP(B183,'MTD Hours Paste Data'!A:C,3,FALSE),"")</f>
        <v/>
      </c>
      <c r="E183" s="64">
        <f>IFERROR(VLOOKUP(B183,'ACDOCA - Paste Data'!B:G,6,FALSE),0)</f>
        <v>0</v>
      </c>
      <c r="F183" s="64">
        <f t="shared" ref="F183" si="278">E183 +L183</f>
        <v>0</v>
      </c>
      <c r="G183" s="64">
        <f>IFERROR(VLOOKUP(B183,'ACDOCA - Paste Data'!B:H,7,FALSE),0)</f>
        <v>1076.21</v>
      </c>
      <c r="H183" s="64">
        <f t="shared" ref="H183" si="279">G183+M183</f>
        <v>1076.21</v>
      </c>
      <c r="I183" s="64">
        <f t="shared" ref="I183" si="280">F183-H183</f>
        <v>-1076.21</v>
      </c>
      <c r="J183" s="65">
        <f t="shared" ref="J183" si="281">IFERROR(I183/F183,0)</f>
        <v>0</v>
      </c>
      <c r="K183" s="198" t="str">
        <f>IFERROR(VLOOKUP(B183,'WIP - Paste Data'!B:E,4,FALSE),"")</f>
        <v/>
      </c>
      <c r="L183" s="64"/>
      <c r="M183" s="64"/>
      <c r="N183" s="66"/>
      <c r="O183" s="66"/>
      <c r="P183" s="189">
        <f>IFERROR(VLOOKUP(B183,'JTD Paste Data'!A:B,2,FALSE),"0")</f>
        <v>0</v>
      </c>
      <c r="Q183" s="189">
        <f t="shared" ref="Q183" si="282">SUM(P183+L183)</f>
        <v>0</v>
      </c>
      <c r="R183" s="189">
        <f>IFERROR(VLOOKUP(B183,'JTD Paste Data'!A:C,3,FALSE),"0")</f>
        <v>1076.22</v>
      </c>
      <c r="S183" s="189">
        <f t="shared" ref="S183" si="283">SUM(R183+M183)</f>
        <v>1076.22</v>
      </c>
      <c r="T183" s="189">
        <f t="shared" ref="T183" si="284">SUM(Q183-S183)</f>
        <v>-1076.22</v>
      </c>
      <c r="U183" s="193">
        <f t="shared" ref="U183" si="285">IFERROR(T183/Q183,0)</f>
        <v>0</v>
      </c>
    </row>
    <row r="184" spans="1:21" x14ac:dyDescent="0.25">
      <c r="A184" s="54" t="str">
        <f>VLOOKUP(B184,'SAP Contracts'!A:J,10,FALSE)</f>
        <v>Grant Co PUD - Design Build</v>
      </c>
      <c r="B184" s="54">
        <v>21304</v>
      </c>
      <c r="C184" s="108" t="s">
        <v>53</v>
      </c>
      <c r="D184" s="225" t="str">
        <f>IFERROR(VLOOKUP(B184,'MTD Hours Paste Data'!A:C,3,FALSE),"")</f>
        <v/>
      </c>
      <c r="E184" s="64">
        <f>IFERROR(VLOOKUP(B184,'ACDOCA - Paste Data'!B:G,6,FALSE),0)</f>
        <v>0</v>
      </c>
      <c r="F184" s="64">
        <f t="shared" ref="F184" si="286">E184 +L184</f>
        <v>0</v>
      </c>
      <c r="G184" s="64">
        <f>IFERROR(VLOOKUP(B184,'ACDOCA - Paste Data'!B:H,7,FALSE),0)</f>
        <v>0</v>
      </c>
      <c r="H184" s="64">
        <f t="shared" ref="H184" si="287">G184+M184</f>
        <v>0</v>
      </c>
      <c r="I184" s="64">
        <f t="shared" ref="I184" si="288">F184-H184</f>
        <v>0</v>
      </c>
      <c r="J184" s="65">
        <f t="shared" ref="J184" si="289">IFERROR(I184/F184,0)</f>
        <v>0</v>
      </c>
      <c r="K184" s="198" t="str">
        <f>IFERROR(VLOOKUP(B184,'WIP - Paste Data'!B:E,4,FALSE),"")</f>
        <v/>
      </c>
      <c r="L184" s="64"/>
      <c r="M184" s="64"/>
      <c r="N184" s="66"/>
      <c r="O184" s="66"/>
      <c r="P184" s="189">
        <f>IFERROR(VLOOKUP(B184,'JTD Paste Data'!A:B,2,FALSE),"0")</f>
        <v>15999594.41</v>
      </c>
      <c r="Q184" s="189">
        <f t="shared" si="262"/>
        <v>15999594.41</v>
      </c>
      <c r="R184" s="189">
        <f>IFERROR(VLOOKUP(B184,'JTD Paste Data'!A:C,3,FALSE),"0")</f>
        <v>13886369.109999999</v>
      </c>
      <c r="S184" s="189">
        <f t="shared" si="263"/>
        <v>13886369.109999999</v>
      </c>
      <c r="T184" s="189">
        <f t="shared" si="264"/>
        <v>2113225.3000000007</v>
      </c>
      <c r="U184" s="193">
        <f t="shared" si="265"/>
        <v>0.13207992939366023</v>
      </c>
    </row>
    <row r="185" spans="1:21" x14ac:dyDescent="0.25">
      <c r="A185" s="54" t="str">
        <f>VLOOKUP(B185,'SAP Contracts'!A:J,10,FALSE)</f>
        <v>Grant County PUD (2026-27)</v>
      </c>
      <c r="B185" s="54">
        <f>VLOOKUP(C185,'Active North Sky Projects'!C:D,2,FALSE)</f>
        <v>21453</v>
      </c>
      <c r="C185" s="108" t="s">
        <v>1007</v>
      </c>
      <c r="D185" s="225">
        <f>IFERROR(VLOOKUP(B185,'MTD Hours Paste Data'!A:C,3,FALSE),"")</f>
        <v>360.15</v>
      </c>
      <c r="E185" s="64">
        <f>IFERROR(VLOOKUP(B185,'ACDOCA - Paste Data'!B:G,6,FALSE),0)</f>
        <v>49551.14</v>
      </c>
      <c r="F185" s="64">
        <f t="shared" si="259"/>
        <v>49551.14</v>
      </c>
      <c r="G185" s="64">
        <f>IFERROR(VLOOKUP(B185,'ACDOCA - Paste Data'!B:H,7,FALSE),0)</f>
        <v>32192.47</v>
      </c>
      <c r="H185" s="64">
        <f t="shared" si="260"/>
        <v>32192.47</v>
      </c>
      <c r="I185" s="64">
        <f t="shared" si="261"/>
        <v>17358.669999999998</v>
      </c>
      <c r="J185" s="65">
        <f t="shared" si="254"/>
        <v>0.35031827723842474</v>
      </c>
      <c r="K185" s="198">
        <f>IFERROR(VLOOKUP(B185,'WIP - Paste Data'!B:E,4,FALSE),"")</f>
        <v>86865.919999999998</v>
      </c>
      <c r="L185" s="64"/>
      <c r="M185" s="64"/>
      <c r="N185" s="66"/>
      <c r="O185" s="66"/>
      <c r="P185" s="189">
        <f>IFERROR(VLOOKUP(B185,'JTD Paste Data'!A:B,2,FALSE),"0")</f>
        <v>391732.75999999995</v>
      </c>
      <c r="Q185" s="189">
        <f t="shared" si="262"/>
        <v>391732.75999999995</v>
      </c>
      <c r="R185" s="189">
        <f>IFERROR(VLOOKUP(B185,'JTD Paste Data'!A:C,3,FALSE),"0")</f>
        <v>282672.96000000002</v>
      </c>
      <c r="S185" s="189">
        <f t="shared" si="263"/>
        <v>282672.96000000002</v>
      </c>
      <c r="T185" s="189">
        <f t="shared" si="264"/>
        <v>109059.79999999993</v>
      </c>
      <c r="U185" s="193">
        <f t="shared" si="265"/>
        <v>0.27840357288473894</v>
      </c>
    </row>
    <row r="186" spans="1:21" x14ac:dyDescent="0.25">
      <c r="A186" s="54" t="str">
        <f>VLOOKUP(B186,'SAP Contracts'!A:J,10,FALSE)</f>
        <v>Idaho County - DIGB2 Phase II - Np - Grv</v>
      </c>
      <c r="B186" s="54">
        <f>VLOOKUP(C186,'Active North Sky Projects'!C:D,2,FALSE)</f>
        <v>21558</v>
      </c>
      <c r="C186" s="108" t="s">
        <v>903</v>
      </c>
      <c r="D186" s="225">
        <f>IFERROR(VLOOKUP(B186,'MTD Hours Paste Data'!A:C,3,FALSE),"")</f>
        <v>2016.99</v>
      </c>
      <c r="E186" s="64">
        <f>IFERROR(VLOOKUP(B186,'ACDOCA - Paste Data'!B:G,6,FALSE),0)</f>
        <v>388420.07</v>
      </c>
      <c r="F186" s="64">
        <f t="shared" si="259"/>
        <v>388420.07</v>
      </c>
      <c r="G186" s="64">
        <f>IFERROR(VLOOKUP(B186,'ACDOCA - Paste Data'!B:H,7,FALSE),0)</f>
        <v>245523.52</v>
      </c>
      <c r="H186" s="64">
        <f t="shared" si="260"/>
        <v>245523.52</v>
      </c>
      <c r="I186" s="64">
        <f t="shared" si="261"/>
        <v>142896.55000000002</v>
      </c>
      <c r="J186" s="65">
        <f t="shared" si="254"/>
        <v>0.3678917775798764</v>
      </c>
      <c r="K186" s="198">
        <f>IFERROR(VLOOKUP(B186,'WIP - Paste Data'!B:E,4,FALSE),"")</f>
        <v>891967.75999999989</v>
      </c>
      <c r="L186" s="64"/>
      <c r="M186" s="64"/>
      <c r="N186" s="66"/>
      <c r="O186" s="66"/>
      <c r="P186" s="189">
        <f>IFERROR(VLOOKUP(B186,'JTD Paste Data'!A:B,2,FALSE),"0")</f>
        <v>2175562.98</v>
      </c>
      <c r="Q186" s="189">
        <f t="shared" si="262"/>
        <v>2175562.98</v>
      </c>
      <c r="R186" s="189">
        <f>IFERROR(VLOOKUP(B186,'JTD Paste Data'!A:C,3,FALSE),"0")</f>
        <v>1861644.8699999999</v>
      </c>
      <c r="S186" s="189">
        <f t="shared" si="263"/>
        <v>1861644.8699999999</v>
      </c>
      <c r="T186" s="189">
        <f t="shared" si="264"/>
        <v>313918.1100000001</v>
      </c>
      <c r="U186" s="193">
        <f t="shared" si="265"/>
        <v>0.14429281656557702</v>
      </c>
    </row>
    <row r="187" spans="1:21" x14ac:dyDescent="0.25">
      <c r="A187" s="54" t="str">
        <f>VLOOKUP(B187,'SAP Contracts'!A:J,10,FALSE)</f>
        <v>Jefferson PUD-Olympic Fiber Build</v>
      </c>
      <c r="B187" s="54">
        <f>VLOOKUP(C187,'Active North Sky Projects'!C:D,2,FALSE)</f>
        <v>21143</v>
      </c>
      <c r="C187" s="108" t="s">
        <v>100</v>
      </c>
      <c r="D187" s="225">
        <f>IFERROR(VLOOKUP(B187,'MTD Hours Paste Data'!A:C,3,FALSE),"")</f>
        <v>440.82</v>
      </c>
      <c r="E187" s="64">
        <f>IFERROR(VLOOKUP(B187,'ACDOCA - Paste Data'!B:G,6,FALSE),0)</f>
        <v>791.22</v>
      </c>
      <c r="F187" s="64">
        <f t="shared" si="259"/>
        <v>791.22</v>
      </c>
      <c r="G187" s="64">
        <f>IFERROR(VLOOKUP(B187,'ACDOCA - Paste Data'!B:H,7,FALSE),0)</f>
        <v>68755.09</v>
      </c>
      <c r="H187" s="64">
        <f t="shared" si="260"/>
        <v>68755.09</v>
      </c>
      <c r="I187" s="64">
        <f t="shared" si="261"/>
        <v>-67963.87</v>
      </c>
      <c r="J187" s="65">
        <f t="shared" si="254"/>
        <v>-85.897563256742743</v>
      </c>
      <c r="K187" s="198">
        <f>IFERROR(VLOOKUP(B187,'WIP - Paste Data'!B:E,4,FALSE),"")</f>
        <v>19635.3</v>
      </c>
      <c r="L187" s="64"/>
      <c r="M187" s="64"/>
      <c r="N187" s="66"/>
      <c r="O187" s="66"/>
      <c r="P187" s="189">
        <f>IFERROR(VLOOKUP(B187,'JTD Paste Data'!A:B,2,FALSE),"0")</f>
        <v>10751531.270000001</v>
      </c>
      <c r="Q187" s="189">
        <f t="shared" si="262"/>
        <v>10751531.270000001</v>
      </c>
      <c r="R187" s="189">
        <f>IFERROR(VLOOKUP(B187,'JTD Paste Data'!A:C,3,FALSE),"0")</f>
        <v>10000884.34</v>
      </c>
      <c r="S187" s="189">
        <f t="shared" si="263"/>
        <v>10000884.34</v>
      </c>
      <c r="T187" s="189">
        <f t="shared" si="264"/>
        <v>750646.93000000156</v>
      </c>
      <c r="U187" s="193">
        <f t="shared" si="265"/>
        <v>6.9817676305749282E-2</v>
      </c>
    </row>
    <row r="188" spans="1:21" x14ac:dyDescent="0.25">
      <c r="A188" s="54" t="s">
        <v>2751</v>
      </c>
      <c r="B188" s="54">
        <v>21996</v>
      </c>
      <c r="C188" s="108" t="s">
        <v>2715</v>
      </c>
      <c r="D188" s="225" t="str">
        <f>IFERROR(VLOOKUP(B188,'MTD Hours Paste Data'!A:C,3,FALSE),"")</f>
        <v/>
      </c>
      <c r="E188" s="64">
        <f>IFERROR(VLOOKUP(B188,'ACDOCA - Paste Data'!B:G,6,FALSE),0)</f>
        <v>0</v>
      </c>
      <c r="F188" s="64">
        <f t="shared" ref="F188" si="290">E188 +L188</f>
        <v>0</v>
      </c>
      <c r="G188" s="64">
        <f>IFERROR(VLOOKUP(B188,'ACDOCA - Paste Data'!B:H,7,FALSE),0)</f>
        <v>548.77</v>
      </c>
      <c r="H188" s="64">
        <f t="shared" ref="H188" si="291">G188+M188</f>
        <v>548.77</v>
      </c>
      <c r="I188" s="64">
        <f t="shared" ref="I188" si="292">F188-H188</f>
        <v>-548.77</v>
      </c>
      <c r="J188" s="65">
        <f t="shared" ref="J188" si="293">IFERROR(I188/F188,0)</f>
        <v>0</v>
      </c>
      <c r="K188" s="198">
        <f>IFERROR(VLOOKUP(B188,'WIP - Paste Data'!B:E,4,FALSE),"")</f>
        <v>126345.12</v>
      </c>
      <c r="L188" s="64"/>
      <c r="M188" s="64"/>
      <c r="N188" s="66"/>
      <c r="O188" s="66"/>
      <c r="P188" s="189">
        <f>IFERROR(VLOOKUP(B188,'JTD Paste Data'!A:B,2,FALSE),"0")</f>
        <v>126345.12</v>
      </c>
      <c r="Q188" s="189">
        <f t="shared" ref="Q188" si="294">SUM(P188+L188)</f>
        <v>126345.12</v>
      </c>
      <c r="R188" s="189">
        <f>IFERROR(VLOOKUP(B188,'JTD Paste Data'!A:C,3,FALSE),"0")</f>
        <v>68158.850000000006</v>
      </c>
      <c r="S188" s="189">
        <f t="shared" ref="S188" si="295">SUM(R188+M188)</f>
        <v>68158.850000000006</v>
      </c>
      <c r="T188" s="189">
        <f t="shared" si="264"/>
        <v>58186.26999999999</v>
      </c>
      <c r="U188" s="193">
        <f t="shared" si="265"/>
        <v>0.46053436808639692</v>
      </c>
    </row>
    <row r="189" spans="1:21" x14ac:dyDescent="0.25">
      <c r="A189" s="54" t="s">
        <v>2781</v>
      </c>
      <c r="B189" s="54">
        <v>22080</v>
      </c>
      <c r="C189" s="108" t="s">
        <v>2715</v>
      </c>
      <c r="D189" s="225" t="str">
        <f>IFERROR(VLOOKUP(B189,'MTD Hours Paste Data'!A:C,3,FALSE),"")</f>
        <v/>
      </c>
      <c r="E189" s="64">
        <f>IFERROR(VLOOKUP(B189,'ACDOCA - Paste Data'!B:G,6,FALSE),0)</f>
        <v>0</v>
      </c>
      <c r="F189" s="64">
        <f t="shared" ref="F189" si="296">E189 +L189</f>
        <v>0</v>
      </c>
      <c r="G189" s="64">
        <f>IFERROR(VLOOKUP(B189,'ACDOCA - Paste Data'!B:H,7,FALSE),0)</f>
        <v>0</v>
      </c>
      <c r="H189" s="64">
        <f t="shared" ref="H189" si="297">G189+M189</f>
        <v>0</v>
      </c>
      <c r="I189" s="64">
        <f t="shared" ref="I189" si="298">F189-H189</f>
        <v>0</v>
      </c>
      <c r="J189" s="65">
        <f t="shared" ref="J189" si="299">IFERROR(I189/F189,0)</f>
        <v>0</v>
      </c>
      <c r="K189" s="198">
        <f>IFERROR(VLOOKUP(B189,'WIP - Paste Data'!B:E,4,FALSE),"")</f>
        <v>32571.5</v>
      </c>
      <c r="L189" s="64"/>
      <c r="M189" s="64"/>
      <c r="N189" s="66"/>
      <c r="O189" s="66"/>
      <c r="P189" s="189">
        <f>IFERROR(VLOOKUP(B189,'JTD Paste Data'!A:B,2,FALSE),"0")</f>
        <v>32571.5</v>
      </c>
      <c r="Q189" s="189">
        <f t="shared" ref="Q189" si="300">SUM(P189+L189)</f>
        <v>32571.5</v>
      </c>
      <c r="R189" s="189">
        <f>IFERROR(VLOOKUP(B189,'JTD Paste Data'!A:C,3,FALSE),"0")</f>
        <v>5600.89</v>
      </c>
      <c r="S189" s="189">
        <f t="shared" ref="S189" si="301">SUM(R189+M189)</f>
        <v>5600.89</v>
      </c>
      <c r="T189" s="189">
        <f t="shared" ref="T189" si="302">SUM(Q189-S189)</f>
        <v>26970.61</v>
      </c>
      <c r="U189" s="193">
        <f t="shared" ref="U189" si="303">IFERROR(T189/Q189,0)</f>
        <v>0.82804322797537722</v>
      </c>
    </row>
    <row r="190" spans="1:21" x14ac:dyDescent="0.25">
      <c r="A190" s="54" t="str">
        <f>VLOOKUP(B190,'SAP Contracts'!A:J,10,FALSE)</f>
        <v>Pacific PUD-ITB 2023-2 Electrical</v>
      </c>
      <c r="B190" s="54">
        <f>VLOOKUP(C190,'Active North Sky Projects'!C:D,2,FALSE)</f>
        <v>21106</v>
      </c>
      <c r="C190" s="108" t="s">
        <v>95</v>
      </c>
      <c r="D190" s="225" t="str">
        <f>IFERROR(VLOOKUP(B190,'MTD Hours Paste Data'!A:C,3,FALSE),"")</f>
        <v/>
      </c>
      <c r="E190" s="64">
        <f>IFERROR(VLOOKUP(B190,'ACDOCA - Paste Data'!B:G,6,FALSE),0)</f>
        <v>0</v>
      </c>
      <c r="F190" s="64">
        <f t="shared" si="259"/>
        <v>0</v>
      </c>
      <c r="G190" s="64">
        <f>IFERROR(VLOOKUP(B190,'ACDOCA - Paste Data'!B:H,7,FALSE),0)</f>
        <v>0</v>
      </c>
      <c r="H190" s="64">
        <f t="shared" si="260"/>
        <v>0</v>
      </c>
      <c r="I190" s="64">
        <f t="shared" si="261"/>
        <v>0</v>
      </c>
      <c r="J190" s="65">
        <f t="shared" si="254"/>
        <v>0</v>
      </c>
      <c r="K190" s="198" t="str">
        <f>IFERROR(VLOOKUP(B190,'WIP - Paste Data'!B:E,4,FALSE),"")</f>
        <v/>
      </c>
      <c r="L190" s="64"/>
      <c r="M190" s="64"/>
      <c r="N190" s="66"/>
      <c r="O190" s="66"/>
      <c r="P190" s="189" t="str">
        <f>IFERROR(VLOOKUP(B190,'JTD Paste Data'!A:B,2,FALSE),"0")</f>
        <v>0</v>
      </c>
      <c r="Q190" s="189">
        <f t="shared" si="262"/>
        <v>0</v>
      </c>
      <c r="R190" s="189" t="str">
        <f>IFERROR(VLOOKUP(B190,'JTD Paste Data'!A:C,3,FALSE),"0")</f>
        <v>0</v>
      </c>
      <c r="S190" s="189">
        <f t="shared" si="263"/>
        <v>0</v>
      </c>
      <c r="T190" s="189">
        <f t="shared" si="264"/>
        <v>0</v>
      </c>
      <c r="U190" s="193">
        <f t="shared" si="265"/>
        <v>0</v>
      </c>
    </row>
    <row r="191" spans="1:21" x14ac:dyDescent="0.25">
      <c r="A191" s="54" t="str">
        <f>VLOOKUP(B191,'SAP Contracts'!A:J,10,FALSE)</f>
        <v>Pacific PUD-ITB 2023-2 Fiber</v>
      </c>
      <c r="B191" s="54">
        <f>VLOOKUP(C191,'Active North Sky Projects'!C:D,2,FALSE)</f>
        <v>21087</v>
      </c>
      <c r="C191" s="108" t="s">
        <v>93</v>
      </c>
      <c r="D191" s="225" t="str">
        <f>IFERROR(VLOOKUP(B191,'MTD Hours Paste Data'!A:C,3,FALSE),"")</f>
        <v/>
      </c>
      <c r="E191" s="64">
        <f>IFERROR(VLOOKUP(B191,'ACDOCA - Paste Data'!B:G,6,FALSE),0)</f>
        <v>0</v>
      </c>
      <c r="F191" s="64">
        <f t="shared" si="259"/>
        <v>0</v>
      </c>
      <c r="G191" s="64">
        <f>IFERROR(VLOOKUP(B191,'ACDOCA - Paste Data'!B:H,7,FALSE),0)</f>
        <v>0</v>
      </c>
      <c r="H191" s="64">
        <f t="shared" si="260"/>
        <v>0</v>
      </c>
      <c r="I191" s="64">
        <f t="shared" si="261"/>
        <v>0</v>
      </c>
      <c r="J191" s="65">
        <f t="shared" si="254"/>
        <v>0</v>
      </c>
      <c r="K191" s="198" t="str">
        <f>IFERROR(VLOOKUP(B191,'WIP - Paste Data'!B:E,4,FALSE),"")</f>
        <v/>
      </c>
      <c r="L191" s="64"/>
      <c r="M191" s="64"/>
      <c r="N191" s="66"/>
      <c r="O191" s="66"/>
      <c r="P191" s="189" t="str">
        <f>IFERROR(VLOOKUP(B191,'JTD Paste Data'!A:B,2,FALSE),"0")</f>
        <v>0</v>
      </c>
      <c r="Q191" s="189">
        <f t="shared" si="262"/>
        <v>0</v>
      </c>
      <c r="R191" s="189" t="str">
        <f>IFERROR(VLOOKUP(B191,'JTD Paste Data'!A:C,3,FALSE),"0")</f>
        <v>0</v>
      </c>
      <c r="S191" s="189">
        <f t="shared" si="263"/>
        <v>0</v>
      </c>
      <c r="T191" s="189">
        <f t="shared" si="264"/>
        <v>0</v>
      </c>
      <c r="U191" s="193">
        <f t="shared" si="265"/>
        <v>0</v>
      </c>
    </row>
    <row r="192" spans="1:21" x14ac:dyDescent="0.25">
      <c r="A192" s="54" t="str">
        <f>VLOOKUP(B192,'SAP Contracts'!A:J,10,FALSE)</f>
        <v>Pacific PUD-ITB 2023-3 Splicing</v>
      </c>
      <c r="B192" s="54">
        <f>VLOOKUP(C192,'Active North Sky Projects'!C:D,2,FALSE)</f>
        <v>21662</v>
      </c>
      <c r="C192" s="108" t="s">
        <v>164</v>
      </c>
      <c r="D192" s="225" t="str">
        <f>IFERROR(VLOOKUP(B192,'MTD Hours Paste Data'!A:C,3,FALSE),"")</f>
        <v/>
      </c>
      <c r="E192" s="64">
        <f>IFERROR(VLOOKUP(B192,'ACDOCA - Paste Data'!B:G,6,FALSE),0)</f>
        <v>0</v>
      </c>
      <c r="F192" s="64">
        <f t="shared" si="259"/>
        <v>0</v>
      </c>
      <c r="G192" s="64">
        <f>IFERROR(VLOOKUP(B192,'ACDOCA - Paste Data'!B:H,7,FALSE),0)</f>
        <v>0</v>
      </c>
      <c r="H192" s="64">
        <f t="shared" si="260"/>
        <v>0</v>
      </c>
      <c r="I192" s="64">
        <f t="shared" si="261"/>
        <v>0</v>
      </c>
      <c r="J192" s="65">
        <f t="shared" si="254"/>
        <v>0</v>
      </c>
      <c r="K192" s="198" t="str">
        <f>IFERROR(VLOOKUP(B192,'WIP - Paste Data'!B:E,4,FALSE),"")</f>
        <v/>
      </c>
      <c r="L192" s="64"/>
      <c r="M192" s="64"/>
      <c r="N192" s="66"/>
      <c r="O192" s="66"/>
      <c r="P192" s="189" t="str">
        <f>IFERROR(VLOOKUP(B192,'JTD Paste Data'!A:B,2,FALSE),"0")</f>
        <v>0</v>
      </c>
      <c r="Q192" s="189">
        <f t="shared" si="262"/>
        <v>0</v>
      </c>
      <c r="R192" s="189" t="str">
        <f>IFERROR(VLOOKUP(B192,'JTD Paste Data'!A:C,3,FALSE),"0")</f>
        <v>0</v>
      </c>
      <c r="S192" s="189">
        <f t="shared" si="263"/>
        <v>0</v>
      </c>
      <c r="T192" s="189">
        <f t="shared" si="264"/>
        <v>0</v>
      </c>
      <c r="U192" s="193">
        <f t="shared" si="265"/>
        <v>0</v>
      </c>
    </row>
    <row r="193" spans="1:21" x14ac:dyDescent="0.25">
      <c r="A193" s="54" t="str">
        <f>VLOOKUP(B193,'SAP Contracts'!A:J,10,FALSE)</f>
        <v>Redline - Hwy 112 West Cabinet</v>
      </c>
      <c r="B193" s="54">
        <f>VLOOKUP(C193,'Active North Sky Projects'!C:D,2,FALSE)</f>
        <v>21332</v>
      </c>
      <c r="C193" s="108" t="s">
        <v>891</v>
      </c>
      <c r="D193" s="225">
        <f>IFERROR(VLOOKUP(B193,'MTD Hours Paste Data'!A:C,3,FALSE),"")</f>
        <v>0</v>
      </c>
      <c r="E193" s="64">
        <f>IFERROR(VLOOKUP(B193,'ACDOCA - Paste Data'!B:G,6,FALSE),0)</f>
        <v>0</v>
      </c>
      <c r="F193" s="64">
        <f t="shared" si="259"/>
        <v>0</v>
      </c>
      <c r="G193" s="64">
        <f>IFERROR(VLOOKUP(B193,'ACDOCA - Paste Data'!B:H,7,FALSE),0)</f>
        <v>0</v>
      </c>
      <c r="H193" s="64">
        <f t="shared" si="260"/>
        <v>0</v>
      </c>
      <c r="I193" s="64">
        <f t="shared" si="261"/>
        <v>0</v>
      </c>
      <c r="J193" s="65">
        <f t="shared" si="254"/>
        <v>0</v>
      </c>
      <c r="K193" s="198" t="str">
        <f>IFERROR(VLOOKUP(B193,'WIP - Paste Data'!B:E,4,FALSE),"")</f>
        <v/>
      </c>
      <c r="L193" s="64"/>
      <c r="M193" s="64"/>
      <c r="N193" s="66"/>
      <c r="O193" s="66"/>
      <c r="P193" s="189">
        <f>IFERROR(VLOOKUP(B193,'JTD Paste Data'!A:B,2,FALSE),"0")</f>
        <v>65146</v>
      </c>
      <c r="Q193" s="189">
        <f t="shared" si="262"/>
        <v>65146</v>
      </c>
      <c r="R193" s="189">
        <f>IFERROR(VLOOKUP(B193,'JTD Paste Data'!A:C,3,FALSE),"0")</f>
        <v>51229.87</v>
      </c>
      <c r="S193" s="189">
        <f t="shared" si="263"/>
        <v>51229.87</v>
      </c>
      <c r="T193" s="189">
        <f t="shared" si="264"/>
        <v>13916.129999999997</v>
      </c>
      <c r="U193" s="193">
        <f t="shared" si="265"/>
        <v>0.21361449666902033</v>
      </c>
    </row>
    <row r="194" spans="1:21" x14ac:dyDescent="0.25">
      <c r="A194" s="54" t="str">
        <f>VLOOKUP(B194,'SAP Contracts'!A:J,10,FALSE)</f>
        <v>VZ-Verizon Business-Seattle Maintenance</v>
      </c>
      <c r="B194" s="54">
        <f>VLOOKUP(C194,'Active North Sky Projects'!C:D,2,FALSE)</f>
        <v>21669</v>
      </c>
      <c r="C194" s="108" t="s">
        <v>91</v>
      </c>
      <c r="D194" s="225" t="str">
        <f>IFERROR(VLOOKUP(B194,'MTD Hours Paste Data'!A:C,3,FALSE),"")</f>
        <v/>
      </c>
      <c r="E194" s="64">
        <f>IFERROR(VLOOKUP(B194,'ACDOCA - Paste Data'!B:G,6,FALSE),0)</f>
        <v>0</v>
      </c>
      <c r="F194" s="64">
        <f t="shared" si="259"/>
        <v>0</v>
      </c>
      <c r="G194" s="64">
        <f>IFERROR(VLOOKUP(B194,'ACDOCA - Paste Data'!B:H,7,FALSE),0)</f>
        <v>0</v>
      </c>
      <c r="H194" s="64">
        <f t="shared" si="260"/>
        <v>0</v>
      </c>
      <c r="I194" s="64">
        <f t="shared" si="261"/>
        <v>0</v>
      </c>
      <c r="J194" s="65">
        <f t="shared" si="254"/>
        <v>0</v>
      </c>
      <c r="K194" s="198" t="str">
        <f>IFERROR(VLOOKUP(B194,'WIP - Paste Data'!B:E,4,FALSE),"")</f>
        <v/>
      </c>
      <c r="L194" s="64"/>
      <c r="M194" s="64"/>
      <c r="N194" s="66"/>
      <c r="O194" s="66"/>
      <c r="P194" s="189" t="str">
        <f>IFERROR(VLOOKUP(B194,'JTD Paste Data'!A:B,2,FALSE),"0")</f>
        <v>0</v>
      </c>
      <c r="Q194" s="189">
        <f t="shared" si="262"/>
        <v>0</v>
      </c>
      <c r="R194" s="189" t="str">
        <f>IFERROR(VLOOKUP(B194,'JTD Paste Data'!A:C,3,FALSE),"0")</f>
        <v>0</v>
      </c>
      <c r="S194" s="189">
        <f t="shared" si="263"/>
        <v>0</v>
      </c>
      <c r="T194" s="189">
        <f t="shared" si="264"/>
        <v>0</v>
      </c>
      <c r="U194" s="193">
        <f t="shared" si="265"/>
        <v>0</v>
      </c>
    </row>
    <row r="195" spans="1:21" x14ac:dyDescent="0.25">
      <c r="A195" s="54" t="s">
        <v>4755</v>
      </c>
      <c r="B195" s="253">
        <v>22932</v>
      </c>
      <c r="C195" s="108" t="s">
        <v>2715</v>
      </c>
      <c r="D195" s="225" t="str">
        <f>IFERROR(VLOOKUP(B195,'MTD Hours Paste Data'!A:C,3,FALSE),"")</f>
        <v/>
      </c>
      <c r="E195" s="64">
        <f>IFERROR(VLOOKUP(B195,'ACDOCA - Paste Data'!B:G,6,FALSE),0)</f>
        <v>0</v>
      </c>
      <c r="F195" s="64">
        <f t="shared" ref="F195" si="304">E195 +L195</f>
        <v>0</v>
      </c>
      <c r="G195" s="64">
        <f>IFERROR(VLOOKUP(B195,'ACDOCA - Paste Data'!B:H,7,FALSE),0)</f>
        <v>583.70000000000005</v>
      </c>
      <c r="H195" s="64">
        <f t="shared" ref="H195" si="305">G195+M195</f>
        <v>583.70000000000005</v>
      </c>
      <c r="I195" s="64">
        <f t="shared" ref="I195" si="306">F195-H195</f>
        <v>-583.70000000000005</v>
      </c>
      <c r="J195" s="65">
        <f t="shared" ref="J195" si="307">IFERROR(I195/F195,0)</f>
        <v>0</v>
      </c>
      <c r="K195" s="198" t="str">
        <f>IFERROR(VLOOKUP(B195,'WIP - Paste Data'!B:E,4,FALSE),"")</f>
        <v/>
      </c>
      <c r="L195" s="64"/>
      <c r="M195" s="64"/>
      <c r="N195" s="66"/>
      <c r="O195" s="66"/>
      <c r="P195" s="189">
        <f>IFERROR(VLOOKUP(B195,'JTD Paste Data'!A:B,2,FALSE),"0")</f>
        <v>0</v>
      </c>
      <c r="Q195" s="189">
        <f t="shared" ref="Q195" si="308">SUM(P195+L195)</f>
        <v>0</v>
      </c>
      <c r="R195" s="189">
        <f>IFERROR(VLOOKUP(B195,'JTD Paste Data'!A:C,3,FALSE),"0")</f>
        <v>583.70000000000005</v>
      </c>
      <c r="S195" s="189">
        <f t="shared" ref="S195" si="309">SUM(R195+M195)</f>
        <v>583.70000000000005</v>
      </c>
      <c r="T195" s="189">
        <f t="shared" ref="T195" si="310">SUM(Q195-S195)</f>
        <v>-583.70000000000005</v>
      </c>
      <c r="U195" s="193">
        <f t="shared" ref="U195" si="311">IFERROR(T195/Q195,0)</f>
        <v>0</v>
      </c>
    </row>
    <row r="196" spans="1:21" x14ac:dyDescent="0.25">
      <c r="A196" s="54" t="s">
        <v>2990</v>
      </c>
      <c r="B196" s="54">
        <v>22873</v>
      </c>
      <c r="C196" s="108" t="s">
        <v>2715</v>
      </c>
      <c r="D196" s="225" t="str">
        <f>IFERROR(VLOOKUP(B196,'MTD Hours Paste Data'!A:C,3,FALSE),"")</f>
        <v/>
      </c>
      <c r="E196" s="64">
        <f>IFERROR(VLOOKUP(B196,'ACDOCA - Paste Data'!B:G,6,FALSE),0)</f>
        <v>20003.5</v>
      </c>
      <c r="F196" s="64">
        <f t="shared" ref="F196" si="312">E196 +L196</f>
        <v>20003.5</v>
      </c>
      <c r="G196" s="64">
        <f>IFERROR(VLOOKUP(B196,'ACDOCA - Paste Data'!B:H,7,FALSE),0)</f>
        <v>24897.31</v>
      </c>
      <c r="H196" s="64">
        <f t="shared" ref="H196" si="313">G196+M196</f>
        <v>24897.31</v>
      </c>
      <c r="I196" s="64">
        <f t="shared" ref="I196" si="314">F196-H196</f>
        <v>-4893.8100000000013</v>
      </c>
      <c r="J196" s="65">
        <f t="shared" ref="J196" si="315">IFERROR(I196/F196,0)</f>
        <v>-0.24464768665483547</v>
      </c>
      <c r="K196" s="198">
        <f>IFERROR(VLOOKUP(B196,'WIP - Paste Data'!B:E,4,FALSE),"")</f>
        <v>20003.5</v>
      </c>
      <c r="L196" s="64"/>
      <c r="M196" s="64"/>
      <c r="N196" s="66"/>
      <c r="O196" s="66"/>
      <c r="P196" s="189">
        <f>IFERROR(VLOOKUP(B196,'JTD Paste Data'!A:B,2,FALSE),"0")</f>
        <v>20003.5</v>
      </c>
      <c r="Q196" s="189">
        <f t="shared" ref="Q196" si="316">SUM(P196+L196)</f>
        <v>20003.5</v>
      </c>
      <c r="R196" s="189">
        <f>IFERROR(VLOOKUP(B196,'JTD Paste Data'!A:C,3,FALSE),"0")</f>
        <v>24897.31</v>
      </c>
      <c r="S196" s="189">
        <f t="shared" ref="S196" si="317">SUM(R196+M196)</f>
        <v>24897.31</v>
      </c>
      <c r="T196" s="189">
        <f t="shared" ref="T196" si="318">SUM(Q196-S196)</f>
        <v>-4893.8100000000013</v>
      </c>
      <c r="U196" s="193">
        <f t="shared" ref="U196" si="319">IFERROR(T196/Q196,0)</f>
        <v>-0.24464768665483547</v>
      </c>
    </row>
    <row r="197" spans="1:21" x14ac:dyDescent="0.25">
      <c r="A197" s="54" t="s">
        <v>2753</v>
      </c>
      <c r="B197" s="54">
        <v>22003</v>
      </c>
      <c r="C197" s="108" t="s">
        <v>2715</v>
      </c>
      <c r="D197" s="225" t="str">
        <f>IFERROR(VLOOKUP(B197,'MTD Hours Paste Data'!A:C,3,FALSE),"")</f>
        <v/>
      </c>
      <c r="E197" s="64">
        <f>IFERROR(VLOOKUP(B197,'ACDOCA - Paste Data'!B:G,6,FALSE),0)</f>
        <v>-29717.56</v>
      </c>
      <c r="F197" s="64">
        <f t="shared" ref="F197" si="320">E197 +L197</f>
        <v>-29717.56</v>
      </c>
      <c r="G197" s="64">
        <f>IFERROR(VLOOKUP(B197,'ACDOCA - Paste Data'!B:H,7,FALSE),0)</f>
        <v>6756.45</v>
      </c>
      <c r="H197" s="64">
        <f t="shared" ref="H197" si="321">G197+M197</f>
        <v>6756.45</v>
      </c>
      <c r="I197" s="64">
        <f t="shared" ref="I197" si="322">F197-H197</f>
        <v>-36474.01</v>
      </c>
      <c r="J197" s="65">
        <f t="shared" ref="J197" si="323">IFERROR(I197/F197,0)</f>
        <v>1.2273554760215846</v>
      </c>
      <c r="K197" s="198">
        <f>IFERROR(VLOOKUP(B197,'WIP - Paste Data'!B:E,4,FALSE),"")</f>
        <v>2907.44</v>
      </c>
      <c r="L197" s="64"/>
      <c r="M197" s="64"/>
      <c r="N197" s="66"/>
      <c r="O197" s="66"/>
      <c r="P197" s="189">
        <f>IFERROR(VLOOKUP(B197,'JTD Paste Data'!A:B,2,FALSE),"0")</f>
        <v>2907.44</v>
      </c>
      <c r="Q197" s="189">
        <f t="shared" ref="Q197" si="324">SUM(P197+L197)</f>
        <v>2907.44</v>
      </c>
      <c r="R197" s="189">
        <f>IFERROR(VLOOKUP(B197,'JTD Paste Data'!A:C,3,FALSE),"0")</f>
        <v>38426.47</v>
      </c>
      <c r="S197" s="189">
        <f t="shared" ref="S197" si="325">SUM(R197+M197)</f>
        <v>38426.47</v>
      </c>
      <c r="T197" s="189">
        <f t="shared" si="264"/>
        <v>-35519.03</v>
      </c>
      <c r="U197" s="193">
        <f t="shared" si="265"/>
        <v>-12.216599482706435</v>
      </c>
    </row>
    <row r="198" spans="1:21" x14ac:dyDescent="0.25">
      <c r="A198" s="54" t="str">
        <f>VLOOKUP(B198,'SAP Contracts'!A:J,10,FALSE)</f>
        <v>Zayo - First Tech Credit Union ECO</v>
      </c>
      <c r="B198" s="54">
        <f>VLOOKUP(C198,'Active North Sky Projects'!C:D,2,FALSE)</f>
        <v>21391</v>
      </c>
      <c r="C198" s="108" t="s">
        <v>1026</v>
      </c>
      <c r="D198" s="225" t="str">
        <f>IFERROR(VLOOKUP(B198,'MTD Hours Paste Data'!A:C,3,FALSE),"")</f>
        <v/>
      </c>
      <c r="E198" s="64">
        <f>IFERROR(VLOOKUP(B198,'ACDOCA - Paste Data'!B:G,6,FALSE),0)</f>
        <v>0</v>
      </c>
      <c r="F198" s="64">
        <f t="shared" si="259"/>
        <v>0</v>
      </c>
      <c r="G198" s="64">
        <f>IFERROR(VLOOKUP(B198,'ACDOCA - Paste Data'!B:H,7,FALSE),0)</f>
        <v>0</v>
      </c>
      <c r="H198" s="64">
        <f t="shared" si="260"/>
        <v>0</v>
      </c>
      <c r="I198" s="64">
        <f t="shared" si="261"/>
        <v>0</v>
      </c>
      <c r="J198" s="65">
        <f t="shared" si="254"/>
        <v>0</v>
      </c>
      <c r="K198" s="198" t="str">
        <f>IFERROR(VLOOKUP(B198,'WIP - Paste Data'!B:E,4,FALSE),"")</f>
        <v/>
      </c>
      <c r="L198" s="64"/>
      <c r="M198" s="64"/>
      <c r="N198" s="66"/>
      <c r="O198" s="66"/>
      <c r="P198" s="189">
        <f>IFERROR(VLOOKUP(B198,'JTD Paste Data'!A:B,2,FALSE),"0")</f>
        <v>22889.29</v>
      </c>
      <c r="Q198" s="189">
        <f t="shared" si="262"/>
        <v>22889.29</v>
      </c>
      <c r="R198" s="189">
        <f>IFERROR(VLOOKUP(B198,'JTD Paste Data'!A:C,3,FALSE),"0")</f>
        <v>13262.34</v>
      </c>
      <c r="S198" s="189">
        <f t="shared" si="263"/>
        <v>13262.34</v>
      </c>
      <c r="T198" s="189">
        <f t="shared" si="264"/>
        <v>9626.9500000000007</v>
      </c>
      <c r="U198" s="193">
        <f t="shared" si="265"/>
        <v>0.42058753242236874</v>
      </c>
    </row>
    <row r="199" spans="1:21" x14ac:dyDescent="0.25">
      <c r="A199" s="54" t="str">
        <f>VLOOKUP(B199,'SAP Contracts'!A:J,10,FALSE)</f>
        <v>Zayo - Maintenance</v>
      </c>
      <c r="B199" s="54">
        <f>VLOOKUP(C199,'Active North Sky Projects'!C:D,2,FALSE)</f>
        <v>21109</v>
      </c>
      <c r="C199" s="108" t="s">
        <v>379</v>
      </c>
      <c r="D199" s="225" t="str">
        <f>IFERROR(VLOOKUP(B199,'MTD Hours Paste Data'!A:C,3,FALSE),"")</f>
        <v/>
      </c>
      <c r="E199" s="64">
        <f>IFERROR(VLOOKUP(B199,'ACDOCA - Paste Data'!B:G,6,FALSE),0)</f>
        <v>0</v>
      </c>
      <c r="F199" s="64">
        <f t="shared" si="259"/>
        <v>0</v>
      </c>
      <c r="G199" s="64">
        <f>IFERROR(VLOOKUP(B199,'ACDOCA - Paste Data'!B:H,7,FALSE),0)</f>
        <v>0</v>
      </c>
      <c r="H199" s="64">
        <f t="shared" si="260"/>
        <v>0</v>
      </c>
      <c r="I199" s="64">
        <f t="shared" si="261"/>
        <v>0</v>
      </c>
      <c r="J199" s="65">
        <f t="shared" si="254"/>
        <v>0</v>
      </c>
      <c r="K199" s="198" t="str">
        <f>IFERROR(VLOOKUP(B199,'WIP - Paste Data'!B:E,4,FALSE),"")</f>
        <v/>
      </c>
      <c r="L199" s="64"/>
      <c r="M199" s="64"/>
      <c r="N199" s="66"/>
      <c r="O199" s="66"/>
      <c r="P199" s="189" t="str">
        <f>IFERROR(VLOOKUP(B199,'JTD Paste Data'!A:B,2,FALSE),"0")</f>
        <v>0</v>
      </c>
      <c r="Q199" s="189">
        <f t="shared" si="262"/>
        <v>0</v>
      </c>
      <c r="R199" s="189" t="str">
        <f>IFERROR(VLOOKUP(B199,'JTD Paste Data'!A:C,3,FALSE),"0")</f>
        <v>0</v>
      </c>
      <c r="S199" s="189">
        <f t="shared" si="263"/>
        <v>0</v>
      </c>
      <c r="T199" s="189">
        <f t="shared" si="264"/>
        <v>0</v>
      </c>
      <c r="U199" s="193">
        <f t="shared" si="265"/>
        <v>0</v>
      </c>
    </row>
    <row r="200" spans="1:21" ht="15.75" thickBot="1" x14ac:dyDescent="0.3">
      <c r="A200" s="75" t="s">
        <v>1155</v>
      </c>
      <c r="B200" s="68" t="s">
        <v>1156</v>
      </c>
      <c r="C200" s="68"/>
      <c r="D200" s="226"/>
      <c r="E200" s="68">
        <f>SUM(E170:E199)</f>
        <v>1880265.15</v>
      </c>
      <c r="F200" s="68">
        <f>SUM(F170:F199)</f>
        <v>1880265.15</v>
      </c>
      <c r="G200" s="68">
        <f>SUM(G170:G199)</f>
        <v>1346653.71</v>
      </c>
      <c r="H200" s="68">
        <f>SUM(H170:H199)</f>
        <v>1346653.71</v>
      </c>
      <c r="I200" s="68">
        <f>F200-H200</f>
        <v>533611.43999999994</v>
      </c>
      <c r="J200" s="69">
        <f t="shared" si="254"/>
        <v>0.28379584655919404</v>
      </c>
      <c r="K200" s="206">
        <f>SUM(K170:K199)</f>
        <v>8290684.1799999997</v>
      </c>
      <c r="L200" s="68">
        <f>SUM(L177:L199)</f>
        <v>0</v>
      </c>
      <c r="M200" s="68">
        <f>SUM(M177:M199)</f>
        <v>0</v>
      </c>
      <c r="N200" s="68"/>
      <c r="O200" s="68"/>
      <c r="P200" s="68">
        <f>SUM(P170:P199)</f>
        <v>49872871.169999994</v>
      </c>
      <c r="Q200" s="68">
        <f>SUM(Q170:Q199)</f>
        <v>49872871.169999994</v>
      </c>
      <c r="R200" s="68">
        <f>SUM(R170:R199)</f>
        <v>40870492.190000013</v>
      </c>
      <c r="S200" s="68">
        <f>SUM(S170:S199)</f>
        <v>40870492.190000013</v>
      </c>
      <c r="T200" s="68">
        <f>SUM(T170:T199)</f>
        <v>9002378.980000006</v>
      </c>
      <c r="U200" s="69">
        <f>IFERROR(T200/Q200,0)</f>
        <v>0.18050653128258642</v>
      </c>
    </row>
    <row r="201" spans="1:21" ht="15" x14ac:dyDescent="0.25">
      <c r="A201" s="87"/>
      <c r="B201" s="112"/>
      <c r="C201" s="112"/>
      <c r="D201" s="232"/>
      <c r="E201" s="76"/>
      <c r="F201" s="76"/>
      <c r="G201" s="76"/>
      <c r="H201" s="76"/>
      <c r="I201" s="76"/>
      <c r="J201" s="77"/>
      <c r="K201" s="207"/>
      <c r="L201" s="76"/>
      <c r="M201" s="76"/>
      <c r="N201" s="78"/>
      <c r="O201" s="78"/>
      <c r="P201" s="78"/>
      <c r="Q201" s="78"/>
      <c r="R201" s="78"/>
      <c r="S201" s="78"/>
      <c r="T201" s="78"/>
      <c r="U201" s="78"/>
    </row>
    <row r="202" spans="1:21" ht="15" x14ac:dyDescent="0.25">
      <c r="A202" s="33" t="s">
        <v>1104</v>
      </c>
      <c r="B202" s="126"/>
      <c r="C202" s="126"/>
      <c r="D202" s="233"/>
      <c r="E202" s="29">
        <f>+E200</f>
        <v>1880265.15</v>
      </c>
      <c r="F202" s="29">
        <f>+F200</f>
        <v>1880265.15</v>
      </c>
      <c r="G202" s="29">
        <f>+G200</f>
        <v>1346653.71</v>
      </c>
      <c r="H202" s="29">
        <f>+H200</f>
        <v>1346653.71</v>
      </c>
      <c r="I202" s="29">
        <f>+I200</f>
        <v>533611.43999999994</v>
      </c>
      <c r="J202" s="79">
        <f>IFERROR(I202/F202,0)</f>
        <v>0.28379584655919404</v>
      </c>
      <c r="K202" s="208">
        <f>+K200</f>
        <v>8290684.1799999997</v>
      </c>
      <c r="L202" s="76"/>
      <c r="M202" s="76"/>
      <c r="N202" s="78"/>
      <c r="O202" s="78"/>
      <c r="P202" s="78"/>
      <c r="Q202" s="78"/>
      <c r="R202" s="78"/>
      <c r="S202" s="78"/>
      <c r="T202" s="78"/>
      <c r="U202" s="78"/>
    </row>
    <row r="203" spans="1:21" ht="15" x14ac:dyDescent="0.25">
      <c r="A203" s="17" t="s">
        <v>2976</v>
      </c>
      <c r="B203" s="16"/>
      <c r="C203" s="16"/>
      <c r="D203" s="229"/>
      <c r="E203" s="18"/>
      <c r="F203" s="19">
        <v>4025000</v>
      </c>
      <c r="G203" s="16"/>
      <c r="H203" s="16"/>
      <c r="I203" s="19">
        <v>709500</v>
      </c>
      <c r="J203" s="28">
        <f>IFERROR(I203/F203,0)</f>
        <v>0.17627329192546584</v>
      </c>
      <c r="K203" s="202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spans="1:21" ht="14.25" x14ac:dyDescent="0.25">
      <c r="A204" s="125" t="s">
        <v>4759</v>
      </c>
      <c r="B204" s="16"/>
      <c r="C204" s="16"/>
      <c r="D204" s="229"/>
      <c r="E204" s="18"/>
      <c r="F204" s="31">
        <f>IFERROR(F200/F203,0)</f>
        <v>0.46714662111801242</v>
      </c>
      <c r="G204" s="32"/>
      <c r="H204" s="32"/>
      <c r="I204" s="31">
        <f>IFERROR(I200/I203,0)</f>
        <v>0.75209505285412259</v>
      </c>
      <c r="J204" s="16"/>
      <c r="K204" s="203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spans="1:21" ht="12.75" customHeight="1" thickBot="1" x14ac:dyDescent="0.3"/>
    <row r="206" spans="1:21" s="57" customFormat="1" ht="15" thickBot="1" x14ac:dyDescent="0.3">
      <c r="A206" s="127" t="s">
        <v>1157</v>
      </c>
      <c r="B206" s="127"/>
      <c r="C206" s="127"/>
      <c r="D206" s="236"/>
      <c r="E206" s="131"/>
      <c r="F206" s="131"/>
      <c r="G206" s="132"/>
      <c r="H206" s="132"/>
      <c r="I206" s="132"/>
      <c r="J206" s="132"/>
      <c r="K206" s="209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</row>
    <row r="207" spans="1:21" ht="14.25" x14ac:dyDescent="0.25">
      <c r="A207" s="113" t="s">
        <v>1158</v>
      </c>
      <c r="B207" s="113"/>
      <c r="C207" s="113"/>
      <c r="D207" s="234"/>
      <c r="F207" s="73"/>
      <c r="H207" s="73"/>
      <c r="I207" s="73"/>
      <c r="J207" s="74"/>
      <c r="K207" s="205"/>
      <c r="N207" s="66"/>
      <c r="O207" s="66"/>
      <c r="P207" s="66"/>
      <c r="Q207" s="66"/>
      <c r="R207" s="66"/>
      <c r="S207" s="66"/>
      <c r="T207" s="66"/>
      <c r="U207" s="66"/>
    </row>
    <row r="208" spans="1:21" x14ac:dyDescent="0.25">
      <c r="A208" s="54" t="str">
        <f>VLOOKUP(B208,'SAP Contracts'!A:J,10,FALSE)</f>
        <v>Peoples Telephone - Unit Rates</v>
      </c>
      <c r="B208" s="54">
        <f>VLOOKUP(C208,'Active North Sky Projects'!C:D,2,FALSE)</f>
        <v>21594</v>
      </c>
      <c r="C208" s="108" t="s">
        <v>46</v>
      </c>
      <c r="D208" s="225">
        <f>IFERROR(VLOOKUP(B208,'MTD Hours Paste Data'!A:C,3,FALSE),"")</f>
        <v>30.43</v>
      </c>
      <c r="E208" s="64">
        <f>IFERROR(VLOOKUP(B208,'ACDOCA - Paste Data'!B:G,6,FALSE),0)</f>
        <v>629.5</v>
      </c>
      <c r="F208" s="64">
        <f t="shared" ref="F208:F210" si="326">E208 +L208</f>
        <v>629.5</v>
      </c>
      <c r="G208" s="64">
        <f>IFERROR(VLOOKUP(B208,'ACDOCA - Paste Data'!B:H,7,FALSE),0)</f>
        <v>3330.89</v>
      </c>
      <c r="H208" s="64">
        <f t="shared" ref="H208:H210" si="327">G208+M208</f>
        <v>3330.89</v>
      </c>
      <c r="I208" s="64">
        <f t="shared" ref="I208:I210" si="328">F208-H208</f>
        <v>-2701.39</v>
      </c>
      <c r="J208" s="65">
        <f>IFERROR(I208/F208,0)</f>
        <v>-4.2913264495631456</v>
      </c>
      <c r="K208" s="198">
        <f>IFERROR(VLOOKUP(B208,'WIP - Paste Data'!B:E,4,FALSE),"")</f>
        <v>2795</v>
      </c>
      <c r="L208" s="64"/>
      <c r="M208" s="64"/>
      <c r="N208" s="66"/>
      <c r="O208" s="66"/>
      <c r="P208" s="189">
        <f>IFERROR(VLOOKUP(B208,'JTD Paste Data'!A:B,2,FALSE),"0")</f>
        <v>1225081.4500000002</v>
      </c>
      <c r="Q208" s="189">
        <f t="shared" ref="Q208:Q210" si="329">SUM(P208+L208)</f>
        <v>1225081.4500000002</v>
      </c>
      <c r="R208" s="189">
        <f>IFERROR(VLOOKUP(B208,'JTD Paste Data'!A:C,3,FALSE),"0")</f>
        <v>918349.04999999993</v>
      </c>
      <c r="S208" s="189">
        <f t="shared" ref="S208:S210" si="330">SUM(R208+M208)</f>
        <v>918349.04999999993</v>
      </c>
      <c r="T208" s="189">
        <f t="shared" ref="T208:T210" si="331">SUM(Q208-S208)</f>
        <v>306732.40000000026</v>
      </c>
      <c r="U208" s="193">
        <f t="shared" ref="U208:U210" si="332">IFERROR(T208/Q208,0)</f>
        <v>0.25037714839286823</v>
      </c>
    </row>
    <row r="209" spans="1:21" x14ac:dyDescent="0.25">
      <c r="A209" s="54" t="str">
        <f>VLOOKUP(B209,'SAP Contracts'!A:J,10,FALSE)</f>
        <v>Scio Tel-Hourly Rate Projects</v>
      </c>
      <c r="B209" s="54">
        <f>VLOOKUP(C209,'Active North Sky Projects'!C:D,2,FALSE)</f>
        <v>21070</v>
      </c>
      <c r="C209" s="108" t="s">
        <v>65</v>
      </c>
      <c r="D209" s="225">
        <f>IFERROR(VLOOKUP(B209,'MTD Hours Paste Data'!A:C,3,FALSE),"")</f>
        <v>0</v>
      </c>
      <c r="E209" s="64">
        <f>IFERROR(VLOOKUP(B209,'ACDOCA - Paste Data'!B:G,6,FALSE),0)</f>
        <v>-11014.75</v>
      </c>
      <c r="F209" s="64">
        <f t="shared" si="326"/>
        <v>-11014.75</v>
      </c>
      <c r="G209" s="64">
        <f>IFERROR(VLOOKUP(B209,'ACDOCA - Paste Data'!B:H,7,FALSE),0)</f>
        <v>29.27</v>
      </c>
      <c r="H209" s="64">
        <f t="shared" si="327"/>
        <v>29.27</v>
      </c>
      <c r="I209" s="64">
        <f t="shared" si="328"/>
        <v>-11044.02</v>
      </c>
      <c r="J209" s="65">
        <f>IFERROR(I209/F209,0)</f>
        <v>1.0026573458317256</v>
      </c>
      <c r="K209" s="198">
        <f>IFERROR(VLOOKUP(B209,'WIP - Paste Data'!B:E,4,FALSE),"")</f>
        <v>16618.25</v>
      </c>
      <c r="L209" s="64"/>
      <c r="M209" s="64"/>
      <c r="N209" s="66"/>
      <c r="O209" s="66"/>
      <c r="P209" s="189">
        <f>IFERROR(VLOOKUP(B209,'JTD Paste Data'!A:B,2,FALSE),"0")</f>
        <v>180933.21000000002</v>
      </c>
      <c r="Q209" s="189">
        <f t="shared" si="329"/>
        <v>180933.21000000002</v>
      </c>
      <c r="R209" s="189">
        <f>IFERROR(VLOOKUP(B209,'JTD Paste Data'!A:C,3,FALSE),"0")</f>
        <v>128714.03000000001</v>
      </c>
      <c r="S209" s="189">
        <f t="shared" si="330"/>
        <v>128714.03000000001</v>
      </c>
      <c r="T209" s="189">
        <f t="shared" si="331"/>
        <v>52219.180000000008</v>
      </c>
      <c r="U209" s="193">
        <f t="shared" si="332"/>
        <v>0.28861025568495691</v>
      </c>
    </row>
    <row r="210" spans="1:21" x14ac:dyDescent="0.25">
      <c r="A210" s="54" t="str">
        <f>VLOOKUP(B210,'SAP Contracts'!A:J,10,FALSE)</f>
        <v>Stayton Telephone - Unit Rates</v>
      </c>
      <c r="B210" s="54">
        <f>VLOOKUP(C210,'Active North Sky Projects'!C:D,2,FALSE)</f>
        <v>21575</v>
      </c>
      <c r="C210" s="108" t="s">
        <v>45</v>
      </c>
      <c r="D210" s="225">
        <f>IFERROR(VLOOKUP(B210,'MTD Hours Paste Data'!A:C,3,FALSE),"")</f>
        <v>328.55</v>
      </c>
      <c r="E210" s="64">
        <f>IFERROR(VLOOKUP(B210,'ACDOCA - Paste Data'!B:G,6,FALSE),0)</f>
        <v>98156.88</v>
      </c>
      <c r="F210" s="64">
        <f t="shared" si="326"/>
        <v>98156.88</v>
      </c>
      <c r="G210" s="64">
        <f>IFERROR(VLOOKUP(B210,'ACDOCA - Paste Data'!B:H,7,FALSE),0)</f>
        <v>38663.199999999997</v>
      </c>
      <c r="H210" s="64">
        <f t="shared" si="327"/>
        <v>38663.199999999997</v>
      </c>
      <c r="I210" s="64">
        <f t="shared" si="328"/>
        <v>59493.680000000008</v>
      </c>
      <c r="J210" s="65">
        <f>IFERROR(I210/F210,0)</f>
        <v>0.60610809960544798</v>
      </c>
      <c r="K210" s="198">
        <f>IFERROR(VLOOKUP(B210,'WIP - Paste Data'!B:E,4,FALSE),"")</f>
        <v>141148.5</v>
      </c>
      <c r="L210" s="64"/>
      <c r="M210" s="64"/>
      <c r="N210" s="66"/>
      <c r="O210" s="66"/>
      <c r="P210" s="189">
        <f>IFERROR(VLOOKUP(B210,'JTD Paste Data'!A:B,2,FALSE),"0")</f>
        <v>2614140.33</v>
      </c>
      <c r="Q210" s="189">
        <f t="shared" si="329"/>
        <v>2614140.33</v>
      </c>
      <c r="R210" s="189">
        <f>IFERROR(VLOOKUP(B210,'JTD Paste Data'!A:C,3,FALSE),"0")</f>
        <v>2214812.2800000003</v>
      </c>
      <c r="S210" s="189">
        <f t="shared" si="330"/>
        <v>2214812.2800000003</v>
      </c>
      <c r="T210" s="189">
        <f t="shared" si="331"/>
        <v>399328.04999999981</v>
      </c>
      <c r="U210" s="193">
        <f t="shared" si="332"/>
        <v>0.15275692946445601</v>
      </c>
    </row>
    <row r="211" spans="1:21" ht="15.75" thickBot="1" x14ac:dyDescent="0.3">
      <c r="A211" s="75" t="s">
        <v>10</v>
      </c>
      <c r="B211" s="68" t="s">
        <v>1159</v>
      </c>
      <c r="C211" s="68"/>
      <c r="D211" s="226"/>
      <c r="E211" s="68">
        <f>SUM(E208:E210)</f>
        <v>87771.63</v>
      </c>
      <c r="F211" s="68">
        <f>SUM(F208:F210)</f>
        <v>87771.63</v>
      </c>
      <c r="G211" s="68">
        <f>SUM(G208:G210)</f>
        <v>42023.360000000001</v>
      </c>
      <c r="H211" s="68">
        <f>SUM(H208:H210)</f>
        <v>42023.360000000001</v>
      </c>
      <c r="I211" s="68">
        <f>F211-H211</f>
        <v>45748.270000000004</v>
      </c>
      <c r="J211" s="69">
        <f>IFERROR(I211/F211,0)</f>
        <v>0.52121932793090431</v>
      </c>
      <c r="K211" s="206">
        <f>SUM(K208:K210)</f>
        <v>160561.75</v>
      </c>
      <c r="L211" s="68">
        <f>SUM(L208:L210)</f>
        <v>0</v>
      </c>
      <c r="M211" s="68">
        <f>SUM(M208:M210)</f>
        <v>0</v>
      </c>
      <c r="N211" s="68"/>
      <c r="O211" s="68">
        <f t="shared" ref="O211:T211" si="333">SUM(O208:O210)</f>
        <v>0</v>
      </c>
      <c r="P211" s="68">
        <f t="shared" si="333"/>
        <v>4020154.99</v>
      </c>
      <c r="Q211" s="68">
        <f t="shared" si="333"/>
        <v>4020154.99</v>
      </c>
      <c r="R211" s="68">
        <f t="shared" si="333"/>
        <v>3261875.3600000003</v>
      </c>
      <c r="S211" s="68">
        <f t="shared" si="333"/>
        <v>3261875.3600000003</v>
      </c>
      <c r="T211" s="68">
        <f t="shared" si="333"/>
        <v>758279.63000000012</v>
      </c>
      <c r="U211" s="69">
        <f>IFERROR(T211/Q211,0)</f>
        <v>0.18861950145857437</v>
      </c>
    </row>
    <row r="212" spans="1:21" ht="14.25" x14ac:dyDescent="0.25">
      <c r="A212" s="113" t="s">
        <v>1160</v>
      </c>
      <c r="B212" s="113"/>
      <c r="C212" s="113"/>
      <c r="D212" s="234"/>
      <c r="E212" s="60"/>
      <c r="F212" s="61"/>
      <c r="G212" s="60"/>
      <c r="H212" s="61"/>
      <c r="I212" s="61"/>
      <c r="J212" s="62"/>
      <c r="K212" s="197"/>
      <c r="L212" s="60"/>
      <c r="M212" s="60"/>
      <c r="N212" s="63"/>
      <c r="O212" s="63"/>
      <c r="P212" s="63"/>
      <c r="Q212" s="63"/>
      <c r="R212" s="63"/>
      <c r="S212" s="63"/>
      <c r="T212" s="63"/>
      <c r="U212" s="63"/>
    </row>
    <row r="213" spans="1:21" x14ac:dyDescent="0.25">
      <c r="A213" s="54" t="str">
        <f>VLOOKUP(B213,'SAP Contracts'!A:J,10,FALSE)</f>
        <v>Clear Creek OSP Phase 3-1</v>
      </c>
      <c r="B213" s="54">
        <f>VLOOKUP(C213,'Active North Sky Projects'!C:D,2,FALSE)</f>
        <v>21221</v>
      </c>
      <c r="C213" s="107" t="s">
        <v>579</v>
      </c>
      <c r="D213" s="225">
        <f>IFERROR(VLOOKUP(B213,'MTD Hours Paste Data'!A:C,3,FALSE),"")</f>
        <v>35.08</v>
      </c>
      <c r="E213" s="64">
        <f>IFERROR(VLOOKUP(B213,'ACDOCA - Paste Data'!B:G,6,FALSE),0)</f>
        <v>11119.1</v>
      </c>
      <c r="F213" s="64">
        <f t="shared" ref="F213" si="334">E213 +L213</f>
        <v>11119.1</v>
      </c>
      <c r="G213" s="64">
        <f>IFERROR(VLOOKUP(B213,'ACDOCA - Paste Data'!B:H,7,FALSE),0)</f>
        <v>7049.8</v>
      </c>
      <c r="H213" s="64">
        <f t="shared" ref="H213" si="335">G213+M213</f>
        <v>7049.8</v>
      </c>
      <c r="I213" s="64">
        <f t="shared" ref="I213" si="336">F213-H213</f>
        <v>4069.3</v>
      </c>
      <c r="J213" s="65">
        <f t="shared" ref="J213:J223" si="337">IFERROR(I213/F213,0)</f>
        <v>0.36597386479121513</v>
      </c>
      <c r="K213" s="198">
        <f>IFERROR(VLOOKUP(B213,'WIP - Paste Data'!B:E,4,FALSE),"")</f>
        <v>99523.79</v>
      </c>
      <c r="L213" s="64"/>
      <c r="M213" s="64"/>
      <c r="N213" s="66"/>
      <c r="O213" s="66"/>
      <c r="P213" s="189">
        <f>IFERROR(VLOOKUP(B213,'JTD Paste Data'!A:B,2,FALSE),"0")</f>
        <v>607812.61</v>
      </c>
      <c r="Q213" s="189">
        <f t="shared" ref="Q213" si="338">SUM(P213+L213)</f>
        <v>607812.61</v>
      </c>
      <c r="R213" s="189">
        <f>IFERROR(VLOOKUP(B213,'JTD Paste Data'!A:C,3,FALSE),"0")</f>
        <v>585921.61</v>
      </c>
      <c r="S213" s="189">
        <f t="shared" ref="S213" si="339">SUM(R213+M213)</f>
        <v>585921.61</v>
      </c>
      <c r="T213" s="189">
        <f t="shared" ref="T213" si="340">SUM(Q213-S213)</f>
        <v>21891</v>
      </c>
      <c r="U213" s="193">
        <f t="shared" ref="U213" si="341">IFERROR(T213/Q213,0)</f>
        <v>3.6016034613036409E-2</v>
      </c>
    </row>
    <row r="214" spans="1:21" x14ac:dyDescent="0.25">
      <c r="A214" s="54" t="str">
        <f>VLOOKUP(B214,'SAP Contracts'!A:J,10,FALSE)</f>
        <v>Clear Creek - OSP Phase 4</v>
      </c>
      <c r="B214" s="54">
        <v>21897</v>
      </c>
      <c r="C214" s="107" t="s">
        <v>1365</v>
      </c>
      <c r="D214" s="225" t="str">
        <f>IFERROR(VLOOKUP(B214,'MTD Hours Paste Data'!A:C,3,FALSE),"")</f>
        <v/>
      </c>
      <c r="E214" s="64">
        <f>IFERROR(VLOOKUP(B214,'ACDOCA - Paste Data'!B:G,6,FALSE),0)</f>
        <v>41329.019999999997</v>
      </c>
      <c r="F214" s="64">
        <f t="shared" ref="F214" si="342">E214 +L214</f>
        <v>41329.019999999997</v>
      </c>
      <c r="G214" s="64">
        <f>IFERROR(VLOOKUP(B214,'ACDOCA - Paste Data'!B:H,7,FALSE),0)</f>
        <v>48446.5</v>
      </c>
      <c r="H214" s="64">
        <f t="shared" ref="H214" si="343">G214+M214</f>
        <v>48446.5</v>
      </c>
      <c r="I214" s="64">
        <f t="shared" ref="I214" si="344">F214-H214</f>
        <v>-7117.4800000000032</v>
      </c>
      <c r="J214" s="65">
        <f t="shared" ref="J214" si="345">IFERROR(I214/F214,0)</f>
        <v>-0.17221506824986424</v>
      </c>
      <c r="K214" s="198">
        <f>IFERROR(VLOOKUP(B214,'WIP - Paste Data'!B:E,4,FALSE),"")</f>
        <v>498025.55000000005</v>
      </c>
      <c r="L214" s="64"/>
      <c r="M214" s="64"/>
      <c r="N214" s="66"/>
      <c r="O214" s="66"/>
      <c r="P214" s="189">
        <f>IFERROR(VLOOKUP(B214,'JTD Paste Data'!A:B,2,FALSE),"0")</f>
        <v>498025.55</v>
      </c>
      <c r="Q214" s="189">
        <f t="shared" ref="Q214:Q223" si="346">SUM(P214+L214)</f>
        <v>498025.55</v>
      </c>
      <c r="R214" s="189">
        <f>IFERROR(VLOOKUP(B214,'JTD Paste Data'!A:C,3,FALSE),"0")</f>
        <v>397316.71</v>
      </c>
      <c r="S214" s="189">
        <f t="shared" ref="S214:S223" si="347">SUM(R214+M214)</f>
        <v>397316.71</v>
      </c>
      <c r="T214" s="189">
        <f t="shared" ref="T214:T223" si="348">SUM(Q214-S214)</f>
        <v>100708.83999999997</v>
      </c>
      <c r="U214" s="193">
        <f t="shared" ref="U214:U223" si="349">IFERROR(T214/Q214,0)</f>
        <v>0.2022162115979792</v>
      </c>
    </row>
    <row r="215" spans="1:21" x14ac:dyDescent="0.25">
      <c r="A215" s="54" t="str">
        <f>VLOOKUP(B215,'SAP Contracts'!A:J,10,FALSE)</f>
        <v>Clear Creek-2024 OSP Phase III</v>
      </c>
      <c r="B215" s="54">
        <f>VLOOKUP(C215,'Active North Sky Projects'!C:D,2,FALSE)</f>
        <v>21514</v>
      </c>
      <c r="C215" s="108" t="s">
        <v>184</v>
      </c>
      <c r="D215" s="225">
        <f>IFERROR(VLOOKUP(B215,'MTD Hours Paste Data'!A:C,3,FALSE),"")</f>
        <v>0</v>
      </c>
      <c r="E215" s="64">
        <f>IFERROR(VLOOKUP(B215,'ACDOCA - Paste Data'!B:G,6,FALSE),0)</f>
        <v>0</v>
      </c>
      <c r="F215" s="64">
        <f t="shared" ref="F215:F223" si="350">E215 +L215</f>
        <v>0</v>
      </c>
      <c r="G215" s="64">
        <f>IFERROR(VLOOKUP(B215,'ACDOCA - Paste Data'!B:H,7,FALSE),0)</f>
        <v>0</v>
      </c>
      <c r="H215" s="64">
        <f t="shared" ref="H215:H223" si="351">G215+M215</f>
        <v>0</v>
      </c>
      <c r="I215" s="64">
        <f t="shared" ref="I215:I223" si="352">F215-H215</f>
        <v>0</v>
      </c>
      <c r="J215" s="65">
        <f t="shared" si="337"/>
        <v>0</v>
      </c>
      <c r="K215" s="198" t="str">
        <f>IFERROR(VLOOKUP(B215,'WIP - Paste Data'!B:E,4,FALSE),"")</f>
        <v/>
      </c>
      <c r="L215" s="64"/>
      <c r="M215" s="64"/>
      <c r="N215" s="66"/>
      <c r="O215" s="66"/>
      <c r="P215" s="189">
        <f>IFERROR(VLOOKUP(B215,'JTD Paste Data'!A:B,2,FALSE),"0")</f>
        <v>1272433.7699999998</v>
      </c>
      <c r="Q215" s="189">
        <f t="shared" si="346"/>
        <v>1272433.7699999998</v>
      </c>
      <c r="R215" s="189">
        <f>IFERROR(VLOOKUP(B215,'JTD Paste Data'!A:C,3,FALSE),"0")</f>
        <v>1198260.1599999999</v>
      </c>
      <c r="S215" s="189">
        <f t="shared" si="347"/>
        <v>1198260.1599999999</v>
      </c>
      <c r="T215" s="189">
        <f t="shared" si="348"/>
        <v>74173.60999999987</v>
      </c>
      <c r="U215" s="193">
        <f t="shared" si="349"/>
        <v>5.8292707839717177E-2</v>
      </c>
    </row>
    <row r="216" spans="1:21" x14ac:dyDescent="0.25">
      <c r="A216" s="54" t="str">
        <f>VLOOKUP(B216,'SAP Contracts'!A:J,10,FALSE)</f>
        <v>Clear Creek-FTTH P1 Project</v>
      </c>
      <c r="B216" s="54">
        <f>VLOOKUP(C216,'Active North Sky Projects'!C:D,2,FALSE)</f>
        <v>21119</v>
      </c>
      <c r="C216" s="108" t="s">
        <v>64</v>
      </c>
      <c r="D216" s="225" t="str">
        <f>IFERROR(VLOOKUP(B216,'MTD Hours Paste Data'!A:C,3,FALSE),"")</f>
        <v/>
      </c>
      <c r="E216" s="64">
        <f>IFERROR(VLOOKUP(B216,'ACDOCA - Paste Data'!B:G,6,FALSE),0)</f>
        <v>0</v>
      </c>
      <c r="F216" s="64">
        <f t="shared" si="350"/>
        <v>0</v>
      </c>
      <c r="G216" s="64">
        <f>IFERROR(VLOOKUP(B216,'ACDOCA - Paste Data'!B:H,7,FALSE),0)</f>
        <v>0</v>
      </c>
      <c r="H216" s="64">
        <f t="shared" si="351"/>
        <v>0</v>
      </c>
      <c r="I216" s="64">
        <f t="shared" si="352"/>
        <v>0</v>
      </c>
      <c r="J216" s="65">
        <f t="shared" si="337"/>
        <v>0</v>
      </c>
      <c r="K216" s="198" t="str">
        <f>IFERROR(VLOOKUP(B216,'WIP - Paste Data'!B:E,4,FALSE),"")</f>
        <v/>
      </c>
      <c r="L216" s="64"/>
      <c r="M216" s="64"/>
      <c r="N216" s="66"/>
      <c r="O216" s="66"/>
      <c r="P216" s="189" t="str">
        <f>IFERROR(VLOOKUP(B216,'JTD Paste Data'!A:B,2,FALSE),"0")</f>
        <v>0</v>
      </c>
      <c r="Q216" s="189">
        <f t="shared" si="346"/>
        <v>0</v>
      </c>
      <c r="R216" s="189" t="str">
        <f>IFERROR(VLOOKUP(B216,'JTD Paste Data'!A:C,3,FALSE),"0")</f>
        <v>0</v>
      </c>
      <c r="S216" s="189">
        <f t="shared" si="347"/>
        <v>0</v>
      </c>
      <c r="T216" s="189">
        <f t="shared" si="348"/>
        <v>0</v>
      </c>
      <c r="U216" s="193">
        <f t="shared" si="349"/>
        <v>0</v>
      </c>
    </row>
    <row r="217" spans="1:21" x14ac:dyDescent="0.25">
      <c r="A217" s="54" t="str">
        <f>VLOOKUP(B217,'SAP Contracts'!A:J,10,FALSE)</f>
        <v>Clear Creek-FTTH Phase II</v>
      </c>
      <c r="B217" s="54">
        <f>VLOOKUP(C217,'Active North Sky Projects'!C:D,2,FALSE)</f>
        <v>21488</v>
      </c>
      <c r="C217" s="108" t="s">
        <v>101</v>
      </c>
      <c r="D217" s="225" t="str">
        <f>IFERROR(VLOOKUP(B217,'MTD Hours Paste Data'!A:C,3,FALSE),"")</f>
        <v/>
      </c>
      <c r="E217" s="64">
        <f>IFERROR(VLOOKUP(B217,'ACDOCA - Paste Data'!B:G,6,FALSE),0)</f>
        <v>0</v>
      </c>
      <c r="F217" s="64">
        <f t="shared" si="350"/>
        <v>0</v>
      </c>
      <c r="G217" s="64">
        <f>IFERROR(VLOOKUP(B217,'ACDOCA - Paste Data'!B:H,7,FALSE),0)</f>
        <v>0</v>
      </c>
      <c r="H217" s="64">
        <f t="shared" si="351"/>
        <v>0</v>
      </c>
      <c r="I217" s="64">
        <f t="shared" si="352"/>
        <v>0</v>
      </c>
      <c r="J217" s="65">
        <f t="shared" si="337"/>
        <v>0</v>
      </c>
      <c r="K217" s="198" t="str">
        <f>IFERROR(VLOOKUP(B217,'WIP - Paste Data'!B:E,4,FALSE),"")</f>
        <v/>
      </c>
      <c r="L217" s="64"/>
      <c r="M217" s="64"/>
      <c r="N217" s="66"/>
      <c r="O217" s="66"/>
      <c r="P217" s="189">
        <f>IFERROR(VLOOKUP(B217,'JTD Paste Data'!A:B,2,FALSE),"0")</f>
        <v>1888923.81</v>
      </c>
      <c r="Q217" s="189">
        <f t="shared" si="346"/>
        <v>1888923.81</v>
      </c>
      <c r="R217" s="189">
        <f>IFERROR(VLOOKUP(B217,'JTD Paste Data'!A:C,3,FALSE),"0")</f>
        <v>1596741.49</v>
      </c>
      <c r="S217" s="189">
        <f t="shared" si="347"/>
        <v>1596741.49</v>
      </c>
      <c r="T217" s="189">
        <f t="shared" si="348"/>
        <v>292182.32000000007</v>
      </c>
      <c r="U217" s="193">
        <f t="shared" si="349"/>
        <v>0.1546818979427233</v>
      </c>
    </row>
    <row r="218" spans="1:21" x14ac:dyDescent="0.25">
      <c r="A218" s="54" t="str">
        <f>VLOOKUP(B218,'SAP Contracts'!A:J,10,FALSE)</f>
        <v>Canby-DirectLink-Carus Peds</v>
      </c>
      <c r="B218" s="54">
        <v>21048</v>
      </c>
      <c r="C218" s="108" t="s">
        <v>2698</v>
      </c>
      <c r="D218" s="225" t="str">
        <f>IFERROR(VLOOKUP(B218,'MTD Hours Paste Data'!A:C,3,FALSE),"")</f>
        <v/>
      </c>
      <c r="E218" s="64">
        <f>IFERROR(VLOOKUP(B218,'ACDOCA - Paste Data'!B:G,6,FALSE),0)</f>
        <v>0</v>
      </c>
      <c r="F218" s="64">
        <f t="shared" ref="F218" si="353">E218 +L218</f>
        <v>0</v>
      </c>
      <c r="G218" s="64">
        <f>IFERROR(VLOOKUP(B218,'ACDOCA - Paste Data'!B:H,7,FALSE),0)</f>
        <v>0</v>
      </c>
      <c r="H218" s="64">
        <f t="shared" ref="H218" si="354">G218+M218</f>
        <v>0</v>
      </c>
      <c r="I218" s="64">
        <f t="shared" ref="I218" si="355">F218-H218</f>
        <v>0</v>
      </c>
      <c r="J218" s="65">
        <f t="shared" ref="J218" si="356">IFERROR(I218/F218,0)</f>
        <v>0</v>
      </c>
      <c r="K218" s="198" t="str">
        <f>IFERROR(VLOOKUP(B218,'WIP - Paste Data'!B:E,4,FALSE),"")</f>
        <v/>
      </c>
      <c r="L218" s="64"/>
      <c r="M218" s="64"/>
      <c r="N218" s="66"/>
      <c r="O218" s="66"/>
      <c r="P218" s="189">
        <f>IFERROR(VLOOKUP(B218,'JTD Paste Data'!A:B,2,FALSE),"0")</f>
        <v>0</v>
      </c>
      <c r="Q218" s="189">
        <f t="shared" si="346"/>
        <v>0</v>
      </c>
      <c r="R218" s="189">
        <f>IFERROR(VLOOKUP(B218,'JTD Paste Data'!A:C,3,FALSE),"0")</f>
        <v>774.46</v>
      </c>
      <c r="S218" s="189">
        <f t="shared" si="347"/>
        <v>774.46</v>
      </c>
      <c r="T218" s="189">
        <f t="shared" si="348"/>
        <v>-774.46</v>
      </c>
      <c r="U218" s="193">
        <f t="shared" si="349"/>
        <v>0</v>
      </c>
    </row>
    <row r="219" spans="1:21" x14ac:dyDescent="0.25">
      <c r="A219" s="54" t="str">
        <f>VLOOKUP(B219,'SAP Contracts'!A:J,10,FALSE)</f>
        <v>Directlink - Blount Rd Ped Removals</v>
      </c>
      <c r="B219" s="54">
        <f>VLOOKUP(C219,'Active North Sky Projects'!C:D,2,FALSE)</f>
        <v>21898</v>
      </c>
      <c r="C219" s="107" t="s">
        <v>1105</v>
      </c>
      <c r="D219" s="225" t="str">
        <f>IFERROR(VLOOKUP(B219,'MTD Hours Paste Data'!A:C,3,FALSE),"")</f>
        <v/>
      </c>
      <c r="E219" s="64">
        <f>IFERROR(VLOOKUP(B219,'ACDOCA - Paste Data'!B:G,6,FALSE),0)</f>
        <v>0</v>
      </c>
      <c r="F219" s="64">
        <f t="shared" si="350"/>
        <v>0</v>
      </c>
      <c r="G219" s="64">
        <f>IFERROR(VLOOKUP(B219,'ACDOCA - Paste Data'!B:H,7,FALSE),0)</f>
        <v>0</v>
      </c>
      <c r="H219" s="64">
        <f t="shared" si="351"/>
        <v>0</v>
      </c>
      <c r="I219" s="64">
        <f t="shared" si="352"/>
        <v>0</v>
      </c>
      <c r="J219" s="65">
        <f t="shared" si="337"/>
        <v>0</v>
      </c>
      <c r="K219" s="198" t="str">
        <f>IFERROR(VLOOKUP(B219,'WIP - Paste Data'!B:E,4,FALSE),"")</f>
        <v/>
      </c>
      <c r="L219" s="64"/>
      <c r="M219" s="64"/>
      <c r="N219" s="66"/>
      <c r="O219" s="66"/>
      <c r="P219" s="189">
        <f>IFERROR(VLOOKUP(B219,'JTD Paste Data'!A:B,2,FALSE),"0")</f>
        <v>2775</v>
      </c>
      <c r="Q219" s="189">
        <f t="shared" si="346"/>
        <v>2775</v>
      </c>
      <c r="R219" s="189">
        <f>IFERROR(VLOOKUP(B219,'JTD Paste Data'!A:C,3,FALSE),"0")</f>
        <v>2404.5700000000002</v>
      </c>
      <c r="S219" s="189">
        <f t="shared" si="347"/>
        <v>2404.5700000000002</v>
      </c>
      <c r="T219" s="189">
        <f t="shared" si="348"/>
        <v>370.42999999999984</v>
      </c>
      <c r="U219" s="193">
        <f t="shared" si="349"/>
        <v>0.13348828828828824</v>
      </c>
    </row>
    <row r="220" spans="1:21" x14ac:dyDescent="0.25">
      <c r="A220" s="54" t="str">
        <f>VLOOKUP(B220,'SAP Contracts'!A:J,10,FALSE)</f>
        <v>DirectLink - Hourly Work</v>
      </c>
      <c r="B220" s="54">
        <f>VLOOKUP(C220,'Active North Sky Projects'!C:D,2,FALSE)</f>
        <v>21065</v>
      </c>
      <c r="C220" s="108" t="s">
        <v>44</v>
      </c>
      <c r="D220" s="225">
        <f>IFERROR(VLOOKUP(B220,'MTD Hours Paste Data'!A:C,3,FALSE),"")</f>
        <v>9.5500000000000007</v>
      </c>
      <c r="E220" s="64">
        <f>IFERROR(VLOOKUP(B220,'ACDOCA - Paste Data'!B:G,6,FALSE),0)</f>
        <v>903</v>
      </c>
      <c r="F220" s="64">
        <f t="shared" si="350"/>
        <v>903</v>
      </c>
      <c r="G220" s="64">
        <f>IFERROR(VLOOKUP(B220,'ACDOCA - Paste Data'!B:H,7,FALSE),0)</f>
        <v>959.37</v>
      </c>
      <c r="H220" s="64">
        <f t="shared" si="351"/>
        <v>959.37</v>
      </c>
      <c r="I220" s="64">
        <f t="shared" si="352"/>
        <v>-56.370000000000005</v>
      </c>
      <c r="J220" s="65">
        <f t="shared" si="337"/>
        <v>-6.2425249169435218E-2</v>
      </c>
      <c r="K220" s="198">
        <f>IFERROR(VLOOKUP(B220,'WIP - Paste Data'!B:E,4,FALSE),"")</f>
        <v>2256</v>
      </c>
      <c r="L220" s="64"/>
      <c r="M220" s="64"/>
      <c r="N220" s="66"/>
      <c r="O220" s="66"/>
      <c r="P220" s="189">
        <f>IFERROR(VLOOKUP(B220,'JTD Paste Data'!A:B,2,FALSE),"0")</f>
        <v>157023.22999999998</v>
      </c>
      <c r="Q220" s="189">
        <f t="shared" si="346"/>
        <v>157023.22999999998</v>
      </c>
      <c r="R220" s="189">
        <f>IFERROR(VLOOKUP(B220,'JTD Paste Data'!A:C,3,FALSE),"0")</f>
        <v>128331.50999999998</v>
      </c>
      <c r="S220" s="189">
        <f t="shared" si="347"/>
        <v>128331.50999999998</v>
      </c>
      <c r="T220" s="189">
        <f t="shared" si="348"/>
        <v>28691.72</v>
      </c>
      <c r="U220" s="193">
        <f t="shared" si="349"/>
        <v>0.18272277292983977</v>
      </c>
    </row>
    <row r="221" spans="1:21" x14ac:dyDescent="0.25">
      <c r="A221" s="54" t="str">
        <f>VLOOKUP(B221,'SAP Contracts'!A:J,10,FALSE)</f>
        <v>Directlink - Molalla Forest Ped Removals</v>
      </c>
      <c r="B221" s="54">
        <f>VLOOKUP(C221,'Active North Sky Projects'!C:D,2,FALSE)</f>
        <v>21219</v>
      </c>
      <c r="C221" s="108" t="s">
        <v>983</v>
      </c>
      <c r="D221" s="225" t="str">
        <f>IFERROR(VLOOKUP(B221,'MTD Hours Paste Data'!A:C,3,FALSE),"")</f>
        <v/>
      </c>
      <c r="E221" s="64">
        <f>IFERROR(VLOOKUP(B221,'ACDOCA - Paste Data'!B:G,6,FALSE),0)</f>
        <v>0</v>
      </c>
      <c r="F221" s="64">
        <f t="shared" si="350"/>
        <v>0</v>
      </c>
      <c r="G221" s="64">
        <f>IFERROR(VLOOKUP(B221,'ACDOCA - Paste Data'!B:H,7,FALSE),0)</f>
        <v>0</v>
      </c>
      <c r="H221" s="64">
        <f t="shared" si="351"/>
        <v>0</v>
      </c>
      <c r="I221" s="64">
        <f t="shared" si="352"/>
        <v>0</v>
      </c>
      <c r="J221" s="65">
        <f t="shared" si="337"/>
        <v>0</v>
      </c>
      <c r="K221" s="198" t="str">
        <f>IFERROR(VLOOKUP(B221,'WIP - Paste Data'!B:E,4,FALSE),"")</f>
        <v/>
      </c>
      <c r="L221" s="64"/>
      <c r="M221" s="64"/>
      <c r="N221" s="66"/>
      <c r="O221" s="66"/>
      <c r="P221" s="189" t="str">
        <f>IFERROR(VLOOKUP(B221,'JTD Paste Data'!A:B,2,FALSE),"0")</f>
        <v>0</v>
      </c>
      <c r="Q221" s="189">
        <f t="shared" si="346"/>
        <v>0</v>
      </c>
      <c r="R221" s="189" t="str">
        <f>IFERROR(VLOOKUP(B221,'JTD Paste Data'!A:C,3,FALSE),"0")</f>
        <v>0</v>
      </c>
      <c r="S221" s="189">
        <f t="shared" si="347"/>
        <v>0</v>
      </c>
      <c r="T221" s="189">
        <f t="shared" si="348"/>
        <v>0</v>
      </c>
      <c r="U221" s="193">
        <f t="shared" si="349"/>
        <v>0</v>
      </c>
    </row>
    <row r="222" spans="1:21" x14ac:dyDescent="0.25">
      <c r="A222" s="54" t="str">
        <f>VLOOKUP(B222,'SAP Contracts'!A:J,10,FALSE)</f>
        <v>Directlink - Mt Angel Town FTTH</v>
      </c>
      <c r="B222" s="54">
        <f>VLOOKUP(C222,'Active North Sky Projects'!C:D,2,FALSE)</f>
        <v>21526</v>
      </c>
      <c r="C222" s="108" t="s">
        <v>352</v>
      </c>
      <c r="D222" s="225">
        <f>IFERROR(VLOOKUP(B222,'MTD Hours Paste Data'!A:C,3,FALSE),"")</f>
        <v>0</v>
      </c>
      <c r="E222" s="64">
        <f>IFERROR(VLOOKUP(B222,'ACDOCA - Paste Data'!B:G,6,FALSE),0)</f>
        <v>0</v>
      </c>
      <c r="F222" s="64">
        <f t="shared" si="350"/>
        <v>0</v>
      </c>
      <c r="G222" s="64">
        <f>IFERROR(VLOOKUP(B222,'ACDOCA - Paste Data'!B:H,7,FALSE),0)</f>
        <v>0</v>
      </c>
      <c r="H222" s="64">
        <f t="shared" si="351"/>
        <v>0</v>
      </c>
      <c r="I222" s="64">
        <f t="shared" si="352"/>
        <v>0</v>
      </c>
      <c r="J222" s="65">
        <f t="shared" si="337"/>
        <v>0</v>
      </c>
      <c r="K222" s="198" t="str">
        <f>IFERROR(VLOOKUP(B222,'WIP - Paste Data'!B:E,4,FALSE),"")</f>
        <v/>
      </c>
      <c r="L222" s="64"/>
      <c r="M222" s="64"/>
      <c r="N222" s="66"/>
      <c r="O222" s="66"/>
      <c r="P222" s="189">
        <f>IFERROR(VLOOKUP(B222,'JTD Paste Data'!A:B,2,FALSE),"0")</f>
        <v>1774529.74</v>
      </c>
      <c r="Q222" s="189">
        <f t="shared" si="346"/>
        <v>1774529.74</v>
      </c>
      <c r="R222" s="189">
        <f>IFERROR(VLOOKUP(B222,'JTD Paste Data'!A:C,3,FALSE),"0")</f>
        <v>1481814.8599999999</v>
      </c>
      <c r="S222" s="189">
        <f t="shared" si="347"/>
        <v>1481814.8599999999</v>
      </c>
      <c r="T222" s="189">
        <f t="shared" si="348"/>
        <v>292714.88000000012</v>
      </c>
      <c r="U222" s="193">
        <f t="shared" si="349"/>
        <v>0.16495349353795566</v>
      </c>
    </row>
    <row r="223" spans="1:21" x14ac:dyDescent="0.25">
      <c r="A223" s="54" t="str">
        <f>VLOOKUP(B223,'SAP Contracts'!A:J,10,FALSE)</f>
        <v>Molalla-Maintenance Work Orders</v>
      </c>
      <c r="B223" s="54">
        <f>VLOOKUP(C223,'Active North Sky Projects'!C:D,2,FALSE)</f>
        <v>21604</v>
      </c>
      <c r="C223" s="108" t="s">
        <v>43</v>
      </c>
      <c r="D223" s="225">
        <f>IFERROR(VLOOKUP(B223,'MTD Hours Paste Data'!A:C,3,FALSE),"")</f>
        <v>128.13</v>
      </c>
      <c r="E223" s="64">
        <f>IFERROR(VLOOKUP(B223,'ACDOCA - Paste Data'!B:G,6,FALSE),0)</f>
        <v>3863.63</v>
      </c>
      <c r="F223" s="64">
        <f t="shared" si="350"/>
        <v>3863.63</v>
      </c>
      <c r="G223" s="64">
        <f>IFERROR(VLOOKUP(B223,'ACDOCA - Paste Data'!B:H,7,FALSE),0)</f>
        <v>7077.73</v>
      </c>
      <c r="H223" s="64">
        <f t="shared" si="351"/>
        <v>7077.73</v>
      </c>
      <c r="I223" s="64">
        <f t="shared" si="352"/>
        <v>-3214.0999999999995</v>
      </c>
      <c r="J223" s="65">
        <f t="shared" si="337"/>
        <v>-0.83188607604765452</v>
      </c>
      <c r="K223" s="198">
        <f>IFERROR(VLOOKUP(B223,'WIP - Paste Data'!B:E,4,FALSE),"")</f>
        <v>22737.99</v>
      </c>
      <c r="L223" s="64"/>
      <c r="M223" s="64"/>
      <c r="N223" s="66"/>
      <c r="O223" s="66"/>
      <c r="P223" s="189">
        <f>IFERROR(VLOOKUP(B223,'JTD Paste Data'!A:B,2,FALSE),"0")</f>
        <v>857411</v>
      </c>
      <c r="Q223" s="189">
        <f t="shared" si="346"/>
        <v>857411</v>
      </c>
      <c r="R223" s="189">
        <f>IFERROR(VLOOKUP(B223,'JTD Paste Data'!A:C,3,FALSE),"0")</f>
        <v>726865.57000000007</v>
      </c>
      <c r="S223" s="189">
        <f t="shared" si="347"/>
        <v>726865.57000000007</v>
      </c>
      <c r="T223" s="189">
        <f t="shared" si="348"/>
        <v>130545.42999999993</v>
      </c>
      <c r="U223" s="193">
        <f t="shared" si="349"/>
        <v>0.15225537111140391</v>
      </c>
    </row>
    <row r="224" spans="1:21" ht="15.75" thickBot="1" x14ac:dyDescent="0.3">
      <c r="A224" s="75" t="s">
        <v>11</v>
      </c>
      <c r="B224" s="68" t="s">
        <v>1161</v>
      </c>
      <c r="C224" s="68"/>
      <c r="D224" s="226"/>
      <c r="E224" s="68">
        <f>SUM(E213:E223)</f>
        <v>57214.749999999993</v>
      </c>
      <c r="F224" s="68">
        <f>SUM(F213:F223)</f>
        <v>57214.749999999993</v>
      </c>
      <c r="G224" s="68">
        <f>SUM(G213:G223)</f>
        <v>63533.400000000009</v>
      </c>
      <c r="H224" s="68">
        <f>SUM(H213:H223)</f>
        <v>63533.400000000009</v>
      </c>
      <c r="I224" s="68">
        <f>F224-H224</f>
        <v>-6318.650000000016</v>
      </c>
      <c r="J224" s="69">
        <f t="shared" ref="J224" si="357">IFERROR(I224/F224,0)</f>
        <v>-0.11043743090724012</v>
      </c>
      <c r="K224" s="206">
        <f>SUM(K213:K223)</f>
        <v>622543.33000000007</v>
      </c>
      <c r="L224" s="68">
        <f>SUM(L213:L223)</f>
        <v>0</v>
      </c>
      <c r="M224" s="68">
        <f>SUM(M213:M223)</f>
        <v>0</v>
      </c>
      <c r="N224" s="68"/>
      <c r="O224" s="68"/>
      <c r="P224" s="68">
        <f>SUM(P213:P223)</f>
        <v>7058934.7100000009</v>
      </c>
      <c r="Q224" s="68">
        <f>SUM(Q213:Q223)</f>
        <v>7058934.7100000009</v>
      </c>
      <c r="R224" s="68">
        <f>SUM(R213:R223)</f>
        <v>6118430.9399999995</v>
      </c>
      <c r="S224" s="68">
        <f>SUM(S213:S223)</f>
        <v>6118430.9399999995</v>
      </c>
      <c r="T224" s="68">
        <f>SUM(T213:T223)</f>
        <v>940503.7699999999</v>
      </c>
      <c r="U224" s="69">
        <f>IFERROR(T224/Q224,0)</f>
        <v>0.13323593553962759</v>
      </c>
    </row>
    <row r="225" spans="1:21" ht="14.25" x14ac:dyDescent="0.25">
      <c r="A225" s="113" t="s">
        <v>1163</v>
      </c>
      <c r="B225" s="113"/>
      <c r="C225" s="113"/>
      <c r="D225" s="234"/>
      <c r="E225" s="60"/>
      <c r="F225" s="61"/>
      <c r="G225" s="60"/>
      <c r="H225" s="61"/>
      <c r="I225" s="61"/>
      <c r="J225" s="62"/>
      <c r="K225" s="197"/>
      <c r="L225" s="60"/>
      <c r="M225" s="60"/>
      <c r="N225" s="63"/>
      <c r="O225" s="63"/>
      <c r="P225" s="63"/>
      <c r="Q225" s="63"/>
      <c r="R225" s="63"/>
      <c r="S225" s="63"/>
      <c r="T225" s="63"/>
      <c r="U225" s="63"/>
    </row>
    <row r="226" spans="1:21" x14ac:dyDescent="0.25">
      <c r="A226" s="54" t="str">
        <f>VLOOKUP(B226,'SAP Contracts'!A:J,10,FALSE)</f>
        <v>Alyrica - Webfoot</v>
      </c>
      <c r="B226" s="54">
        <f>VLOOKUP(C226,'Active North Sky Projects'!C:D,2,FALSE)</f>
        <v>21545</v>
      </c>
      <c r="C226" s="107" t="s">
        <v>400</v>
      </c>
      <c r="D226" s="225">
        <f>IFERROR(VLOOKUP(B226,'MTD Hours Paste Data'!A:C,3,FALSE),"")</f>
        <v>0</v>
      </c>
      <c r="E226" s="64">
        <f>IFERROR(VLOOKUP(B226,'ACDOCA - Paste Data'!B:G,6,FALSE),0)</f>
        <v>0</v>
      </c>
      <c r="F226" s="64">
        <f t="shared" ref="F226" si="358">E226 +L226</f>
        <v>0</v>
      </c>
      <c r="G226" s="64">
        <f>IFERROR(VLOOKUP(B226,'ACDOCA - Paste Data'!B:H,7,FALSE),0)</f>
        <v>0</v>
      </c>
      <c r="H226" s="64">
        <f t="shared" ref="H226" si="359">G226+M226</f>
        <v>0</v>
      </c>
      <c r="I226" s="64">
        <f t="shared" ref="I226" si="360">F226-H226</f>
        <v>0</v>
      </c>
      <c r="J226" s="65">
        <f t="shared" ref="J226:J256" si="361">IFERROR(I226/F226,0)</f>
        <v>0</v>
      </c>
      <c r="K226" s="198">
        <f>IFERROR(VLOOKUP(B226,'WIP - Paste Data'!B:E,4,FALSE),"")</f>
        <v>486893.12</v>
      </c>
      <c r="L226" s="64"/>
      <c r="M226" s="64"/>
      <c r="N226" s="66"/>
      <c r="O226" s="66"/>
      <c r="P226" s="189">
        <f>IFERROR(VLOOKUP(B226,'JTD Paste Data'!A:B,2,FALSE),"0")</f>
        <v>2176452.7799999998</v>
      </c>
      <c r="Q226" s="189">
        <f t="shared" ref="Q226" si="362">SUM(P226+L226)</f>
        <v>2176452.7799999998</v>
      </c>
      <c r="R226" s="189">
        <f>IFERROR(VLOOKUP(B226,'JTD Paste Data'!A:C,3,FALSE),"0")</f>
        <v>1813657.8</v>
      </c>
      <c r="S226" s="189">
        <f t="shared" ref="S226" si="363">SUM(R226+M226)</f>
        <v>1813657.8</v>
      </c>
      <c r="T226" s="189">
        <f t="shared" ref="T226" si="364">SUM(Q226-S226)</f>
        <v>362794.97999999975</v>
      </c>
      <c r="U226" s="193">
        <f t="shared" ref="U226" si="365">IFERROR(T226/Q226,0)</f>
        <v>0.16669094929778341</v>
      </c>
    </row>
    <row r="227" spans="1:21" x14ac:dyDescent="0.25">
      <c r="A227" s="54" t="str">
        <f>VLOOKUP(B227,'SAP Contracts'!A:J,10,FALSE)</f>
        <v>BCT - Hourly Maintenance</v>
      </c>
      <c r="B227" s="54">
        <f>VLOOKUP(C227,'Active North Sky Projects'!C:D,2,FALSE)</f>
        <v>21375</v>
      </c>
      <c r="C227" s="108" t="s">
        <v>110</v>
      </c>
      <c r="D227" s="225">
        <f>IFERROR(VLOOKUP(B227,'MTD Hours Paste Data'!A:C,3,FALSE),"")</f>
        <v>30.64</v>
      </c>
      <c r="E227" s="64">
        <f>IFERROR(VLOOKUP(B227,'ACDOCA - Paste Data'!B:G,6,FALSE),0)</f>
        <v>3408.13</v>
      </c>
      <c r="F227" s="64">
        <f t="shared" ref="F227:F256" si="366">E227 +L227</f>
        <v>3408.13</v>
      </c>
      <c r="G227" s="64">
        <f>IFERROR(VLOOKUP(B227,'ACDOCA - Paste Data'!B:H,7,FALSE),0)</f>
        <v>2208.36</v>
      </c>
      <c r="H227" s="64">
        <f t="shared" ref="H227:H256" si="367">G227+M227</f>
        <v>2208.36</v>
      </c>
      <c r="I227" s="64">
        <f t="shared" ref="I227:I256" si="368">F227-H227</f>
        <v>1199.77</v>
      </c>
      <c r="J227" s="65">
        <f t="shared" si="361"/>
        <v>0.35203175935190262</v>
      </c>
      <c r="K227" s="198">
        <f>IFERROR(VLOOKUP(B227,'WIP - Paste Data'!B:E,4,FALSE),"")</f>
        <v>15857.380000000001</v>
      </c>
      <c r="L227" s="64"/>
      <c r="M227" s="64"/>
      <c r="N227" s="66"/>
      <c r="O227" s="66"/>
      <c r="P227" s="189">
        <f>IFERROR(VLOOKUP(B227,'JTD Paste Data'!A:B,2,FALSE),"0")</f>
        <v>327134.49</v>
      </c>
      <c r="Q227" s="189">
        <f t="shared" ref="Q227:Q256" si="369">SUM(P227+L227)</f>
        <v>327134.49</v>
      </c>
      <c r="R227" s="189">
        <f>IFERROR(VLOOKUP(B227,'JTD Paste Data'!A:C,3,FALSE),"0")</f>
        <v>246651</v>
      </c>
      <c r="S227" s="189">
        <f t="shared" ref="S227:S256" si="370">SUM(R227+M227)</f>
        <v>246651</v>
      </c>
      <c r="T227" s="189">
        <f t="shared" ref="T227:T256" si="371">SUM(Q227-S227)</f>
        <v>80483.489999999991</v>
      </c>
      <c r="U227" s="193">
        <f t="shared" ref="U227:U256" si="372">IFERROR(T227/Q227,0)</f>
        <v>0.2460256942030172</v>
      </c>
    </row>
    <row r="228" spans="1:21" x14ac:dyDescent="0.25">
      <c r="A228" s="54" t="str">
        <f>VLOOKUP(B228,'SAP Contracts'!A:J,10,FALSE)</f>
        <v>City of Portland-Splicing Maintenance 31</v>
      </c>
      <c r="B228" s="54">
        <f>VLOOKUP(C228,'Active North Sky Projects'!C:D,2,FALSE)</f>
        <v>21113</v>
      </c>
      <c r="C228" s="108" t="s">
        <v>107</v>
      </c>
      <c r="D228" s="225">
        <f>IFERROR(VLOOKUP(B228,'MTD Hours Paste Data'!A:C,3,FALSE),"")</f>
        <v>0</v>
      </c>
      <c r="E228" s="64">
        <f>IFERROR(VLOOKUP(B228,'ACDOCA - Paste Data'!B:G,6,FALSE),0)</f>
        <v>0</v>
      </c>
      <c r="F228" s="64">
        <f t="shared" si="366"/>
        <v>0</v>
      </c>
      <c r="G228" s="64">
        <f>IFERROR(VLOOKUP(B228,'ACDOCA - Paste Data'!B:H,7,FALSE),0)</f>
        <v>0</v>
      </c>
      <c r="H228" s="64">
        <f t="shared" si="367"/>
        <v>0</v>
      </c>
      <c r="I228" s="64">
        <f t="shared" si="368"/>
        <v>0</v>
      </c>
      <c r="J228" s="65">
        <f t="shared" si="361"/>
        <v>0</v>
      </c>
      <c r="K228" s="198">
        <f>IFERROR(VLOOKUP(B228,'WIP - Paste Data'!B:E,4,FALSE),"")</f>
        <v>4380.6000000000004</v>
      </c>
      <c r="L228" s="64"/>
      <c r="M228" s="64"/>
      <c r="N228" s="66"/>
      <c r="O228" s="66"/>
      <c r="P228" s="189">
        <f>IFERROR(VLOOKUP(B228,'JTD Paste Data'!A:B,2,FALSE),"0")</f>
        <v>108532.75</v>
      </c>
      <c r="Q228" s="189">
        <f t="shared" si="369"/>
        <v>108532.75</v>
      </c>
      <c r="R228" s="189">
        <f>IFERROR(VLOOKUP(B228,'JTD Paste Data'!A:C,3,FALSE),"0")</f>
        <v>66124.47</v>
      </c>
      <c r="S228" s="189">
        <f t="shared" si="370"/>
        <v>66124.47</v>
      </c>
      <c r="T228" s="189">
        <f t="shared" si="371"/>
        <v>42408.28</v>
      </c>
      <c r="U228" s="193">
        <f t="shared" si="372"/>
        <v>0.3907417807067452</v>
      </c>
    </row>
    <row r="229" spans="1:21" x14ac:dyDescent="0.25">
      <c r="A229" s="54" t="str">
        <f>VLOOKUP(B229,'SAP Contracts'!A:J,10,FALSE)</f>
        <v>City of Sherwood - Broadband Expansion</v>
      </c>
      <c r="B229" s="54">
        <f>VLOOKUP(C229,'Active North Sky Projects'!C:D,2,FALSE)</f>
        <v>21067</v>
      </c>
      <c r="C229" s="107" t="s">
        <v>649</v>
      </c>
      <c r="D229" s="225">
        <f>IFERROR(VLOOKUP(B229,'MTD Hours Paste Data'!A:C,3,FALSE),"")</f>
        <v>797.94</v>
      </c>
      <c r="E229" s="64">
        <f>IFERROR(VLOOKUP(B229,'ACDOCA - Paste Data'!B:G,6,FALSE),0)</f>
        <v>129240.96000000001</v>
      </c>
      <c r="F229" s="64">
        <f t="shared" si="366"/>
        <v>129240.96000000001</v>
      </c>
      <c r="G229" s="64">
        <f>IFERROR(VLOOKUP(B229,'ACDOCA - Paste Data'!B:H,7,FALSE),0)</f>
        <v>183712.32</v>
      </c>
      <c r="H229" s="64">
        <f t="shared" si="367"/>
        <v>183712.32</v>
      </c>
      <c r="I229" s="64">
        <f t="shared" si="368"/>
        <v>-54471.360000000001</v>
      </c>
      <c r="J229" s="65">
        <f t="shared" si="361"/>
        <v>-0.42147133540326531</v>
      </c>
      <c r="K229" s="198">
        <f>IFERROR(VLOOKUP(B229,'WIP - Paste Data'!B:E,4,FALSE),"")</f>
        <v>1566186.01</v>
      </c>
      <c r="L229" s="64"/>
      <c r="M229" s="64"/>
      <c r="N229" s="66"/>
      <c r="O229" s="66"/>
      <c r="P229" s="189">
        <f>IFERROR(VLOOKUP(B229,'JTD Paste Data'!A:B,2,FALSE),"0")</f>
        <v>5359735.0999999996</v>
      </c>
      <c r="Q229" s="189">
        <f t="shared" si="369"/>
        <v>5359735.0999999996</v>
      </c>
      <c r="R229" s="189">
        <f>IFERROR(VLOOKUP(B229,'JTD Paste Data'!A:C,3,FALSE),"0")</f>
        <v>5568534.4400000004</v>
      </c>
      <c r="S229" s="189">
        <f t="shared" si="370"/>
        <v>5568534.4400000004</v>
      </c>
      <c r="T229" s="189">
        <f t="shared" si="371"/>
        <v>-208799.34000000078</v>
      </c>
      <c r="U229" s="193">
        <f t="shared" si="372"/>
        <v>-3.8957026066456305E-2</v>
      </c>
    </row>
    <row r="230" spans="1:21" x14ac:dyDescent="0.25">
      <c r="A230" s="54" t="s">
        <v>2732</v>
      </c>
      <c r="B230" s="54">
        <v>21949</v>
      </c>
      <c r="C230" s="107" t="s">
        <v>2715</v>
      </c>
      <c r="D230" s="225" t="str">
        <f>IFERROR(VLOOKUP(B230,'MTD Hours Paste Data'!A:C,3,FALSE),"")</f>
        <v/>
      </c>
      <c r="E230" s="64">
        <f>IFERROR(VLOOKUP(B230,'ACDOCA - Paste Data'!B:G,6,FALSE),0)</f>
        <v>2798</v>
      </c>
      <c r="F230" s="64">
        <f t="shared" ref="F230" si="373">E230 +L230</f>
        <v>2798</v>
      </c>
      <c r="G230" s="64">
        <f>VLOOKUP(B230,Table1[[Contract]:[COER]],3,FALSE)</f>
        <v>9725.14</v>
      </c>
      <c r="H230" s="64">
        <f t="shared" ref="H230" si="374">G230+M230</f>
        <v>9725.14</v>
      </c>
      <c r="I230" s="64">
        <f t="shared" ref="I230" si="375">F230-H230</f>
        <v>-6927.1399999999994</v>
      </c>
      <c r="J230" s="65">
        <f t="shared" ref="J230" si="376">IFERROR(I230/F230,0)</f>
        <v>-2.4757469621157968</v>
      </c>
      <c r="K230" s="198">
        <f>IFERROR(VLOOKUP(B230,'WIP - Paste Data'!B:E,4,FALSE),"")</f>
        <v>274656</v>
      </c>
      <c r="L230" s="64"/>
      <c r="M230" s="64"/>
      <c r="N230" s="66"/>
      <c r="O230" s="66"/>
      <c r="P230" s="189">
        <f>IFERROR(VLOOKUP(B230,'JTD Paste Data'!A:B,2,FALSE),"0")</f>
        <v>274656</v>
      </c>
      <c r="Q230" s="189">
        <f t="shared" si="369"/>
        <v>274656</v>
      </c>
      <c r="R230" s="189">
        <f>IFERROR(VLOOKUP(B230,'JTD Paste Data'!A:C,3,FALSE),"0")</f>
        <v>283071.98</v>
      </c>
      <c r="S230" s="189">
        <f t="shared" si="370"/>
        <v>283071.98</v>
      </c>
      <c r="T230" s="189">
        <f t="shared" si="371"/>
        <v>-8415.9799999999814</v>
      </c>
      <c r="U230" s="193">
        <f t="shared" si="372"/>
        <v>-3.0641893859955659E-2</v>
      </c>
    </row>
    <row r="231" spans="1:21" x14ac:dyDescent="0.25">
      <c r="A231" s="54" t="str">
        <f>VLOOKUP(B231,'SAP Contracts'!A:J,10,FALSE)</f>
        <v>City of Wilsonville - GSK TOD Building F</v>
      </c>
      <c r="B231" s="54">
        <f>VLOOKUP(C231,'Active North Sky Projects'!C:D,2,FALSE)</f>
        <v>21508</v>
      </c>
      <c r="C231" s="107" t="s">
        <v>1027</v>
      </c>
      <c r="D231" s="225">
        <f>IFERROR(VLOOKUP(B231,'MTD Hours Paste Data'!A:C,3,FALSE),"")</f>
        <v>0</v>
      </c>
      <c r="E231" s="64">
        <f>IFERROR(VLOOKUP(B231,'ACDOCA - Paste Data'!B:G,6,FALSE),0)</f>
        <v>0</v>
      </c>
      <c r="F231" s="64">
        <f t="shared" si="366"/>
        <v>0</v>
      </c>
      <c r="G231" s="64">
        <f>IFERROR(VLOOKUP(B231,'ACDOCA - Paste Data'!B:H,7,FALSE),0)</f>
        <v>0</v>
      </c>
      <c r="H231" s="64">
        <f t="shared" si="367"/>
        <v>0</v>
      </c>
      <c r="I231" s="64">
        <f t="shared" si="368"/>
        <v>0</v>
      </c>
      <c r="J231" s="65">
        <f t="shared" si="361"/>
        <v>0</v>
      </c>
      <c r="K231" s="198" t="str">
        <f>IFERROR(VLOOKUP(B231,'WIP - Paste Data'!B:E,4,FALSE),"")</f>
        <v/>
      </c>
      <c r="L231" s="64"/>
      <c r="M231" s="64"/>
      <c r="N231" s="66"/>
      <c r="O231" s="66"/>
      <c r="P231" s="189">
        <f>IFERROR(VLOOKUP(B231,'JTD Paste Data'!A:B,2,FALSE),"0")</f>
        <v>18764.48</v>
      </c>
      <c r="Q231" s="189">
        <f t="shared" si="369"/>
        <v>18764.48</v>
      </c>
      <c r="R231" s="189">
        <f>IFERROR(VLOOKUP(B231,'JTD Paste Data'!A:C,3,FALSE),"0")</f>
        <v>9328.27</v>
      </c>
      <c r="S231" s="189">
        <f t="shared" si="370"/>
        <v>9328.27</v>
      </c>
      <c r="T231" s="189">
        <f t="shared" si="371"/>
        <v>9436.2099999999991</v>
      </c>
      <c r="U231" s="193">
        <f t="shared" si="372"/>
        <v>0.50287617882296765</v>
      </c>
    </row>
    <row r="232" spans="1:21" x14ac:dyDescent="0.25">
      <c r="A232" s="54" t="s">
        <v>2945</v>
      </c>
      <c r="B232" s="54">
        <v>22834</v>
      </c>
      <c r="C232" s="107" t="s">
        <v>2715</v>
      </c>
      <c r="D232" s="225" t="str">
        <f>IFERROR(VLOOKUP(B232,'MTD Hours Paste Data'!A:C,3,FALSE),"")</f>
        <v/>
      </c>
      <c r="E232" s="64">
        <f>IFERROR(VLOOKUP(B232,'ACDOCA - Paste Data'!B:G,6,FALSE),0)</f>
        <v>0</v>
      </c>
      <c r="F232" s="64">
        <f t="shared" ref="F232" si="377">E232 +L232</f>
        <v>0</v>
      </c>
      <c r="G232" s="64">
        <f>IFERROR(VLOOKUP(B232,'ACDOCA - Paste Data'!B:H,7,FALSE),0)</f>
        <v>0</v>
      </c>
      <c r="H232" s="64">
        <f t="shared" ref="H232" si="378">G232+M232</f>
        <v>0</v>
      </c>
      <c r="I232" s="64">
        <f t="shared" ref="I232" si="379">F232-H232</f>
        <v>0</v>
      </c>
      <c r="J232" s="65">
        <f t="shared" ref="J232" si="380">IFERROR(I232/F232,0)</f>
        <v>0</v>
      </c>
      <c r="K232" s="198">
        <f>IFERROR(VLOOKUP(B232,'WIP - Paste Data'!B:E,4,FALSE),"")</f>
        <v>410.38</v>
      </c>
      <c r="L232" s="64"/>
      <c r="M232" s="64"/>
      <c r="N232" s="66"/>
      <c r="O232" s="66"/>
      <c r="P232" s="189">
        <f>IFERROR(VLOOKUP(B232,'JTD Paste Data'!A:B,2,FALSE),"0")</f>
        <v>410.38</v>
      </c>
      <c r="Q232" s="189">
        <f t="shared" ref="Q232" si="381">SUM(P232+L232)</f>
        <v>410.38</v>
      </c>
      <c r="R232" s="189">
        <f>IFERROR(VLOOKUP(B232,'JTD Paste Data'!A:C,3,FALSE),"0")</f>
        <v>323.91000000000003</v>
      </c>
      <c r="S232" s="189">
        <f t="shared" ref="S232" si="382">SUM(R232+M232)</f>
        <v>323.91000000000003</v>
      </c>
      <c r="T232" s="189">
        <f t="shared" ref="T232" si="383">SUM(Q232-S232)</f>
        <v>86.46999999999997</v>
      </c>
      <c r="U232" s="193">
        <f t="shared" ref="U232" si="384">IFERROR(T232/Q232,0)</f>
        <v>0.21070714947122174</v>
      </c>
    </row>
    <row r="233" spans="1:21" x14ac:dyDescent="0.25">
      <c r="A233" s="54" t="str">
        <f>VLOOKUP(B233,'SAP Contracts'!A:J,10,FALSE)</f>
        <v>Clackamas County - Hwy 213 and Carus</v>
      </c>
      <c r="B233" s="54">
        <f>VLOOKUP(C233,'Active North Sky Projects'!C:D,2,FALSE)</f>
        <v>21511</v>
      </c>
      <c r="C233" s="108" t="s">
        <v>1009</v>
      </c>
      <c r="D233" s="225" t="str">
        <f>IFERROR(VLOOKUP(B233,'MTD Hours Paste Data'!A:C,3,FALSE),"")</f>
        <v/>
      </c>
      <c r="E233" s="64">
        <f>IFERROR(VLOOKUP(B233,'ACDOCA - Paste Data'!B:G,6,FALSE),0)</f>
        <v>0</v>
      </c>
      <c r="F233" s="64">
        <f t="shared" si="366"/>
        <v>0</v>
      </c>
      <c r="G233" s="64">
        <f>IFERROR(VLOOKUP(B233,'ACDOCA - Paste Data'!B:H,7,FALSE),0)</f>
        <v>0</v>
      </c>
      <c r="H233" s="64">
        <f t="shared" si="367"/>
        <v>0</v>
      </c>
      <c r="I233" s="64">
        <f t="shared" si="368"/>
        <v>0</v>
      </c>
      <c r="J233" s="65">
        <f t="shared" si="361"/>
        <v>0</v>
      </c>
      <c r="K233" s="198" t="str">
        <f>IFERROR(VLOOKUP(B233,'WIP - Paste Data'!B:E,4,FALSE),"")</f>
        <v/>
      </c>
      <c r="L233" s="64"/>
      <c r="M233" s="64"/>
      <c r="N233" s="66"/>
      <c r="O233" s="66"/>
      <c r="P233" s="189" t="str">
        <f>IFERROR(VLOOKUP(B233,'JTD Paste Data'!A:B,2,FALSE),"0")</f>
        <v>0</v>
      </c>
      <c r="Q233" s="189">
        <f t="shared" si="369"/>
        <v>0</v>
      </c>
      <c r="R233" s="189" t="str">
        <f>IFERROR(VLOOKUP(B233,'JTD Paste Data'!A:C,3,FALSE),"0")</f>
        <v>0</v>
      </c>
      <c r="S233" s="189">
        <f t="shared" si="370"/>
        <v>0</v>
      </c>
      <c r="T233" s="189">
        <f t="shared" si="371"/>
        <v>0</v>
      </c>
      <c r="U233" s="193">
        <f t="shared" si="372"/>
        <v>0</v>
      </c>
    </row>
    <row r="234" spans="1:21" x14ac:dyDescent="0.25">
      <c r="A234" s="54" t="str">
        <f>VLOOKUP(B234,'SAP Contracts'!A:J,10,FALSE)</f>
        <v>Clackamas County-Marmot Road</v>
      </c>
      <c r="B234" s="54">
        <f>VLOOKUP(C234,'Active North Sky Projects'!C:D,2,FALSE)</f>
        <v>21494</v>
      </c>
      <c r="C234" s="108" t="s">
        <v>321</v>
      </c>
      <c r="D234" s="225">
        <f>IFERROR(VLOOKUP(B234,'MTD Hours Paste Data'!A:C,3,FALSE),"")</f>
        <v>182.7</v>
      </c>
      <c r="E234" s="64">
        <f>IFERROR(VLOOKUP(B234,'ACDOCA - Paste Data'!B:G,6,FALSE),0)</f>
        <v>63634.1</v>
      </c>
      <c r="F234" s="64">
        <f t="shared" si="366"/>
        <v>63634.1</v>
      </c>
      <c r="G234" s="64">
        <f>IFERROR(VLOOKUP(B234,'ACDOCA - Paste Data'!B:H,7,FALSE),0)</f>
        <v>28569.1</v>
      </c>
      <c r="H234" s="64">
        <f t="shared" si="367"/>
        <v>28569.1</v>
      </c>
      <c r="I234" s="64">
        <f t="shared" si="368"/>
        <v>35065</v>
      </c>
      <c r="J234" s="65">
        <f t="shared" si="361"/>
        <v>0.55104102988806314</v>
      </c>
      <c r="K234" s="198">
        <f>IFERROR(VLOOKUP(B234,'WIP - Paste Data'!B:E,4,FALSE),"")</f>
        <v>499096.95</v>
      </c>
      <c r="L234" s="64"/>
      <c r="M234" s="64"/>
      <c r="N234" s="66"/>
      <c r="O234" s="66"/>
      <c r="P234" s="189">
        <f>IFERROR(VLOOKUP(B234,'JTD Paste Data'!A:B,2,FALSE),"0")</f>
        <v>2807096.3</v>
      </c>
      <c r="Q234" s="189">
        <f t="shared" si="369"/>
        <v>2807096.3</v>
      </c>
      <c r="R234" s="189">
        <f>IFERROR(VLOOKUP(B234,'JTD Paste Data'!A:C,3,FALSE),"0")</f>
        <v>2474810.62</v>
      </c>
      <c r="S234" s="189">
        <f t="shared" si="370"/>
        <v>2474810.62</v>
      </c>
      <c r="T234" s="189">
        <f t="shared" si="371"/>
        <v>332285.6799999997</v>
      </c>
      <c r="U234" s="193">
        <f t="shared" si="372"/>
        <v>0.1183734523108451</v>
      </c>
    </row>
    <row r="235" spans="1:21" x14ac:dyDescent="0.25">
      <c r="A235" s="54" t="str">
        <f>VLOOKUP(B235,'SAP Contracts'!A:J,10,FALSE)</f>
        <v>Clark PUD - Jones Substation</v>
      </c>
      <c r="B235" s="54">
        <f>VLOOKUP(C235,'Active North Sky Projects'!C:D,2,FALSE)</f>
        <v>21303</v>
      </c>
      <c r="C235" s="107" t="s">
        <v>1045</v>
      </c>
      <c r="D235" s="225" t="str">
        <f>IFERROR(VLOOKUP(B235,'MTD Hours Paste Data'!A:C,3,FALSE),"")</f>
        <v/>
      </c>
      <c r="E235" s="64">
        <f>IFERROR(VLOOKUP(B235,'ACDOCA - Paste Data'!B:G,6,FALSE),0)</f>
        <v>0</v>
      </c>
      <c r="F235" s="64">
        <f t="shared" si="366"/>
        <v>0</v>
      </c>
      <c r="G235" s="64">
        <f>IFERROR(VLOOKUP(B235,'ACDOCA - Paste Data'!B:H,7,FALSE),0)</f>
        <v>0</v>
      </c>
      <c r="H235" s="64">
        <f t="shared" si="367"/>
        <v>0</v>
      </c>
      <c r="I235" s="64">
        <f t="shared" si="368"/>
        <v>0</v>
      </c>
      <c r="J235" s="65">
        <f t="shared" si="361"/>
        <v>0</v>
      </c>
      <c r="K235" s="198" t="str">
        <f>IFERROR(VLOOKUP(B235,'WIP - Paste Data'!B:E,4,FALSE),"")</f>
        <v/>
      </c>
      <c r="L235" s="64"/>
      <c r="M235" s="64"/>
      <c r="N235" s="66"/>
      <c r="O235" s="66"/>
      <c r="P235" s="189">
        <f>IFERROR(VLOOKUP(B235,'JTD Paste Data'!A:B,2,FALSE),"0")</f>
        <v>560</v>
      </c>
      <c r="Q235" s="189">
        <f t="shared" si="369"/>
        <v>560</v>
      </c>
      <c r="R235" s="189">
        <f>IFERROR(VLOOKUP(B235,'JTD Paste Data'!A:C,3,FALSE),"0")</f>
        <v>243.26999999999998</v>
      </c>
      <c r="S235" s="189">
        <f t="shared" si="370"/>
        <v>243.26999999999998</v>
      </c>
      <c r="T235" s="189">
        <f t="shared" si="371"/>
        <v>316.73</v>
      </c>
      <c r="U235" s="193">
        <f t="shared" si="372"/>
        <v>0.56558928571428579</v>
      </c>
    </row>
    <row r="236" spans="1:21" x14ac:dyDescent="0.25">
      <c r="A236" s="54" t="str">
        <f>VLOOKUP(B236,'SAP Contracts'!A:J,10,FALSE)</f>
        <v>Clark PUD - NE 179th St Fiber Relocation</v>
      </c>
      <c r="B236" s="54">
        <f>VLOOKUP(C236,'Active North Sky Projects'!C:D,2,FALSE)</f>
        <v>21875</v>
      </c>
      <c r="C236" s="107" t="s">
        <v>1094</v>
      </c>
      <c r="D236" s="225" t="str">
        <f>IFERROR(VLOOKUP(B236,'MTD Hours Paste Data'!A:C,3,FALSE),"")</f>
        <v/>
      </c>
      <c r="E236" s="64">
        <f>IFERROR(VLOOKUP(B236,'ACDOCA - Paste Data'!B:G,6,FALSE),0)</f>
        <v>0</v>
      </c>
      <c r="F236" s="64">
        <f t="shared" si="366"/>
        <v>0</v>
      </c>
      <c r="G236" s="64">
        <f>IFERROR(VLOOKUP(B236,'ACDOCA - Paste Data'!B:H,7,FALSE),0)</f>
        <v>0</v>
      </c>
      <c r="H236" s="64">
        <f t="shared" si="367"/>
        <v>0</v>
      </c>
      <c r="I236" s="64">
        <f t="shared" si="368"/>
        <v>0</v>
      </c>
      <c r="J236" s="65">
        <f t="shared" si="361"/>
        <v>0</v>
      </c>
      <c r="K236" s="198" t="str">
        <f>IFERROR(VLOOKUP(B236,'WIP - Paste Data'!B:E,4,FALSE),"")</f>
        <v/>
      </c>
      <c r="L236" s="64"/>
      <c r="P236" s="189">
        <f>IFERROR(VLOOKUP(B236,'JTD Paste Data'!A:B,2,FALSE),"0")</f>
        <v>31298.75</v>
      </c>
      <c r="Q236" s="189">
        <f t="shared" si="369"/>
        <v>31298.75</v>
      </c>
      <c r="R236" s="189">
        <f>IFERROR(VLOOKUP(B236,'JTD Paste Data'!A:C,3,FALSE),"0")</f>
        <v>20578.900000000001</v>
      </c>
      <c r="S236" s="189">
        <f t="shared" si="370"/>
        <v>20578.900000000001</v>
      </c>
      <c r="T236" s="189">
        <f t="shared" si="371"/>
        <v>10719.849999999999</v>
      </c>
      <c r="U236" s="193">
        <f t="shared" si="372"/>
        <v>0.34250089859818678</v>
      </c>
    </row>
    <row r="237" spans="1:21" x14ac:dyDescent="0.25">
      <c r="A237" s="54" t="str">
        <f>VLOOKUP(B237,'SAP Contracts'!A:J,10,FALSE)</f>
        <v>Clark PUD-Small Works Project</v>
      </c>
      <c r="B237" s="54">
        <f>VLOOKUP(C237,'Active North Sky Projects'!C:D,2,FALSE)</f>
        <v>21670</v>
      </c>
      <c r="C237" s="108" t="s">
        <v>42</v>
      </c>
      <c r="D237" s="225">
        <f>IFERROR(VLOOKUP(B237,'MTD Hours Paste Data'!A:C,3,FALSE),"")</f>
        <v>0</v>
      </c>
      <c r="E237" s="64">
        <f>IFERROR(VLOOKUP(B237,'ACDOCA - Paste Data'!B:G,6,FALSE),0)</f>
        <v>0</v>
      </c>
      <c r="F237" s="64">
        <f t="shared" si="366"/>
        <v>0</v>
      </c>
      <c r="G237" s="64">
        <f>IFERROR(VLOOKUP(B237,'ACDOCA - Paste Data'!B:H,7,FALSE),0)</f>
        <v>0</v>
      </c>
      <c r="H237" s="64">
        <f t="shared" si="367"/>
        <v>0</v>
      </c>
      <c r="I237" s="64">
        <f t="shared" si="368"/>
        <v>0</v>
      </c>
      <c r="J237" s="65">
        <f t="shared" si="361"/>
        <v>0</v>
      </c>
      <c r="K237" s="198" t="str">
        <f>IFERROR(VLOOKUP(B237,'WIP - Paste Data'!B:E,4,FALSE),"")</f>
        <v/>
      </c>
      <c r="L237" s="64"/>
      <c r="M237" s="64"/>
      <c r="N237" s="66"/>
      <c r="O237" s="66"/>
      <c r="P237" s="189">
        <f>IFERROR(VLOOKUP(B237,'JTD Paste Data'!A:B,2,FALSE),"0")</f>
        <v>199317.22999999998</v>
      </c>
      <c r="Q237" s="189">
        <f t="shared" si="369"/>
        <v>199317.22999999998</v>
      </c>
      <c r="R237" s="189">
        <f>IFERROR(VLOOKUP(B237,'JTD Paste Data'!A:C,3,FALSE),"0")</f>
        <v>146535.09</v>
      </c>
      <c r="S237" s="189">
        <f t="shared" si="370"/>
        <v>146535.09</v>
      </c>
      <c r="T237" s="189">
        <f t="shared" si="371"/>
        <v>52782.139999999985</v>
      </c>
      <c r="U237" s="193">
        <f t="shared" si="372"/>
        <v>0.26481473779261328</v>
      </c>
    </row>
    <row r="238" spans="1:21" x14ac:dyDescent="0.25">
      <c r="A238" s="54" t="str">
        <f>VLOOKUP(B238,'SAP Contracts'!A:J,10,FALSE)</f>
        <v>Consumer Power - Marval Rd Joint Trench</v>
      </c>
      <c r="B238" s="54">
        <f>VLOOKUP(C238,'Active North Sky Projects'!C:D,2,FALSE)</f>
        <v>21501</v>
      </c>
      <c r="C238" s="108" t="s">
        <v>902</v>
      </c>
      <c r="D238" s="225">
        <f>IFERROR(VLOOKUP(B238,'MTD Hours Paste Data'!A:C,3,FALSE),"")</f>
        <v>0</v>
      </c>
      <c r="E238" s="64">
        <f>IFERROR(VLOOKUP(B238,'ACDOCA - Paste Data'!B:G,6,FALSE),0)</f>
        <v>0</v>
      </c>
      <c r="F238" s="64">
        <f t="shared" si="366"/>
        <v>0</v>
      </c>
      <c r="G238" s="64">
        <f>IFERROR(VLOOKUP(B238,'ACDOCA - Paste Data'!B:H,7,FALSE),0)</f>
        <v>0</v>
      </c>
      <c r="H238" s="64">
        <f t="shared" si="367"/>
        <v>0</v>
      </c>
      <c r="I238" s="64">
        <f t="shared" si="368"/>
        <v>0</v>
      </c>
      <c r="J238" s="65">
        <f t="shared" si="361"/>
        <v>0</v>
      </c>
      <c r="K238" s="198">
        <f>IFERROR(VLOOKUP(B238,'WIP - Paste Data'!B:E,4,FALSE),"")</f>
        <v>70590.600000000006</v>
      </c>
      <c r="L238" s="64"/>
      <c r="M238" s="64"/>
      <c r="N238" s="66"/>
      <c r="O238" s="66"/>
      <c r="P238" s="189">
        <f>IFERROR(VLOOKUP(B238,'JTD Paste Data'!A:B,2,FALSE),"0")</f>
        <v>70590.600000000006</v>
      </c>
      <c r="Q238" s="189">
        <f t="shared" si="369"/>
        <v>70590.600000000006</v>
      </c>
      <c r="R238" s="189">
        <f>IFERROR(VLOOKUP(B238,'JTD Paste Data'!A:C,3,FALSE),"0")</f>
        <v>37746.43</v>
      </c>
      <c r="S238" s="189">
        <f t="shared" si="370"/>
        <v>37746.43</v>
      </c>
      <c r="T238" s="189">
        <f t="shared" si="371"/>
        <v>32844.170000000006</v>
      </c>
      <c r="U238" s="193">
        <f t="shared" si="372"/>
        <v>0.46527682155981109</v>
      </c>
    </row>
    <row r="239" spans="1:21" x14ac:dyDescent="0.25">
      <c r="A239" s="54" t="str">
        <f>VLOOKUP(B239,'SAP Contracts'!A:J,10,FALSE)</f>
        <v>CPI - 17340 Little Lobster Valley Rd</v>
      </c>
      <c r="B239" s="54">
        <f>VLOOKUP(C239,'Active North Sky Projects'!C:D,2,FALSE)</f>
        <v>21220</v>
      </c>
      <c r="C239" s="108" t="s">
        <v>1103</v>
      </c>
      <c r="D239" s="225">
        <f>IFERROR(VLOOKUP(B239,'MTD Hours Paste Data'!A:C,3,FALSE),"")</f>
        <v>0</v>
      </c>
      <c r="E239" s="64">
        <f>IFERROR(VLOOKUP(B239,'ACDOCA - Paste Data'!B:G,6,FALSE),0)</f>
        <v>0</v>
      </c>
      <c r="F239" s="64">
        <f t="shared" si="366"/>
        <v>0</v>
      </c>
      <c r="G239" s="64">
        <f>IFERROR(VLOOKUP(B239,'ACDOCA - Paste Data'!B:H,7,FALSE),0)</f>
        <v>0</v>
      </c>
      <c r="H239" s="64">
        <f t="shared" si="367"/>
        <v>0</v>
      </c>
      <c r="I239" s="64">
        <f t="shared" si="368"/>
        <v>0</v>
      </c>
      <c r="J239" s="65">
        <f t="shared" si="361"/>
        <v>0</v>
      </c>
      <c r="K239" s="198">
        <f>IFERROR(VLOOKUP(B239,'WIP - Paste Data'!B:E,4,FALSE),"")</f>
        <v>19665.5</v>
      </c>
      <c r="L239" s="64"/>
      <c r="M239" s="64"/>
      <c r="N239" s="66"/>
      <c r="O239" s="66"/>
      <c r="P239" s="189">
        <f>IFERROR(VLOOKUP(B239,'JTD Paste Data'!A:B,2,FALSE),"0")</f>
        <v>19665.5</v>
      </c>
      <c r="Q239" s="189">
        <f t="shared" si="369"/>
        <v>19665.5</v>
      </c>
      <c r="R239" s="189">
        <f>IFERROR(VLOOKUP(B239,'JTD Paste Data'!A:C,3,FALSE),"0")</f>
        <v>9634.57</v>
      </c>
      <c r="S239" s="189">
        <f t="shared" si="370"/>
        <v>9634.57</v>
      </c>
      <c r="T239" s="189">
        <f t="shared" si="371"/>
        <v>10030.93</v>
      </c>
      <c r="U239" s="193">
        <f t="shared" si="372"/>
        <v>0.51007754697312557</v>
      </c>
    </row>
    <row r="240" spans="1:21" x14ac:dyDescent="0.25">
      <c r="A240" s="54" t="str">
        <f>VLOOKUP(B240,'SAP Contracts'!A:J,10,FALSE)</f>
        <v>Data Vision-Gervais Splicing</v>
      </c>
      <c r="B240" s="54">
        <f>VLOOKUP(C240,'Active North Sky Projects'!C:D,2,FALSE)</f>
        <v>21517</v>
      </c>
      <c r="C240" s="108" t="s">
        <v>59</v>
      </c>
      <c r="D240" s="225" t="str">
        <f>IFERROR(VLOOKUP(B240,'MTD Hours Paste Data'!A:C,3,FALSE),"")</f>
        <v/>
      </c>
      <c r="E240" s="64">
        <f>IFERROR(VLOOKUP(B240,'ACDOCA - Paste Data'!B:G,6,FALSE),0)</f>
        <v>0</v>
      </c>
      <c r="F240" s="64">
        <f t="shared" si="366"/>
        <v>0</v>
      </c>
      <c r="G240" s="64">
        <f>IFERROR(VLOOKUP(B240,'ACDOCA - Paste Data'!B:H,7,FALSE),0)</f>
        <v>0</v>
      </c>
      <c r="H240" s="64">
        <f t="shared" si="367"/>
        <v>0</v>
      </c>
      <c r="I240" s="64">
        <f t="shared" si="368"/>
        <v>0</v>
      </c>
      <c r="J240" s="65">
        <f t="shared" si="361"/>
        <v>0</v>
      </c>
      <c r="K240" s="198" t="str">
        <f>IFERROR(VLOOKUP(B240,'WIP - Paste Data'!B:E,4,FALSE),"")</f>
        <v/>
      </c>
      <c r="L240" s="64"/>
      <c r="M240" s="64"/>
      <c r="N240" s="66"/>
      <c r="O240" s="66"/>
      <c r="P240" s="189" t="str">
        <f>IFERROR(VLOOKUP(B240,'JTD Paste Data'!A:B,2,FALSE),"0")</f>
        <v>0</v>
      </c>
      <c r="Q240" s="189">
        <f t="shared" si="369"/>
        <v>0</v>
      </c>
      <c r="R240" s="189" t="str">
        <f>IFERROR(VLOOKUP(B240,'JTD Paste Data'!A:C,3,FALSE),"0")</f>
        <v>0</v>
      </c>
      <c r="S240" s="189">
        <f t="shared" si="370"/>
        <v>0</v>
      </c>
      <c r="T240" s="189">
        <f t="shared" si="371"/>
        <v>0</v>
      </c>
      <c r="U240" s="193">
        <f t="shared" si="372"/>
        <v>0</v>
      </c>
    </row>
    <row r="241" spans="1:21" x14ac:dyDescent="0.25">
      <c r="A241" s="54" t="s">
        <v>2946</v>
      </c>
      <c r="B241" s="54">
        <v>22062</v>
      </c>
      <c r="C241" s="108" t="s">
        <v>2715</v>
      </c>
      <c r="D241" s="225" t="str">
        <f>IFERROR(VLOOKUP(B241,'MTD Hours Paste Data'!A:C,3,FALSE),"")</f>
        <v/>
      </c>
      <c r="E241" s="64">
        <f>IFERROR(VLOOKUP(B241,'ACDOCA - Paste Data'!B:G,6,FALSE),0)</f>
        <v>0</v>
      </c>
      <c r="F241" s="64">
        <f t="shared" ref="F241" si="385">E241 +L241</f>
        <v>0</v>
      </c>
      <c r="G241" s="64">
        <f>IFERROR(VLOOKUP(B241,'ACDOCA - Paste Data'!B:H,7,FALSE),0)</f>
        <v>0</v>
      </c>
      <c r="H241" s="64">
        <f t="shared" ref="H241" si="386">G241+M241</f>
        <v>0</v>
      </c>
      <c r="I241" s="64">
        <f t="shared" ref="I241" si="387">F241-H241</f>
        <v>0</v>
      </c>
      <c r="J241" s="65">
        <f t="shared" ref="J241" si="388">IFERROR(I241/F241,0)</f>
        <v>0</v>
      </c>
      <c r="K241" s="198" t="str">
        <f>IFERROR(VLOOKUP(B241,'WIP - Paste Data'!B:E,4,FALSE),"")</f>
        <v/>
      </c>
      <c r="L241" s="64"/>
      <c r="M241" s="64"/>
      <c r="N241" s="66"/>
      <c r="O241" s="66"/>
      <c r="P241" s="189">
        <f>IFERROR(VLOOKUP(B241,'JTD Paste Data'!A:B,2,FALSE),"0")</f>
        <v>3870</v>
      </c>
      <c r="Q241" s="189">
        <f t="shared" ref="Q241" si="389">SUM(P241+L241)</f>
        <v>3870</v>
      </c>
      <c r="R241" s="189">
        <f>IFERROR(VLOOKUP(B241,'JTD Paste Data'!A:C,3,FALSE),"0")</f>
        <v>842.03</v>
      </c>
      <c r="S241" s="189">
        <f t="shared" ref="S241" si="390">SUM(R241+M241)</f>
        <v>842.03</v>
      </c>
      <c r="T241" s="189">
        <f t="shared" ref="T241" si="391">SUM(Q241-S241)</f>
        <v>3027.9700000000003</v>
      </c>
      <c r="U241" s="193">
        <f t="shared" ref="U241" si="392">IFERROR(T241/Q241,0)</f>
        <v>0.78242118863049104</v>
      </c>
    </row>
    <row r="242" spans="1:21" x14ac:dyDescent="0.25">
      <c r="A242" s="54" t="str">
        <f>VLOOKUP(B242,'SAP Contracts'!A:J,10,FALSE)</f>
        <v>Oregon Tel - Long Creek to Monument</v>
      </c>
      <c r="B242" s="54">
        <f>VLOOKUP(C242,'Active North Sky Projects'!C:D,2,FALSE)</f>
        <v>21210</v>
      </c>
      <c r="C242" s="108" t="s">
        <v>928</v>
      </c>
      <c r="D242" s="225">
        <f>IFERROR(VLOOKUP(B242,'MTD Hours Paste Data'!A:C,3,FALSE),"")</f>
        <v>581.28</v>
      </c>
      <c r="E242" s="64">
        <f>IFERROR(VLOOKUP(B242,'ACDOCA - Paste Data'!B:G,6,FALSE),0)</f>
        <v>117140.71</v>
      </c>
      <c r="F242" s="64">
        <f t="shared" si="366"/>
        <v>117140.71</v>
      </c>
      <c r="G242" s="64">
        <f>IFERROR(VLOOKUP(B242,'ACDOCA - Paste Data'!B:H,7,FALSE),0)</f>
        <v>92008.38</v>
      </c>
      <c r="H242" s="64">
        <f t="shared" si="367"/>
        <v>92008.38</v>
      </c>
      <c r="I242" s="64">
        <f t="shared" si="368"/>
        <v>25132.33</v>
      </c>
      <c r="J242" s="65">
        <f t="shared" si="361"/>
        <v>0.21454821299956267</v>
      </c>
      <c r="K242" s="198">
        <f>IFERROR(VLOOKUP(B242,'WIP - Paste Data'!B:E,4,FALSE),"")</f>
        <v>1775752.9699999997</v>
      </c>
      <c r="L242" s="64"/>
      <c r="M242" s="64"/>
      <c r="N242" s="66"/>
      <c r="O242" s="66"/>
      <c r="P242" s="189">
        <f>IFERROR(VLOOKUP(B242,'JTD Paste Data'!A:B,2,FALSE),"0")</f>
        <v>3210831.08</v>
      </c>
      <c r="Q242" s="189">
        <f t="shared" si="369"/>
        <v>3210831.08</v>
      </c>
      <c r="R242" s="189">
        <f>IFERROR(VLOOKUP(B242,'JTD Paste Data'!A:C,3,FALSE),"0")</f>
        <v>2376901.42</v>
      </c>
      <c r="S242" s="189">
        <f t="shared" si="370"/>
        <v>2376901.42</v>
      </c>
      <c r="T242" s="189">
        <f t="shared" si="371"/>
        <v>833929.66000000015</v>
      </c>
      <c r="U242" s="193">
        <f t="shared" si="372"/>
        <v>0.25972392792460453</v>
      </c>
    </row>
    <row r="243" spans="1:21" x14ac:dyDescent="0.25">
      <c r="A243" s="54" t="str">
        <f>VLOOKUP(B243,'SAP Contracts'!A:J,10,FALSE)</f>
        <v>Oregon Tel - Mega Loads</v>
      </c>
      <c r="B243" s="54">
        <f>VLOOKUP(C243,'Active North Sky Projects'!C:D,2,FALSE)</f>
        <v>21095</v>
      </c>
      <c r="C243" s="107" t="s">
        <v>598</v>
      </c>
      <c r="D243" s="225" t="str">
        <f>IFERROR(VLOOKUP(B243,'MTD Hours Paste Data'!A:C,3,FALSE),"")</f>
        <v/>
      </c>
      <c r="E243" s="64">
        <f>IFERROR(VLOOKUP(B243,'ACDOCA - Paste Data'!B:G,6,FALSE),0)</f>
        <v>0</v>
      </c>
      <c r="F243" s="64">
        <f t="shared" si="366"/>
        <v>0</v>
      </c>
      <c r="G243" s="64">
        <f>IFERROR(VLOOKUP(B243,'ACDOCA - Paste Data'!B:H,7,FALSE),0)</f>
        <v>0</v>
      </c>
      <c r="H243" s="64">
        <f t="shared" si="367"/>
        <v>0</v>
      </c>
      <c r="I243" s="64">
        <f t="shared" si="368"/>
        <v>0</v>
      </c>
      <c r="J243" s="65">
        <f t="shared" si="361"/>
        <v>0</v>
      </c>
      <c r="K243" s="198" t="str">
        <f>IFERROR(VLOOKUP(B243,'WIP - Paste Data'!B:E,4,FALSE),"")</f>
        <v/>
      </c>
      <c r="L243" s="64"/>
      <c r="M243" s="64"/>
      <c r="N243" s="66"/>
      <c r="O243" s="66"/>
      <c r="P243" s="189" t="str">
        <f>IFERROR(VLOOKUP(B243,'JTD Paste Data'!A:B,2,FALSE),"0")</f>
        <v>0</v>
      </c>
      <c r="Q243" s="189">
        <f t="shared" si="369"/>
        <v>0</v>
      </c>
      <c r="R243" s="189" t="str">
        <f>IFERROR(VLOOKUP(B243,'JTD Paste Data'!A:C,3,FALSE),"0")</f>
        <v>0</v>
      </c>
      <c r="S243" s="189">
        <f t="shared" si="370"/>
        <v>0</v>
      </c>
      <c r="T243" s="189">
        <f t="shared" si="371"/>
        <v>0</v>
      </c>
      <c r="U243" s="193">
        <f t="shared" si="372"/>
        <v>0</v>
      </c>
    </row>
    <row r="244" spans="1:21" x14ac:dyDescent="0.25">
      <c r="A244" s="54" t="s">
        <v>4753</v>
      </c>
      <c r="B244" s="253">
        <v>22098</v>
      </c>
      <c r="C244" s="108" t="s">
        <v>2715</v>
      </c>
      <c r="D244" s="225" t="str">
        <f>IFERROR(VLOOKUP(B244,'MTD Hours Paste Data'!A:C,3,FALSE),"")</f>
        <v/>
      </c>
      <c r="E244" s="64">
        <f>IFERROR(VLOOKUP(B244,'ACDOCA - Paste Data'!B:G,6,FALSE),0)</f>
        <v>0</v>
      </c>
      <c r="F244" s="64">
        <f t="shared" ref="F244" si="393">E244 +L244</f>
        <v>0</v>
      </c>
      <c r="G244" s="64">
        <f>IFERROR(VLOOKUP(B244,'ACDOCA - Paste Data'!B:H,7,FALSE),0)</f>
        <v>-450</v>
      </c>
      <c r="H244" s="64">
        <f t="shared" ref="H244" si="394">G244+M244</f>
        <v>-450</v>
      </c>
      <c r="I244" s="64">
        <f t="shared" ref="I244" si="395">F244-H244</f>
        <v>450</v>
      </c>
      <c r="J244" s="65">
        <f t="shared" ref="J244" si="396">IFERROR(I244/F244,0)</f>
        <v>0</v>
      </c>
      <c r="K244" s="198" t="str">
        <f>IFERROR(VLOOKUP(B244,'WIP - Paste Data'!B:E,4,FALSE),"")</f>
        <v/>
      </c>
      <c r="L244" s="64"/>
      <c r="M244" s="64"/>
      <c r="N244" s="66"/>
      <c r="O244" s="66"/>
      <c r="P244" s="189">
        <f>IFERROR(VLOOKUP(B244,'JTD Paste Data'!A:B,2,FALSE),"0")</f>
        <v>0</v>
      </c>
      <c r="Q244" s="189">
        <f t="shared" ref="Q244" si="397">SUM(P244+L244)</f>
        <v>0</v>
      </c>
      <c r="R244" s="189">
        <f>IFERROR(VLOOKUP(B244,'JTD Paste Data'!A:C,3,FALSE),"0")</f>
        <v>-450</v>
      </c>
      <c r="S244" s="189">
        <f t="shared" ref="S244" si="398">SUM(R244+M244)</f>
        <v>-450</v>
      </c>
      <c r="T244" s="189">
        <f t="shared" ref="T244" si="399">SUM(Q244-S244)</f>
        <v>450</v>
      </c>
      <c r="U244" s="193">
        <f t="shared" ref="U244" si="400">IFERROR(T244/Q244,0)</f>
        <v>0</v>
      </c>
    </row>
    <row r="245" spans="1:21" x14ac:dyDescent="0.25">
      <c r="A245" s="54" t="str">
        <f>VLOOKUP(B245,'SAP Contracts'!A:J,10,FALSE)</f>
        <v>PGE - Salem Fiber Reclosure</v>
      </c>
      <c r="B245" s="54">
        <v>21902</v>
      </c>
      <c r="C245" s="107" t="s">
        <v>1706</v>
      </c>
      <c r="D245" s="225" t="str">
        <f>IFERROR(VLOOKUP(B245,'MTD Hours Paste Data'!A:C,3,FALSE),"")</f>
        <v/>
      </c>
      <c r="E245" s="64">
        <f>IFERROR(VLOOKUP(B245,'ACDOCA - Paste Data'!B:G,6,FALSE),0)</f>
        <v>0</v>
      </c>
      <c r="F245" s="64">
        <f t="shared" ref="F245" si="401">E245 +L245</f>
        <v>0</v>
      </c>
      <c r="G245" s="64">
        <f>IFERROR(VLOOKUP(B245,'ACDOCA - Paste Data'!B:H,7,FALSE),0)</f>
        <v>0</v>
      </c>
      <c r="H245" s="64">
        <f t="shared" ref="H245" si="402">G245+M245</f>
        <v>0</v>
      </c>
      <c r="I245" s="64">
        <f t="shared" ref="I245" si="403">F245-H245</f>
        <v>0</v>
      </c>
      <c r="J245" s="65">
        <f t="shared" ref="J245" si="404">IFERROR(I245/F245,0)</f>
        <v>0</v>
      </c>
      <c r="K245" s="198" t="str">
        <f>IFERROR(VLOOKUP(B245,'WIP - Paste Data'!B:E,4,FALSE),"")</f>
        <v/>
      </c>
      <c r="L245" s="64"/>
      <c r="M245" s="64"/>
      <c r="N245" s="66"/>
      <c r="O245" s="66"/>
      <c r="P245" s="189">
        <f>IFERROR(VLOOKUP(B245,'JTD Paste Data'!A:B,2,FALSE),"0")</f>
        <v>8786</v>
      </c>
      <c r="Q245" s="189">
        <f t="shared" ref="Q245" si="405">SUM(P245+L245)</f>
        <v>8786</v>
      </c>
      <c r="R245" s="189">
        <f>IFERROR(VLOOKUP(B245,'JTD Paste Data'!A:C,3,FALSE),"0")</f>
        <v>3392.12</v>
      </c>
      <c r="S245" s="189">
        <f t="shared" ref="S245" si="406">SUM(R245+M245)</f>
        <v>3392.12</v>
      </c>
      <c r="T245" s="189">
        <f t="shared" ref="T245" si="407">SUM(Q245-S245)</f>
        <v>5393.88</v>
      </c>
      <c r="U245" s="193">
        <f t="shared" ref="U245" si="408">IFERROR(T245/Q245,0)</f>
        <v>0.61391759617573416</v>
      </c>
    </row>
    <row r="246" spans="1:21" x14ac:dyDescent="0.25">
      <c r="A246" s="54" t="str">
        <f>VLOOKUP(B246,'SAP Contracts'!A:J,10,FALSE)</f>
        <v>Pioneer - Reconnect 3 - Phase 1</v>
      </c>
      <c r="B246" s="54">
        <f>VLOOKUP(C246,'Active North Sky Projects'!C:D,2,FALSE)</f>
        <v>21173</v>
      </c>
      <c r="C246" s="108" t="s">
        <v>143</v>
      </c>
      <c r="D246" s="225">
        <f>IFERROR(VLOOKUP(B246,'MTD Hours Paste Data'!A:C,3,FALSE),"")</f>
        <v>78.680000000000007</v>
      </c>
      <c r="E246" s="64">
        <f>IFERROR(VLOOKUP(B246,'ACDOCA - Paste Data'!B:G,6,FALSE),0)</f>
        <v>5552.48</v>
      </c>
      <c r="F246" s="64">
        <f t="shared" si="366"/>
        <v>5552.48</v>
      </c>
      <c r="G246" s="64">
        <f>IFERROR(VLOOKUP(B246,'ACDOCA - Paste Data'!B:H,7,FALSE),0)</f>
        <v>10493.35</v>
      </c>
      <c r="H246" s="64">
        <f t="shared" si="367"/>
        <v>10493.35</v>
      </c>
      <c r="I246" s="64">
        <f t="shared" si="368"/>
        <v>-4940.8700000000008</v>
      </c>
      <c r="J246" s="65">
        <f t="shared" si="361"/>
        <v>-0.88984922052848481</v>
      </c>
      <c r="K246" s="198">
        <f>IFERROR(VLOOKUP(B246,'WIP - Paste Data'!B:E,4,FALSE),"")</f>
        <v>78042.58</v>
      </c>
      <c r="L246" s="64"/>
      <c r="M246" s="64"/>
      <c r="N246" s="66"/>
      <c r="O246" s="66"/>
      <c r="P246" s="189">
        <f>IFERROR(VLOOKUP(B246,'JTD Paste Data'!A:B,2,FALSE),"0")</f>
        <v>13192230.43</v>
      </c>
      <c r="Q246" s="189">
        <f t="shared" si="369"/>
        <v>13192230.43</v>
      </c>
      <c r="R246" s="189">
        <f>IFERROR(VLOOKUP(B246,'JTD Paste Data'!A:C,3,FALSE),"0")</f>
        <v>10992077.99</v>
      </c>
      <c r="S246" s="189">
        <f t="shared" si="370"/>
        <v>10992077.99</v>
      </c>
      <c r="T246" s="189">
        <f t="shared" si="371"/>
        <v>2200152.4399999995</v>
      </c>
      <c r="U246" s="193">
        <f t="shared" si="372"/>
        <v>0.16677638036072415</v>
      </c>
    </row>
    <row r="247" spans="1:21" x14ac:dyDescent="0.25">
      <c r="A247" s="54" t="str">
        <f>VLOOKUP(B247,'SAP Contracts'!A:J,10,FALSE)</f>
        <v>Pioneer - Reconnect 3 - Phase 2</v>
      </c>
      <c r="B247" s="54">
        <f>VLOOKUP(C247,'Active North Sky Projects'!C:D,2,FALSE)</f>
        <v>21197</v>
      </c>
      <c r="C247" s="108" t="s">
        <v>182</v>
      </c>
      <c r="D247" s="225">
        <f>IFERROR(VLOOKUP(B247,'MTD Hours Paste Data'!A:C,3,FALSE),"")</f>
        <v>350.64</v>
      </c>
      <c r="E247" s="64">
        <f>IFERROR(VLOOKUP(B247,'ACDOCA - Paste Data'!B:G,6,FALSE),0)</f>
        <v>44700.07</v>
      </c>
      <c r="F247" s="64">
        <f t="shared" si="366"/>
        <v>44700.07</v>
      </c>
      <c r="G247" s="64">
        <f>IFERROR(VLOOKUP(B247,'ACDOCA - Paste Data'!B:H,7,FALSE),0)</f>
        <v>58929.53</v>
      </c>
      <c r="H247" s="64">
        <f t="shared" si="367"/>
        <v>58929.53</v>
      </c>
      <c r="I247" s="64">
        <f t="shared" si="368"/>
        <v>-14229.46</v>
      </c>
      <c r="J247" s="65">
        <f t="shared" si="361"/>
        <v>-0.31833193997235348</v>
      </c>
      <c r="K247" s="198">
        <f>IFERROR(VLOOKUP(B247,'WIP - Paste Data'!B:E,4,FALSE),"")</f>
        <v>1347980.4300000002</v>
      </c>
      <c r="L247" s="64"/>
      <c r="M247" s="64"/>
      <c r="N247" s="66"/>
      <c r="O247" s="66"/>
      <c r="P247" s="189">
        <f>IFERROR(VLOOKUP(B247,'JTD Paste Data'!A:B,2,FALSE),"0")</f>
        <v>10254518.15</v>
      </c>
      <c r="Q247" s="189">
        <f t="shared" si="369"/>
        <v>10254518.15</v>
      </c>
      <c r="R247" s="189">
        <f>IFERROR(VLOOKUP(B247,'JTD Paste Data'!A:C,3,FALSE),"0")</f>
        <v>8508944.1500000004</v>
      </c>
      <c r="S247" s="189">
        <f t="shared" si="370"/>
        <v>8508944.1500000004</v>
      </c>
      <c r="T247" s="189">
        <f t="shared" si="371"/>
        <v>1745574</v>
      </c>
      <c r="U247" s="193">
        <f t="shared" si="372"/>
        <v>0.17022486814751017</v>
      </c>
    </row>
    <row r="248" spans="1:21" x14ac:dyDescent="0.25">
      <c r="A248" s="54" t="s">
        <v>2733</v>
      </c>
      <c r="B248" s="54">
        <v>21957</v>
      </c>
      <c r="C248" s="108" t="s">
        <v>2715</v>
      </c>
      <c r="D248" s="225" t="str">
        <f>IFERROR(VLOOKUP(B248,'MTD Hours Paste Data'!A:C,3,FALSE),"")</f>
        <v/>
      </c>
      <c r="E248" s="64">
        <f>IFERROR(VLOOKUP(B248,'ACDOCA - Paste Data'!B:G,6,FALSE),0)</f>
        <v>0</v>
      </c>
      <c r="F248" s="64">
        <f t="shared" ref="F248" si="409">E248 +L248</f>
        <v>0</v>
      </c>
      <c r="G248" s="64">
        <f>IFERROR(VLOOKUP(B248,'ACDOCA - Paste Data'!B:H,7,FALSE),0)</f>
        <v>0</v>
      </c>
      <c r="H248" s="64">
        <f t="shared" ref="H248" si="410">G248+M248</f>
        <v>0</v>
      </c>
      <c r="I248" s="64">
        <f t="shared" ref="I248" si="411">F248-H248</f>
        <v>0</v>
      </c>
      <c r="J248" s="65">
        <f t="shared" ref="J248" si="412">IFERROR(I248/F248,0)</f>
        <v>0</v>
      </c>
      <c r="K248" s="198">
        <f>IFERROR(VLOOKUP(B248,'WIP - Paste Data'!B:E,4,FALSE),"")</f>
        <v>4466.3999999999996</v>
      </c>
      <c r="L248" s="64"/>
      <c r="M248" s="64"/>
      <c r="N248" s="66"/>
      <c r="O248" s="66"/>
      <c r="P248" s="189">
        <f>IFERROR(VLOOKUP(B248,'JTD Paste Data'!A:B,2,FALSE),"0")</f>
        <v>4466.3999999999996</v>
      </c>
      <c r="Q248" s="189">
        <f t="shared" si="369"/>
        <v>4466.3999999999996</v>
      </c>
      <c r="R248" s="189">
        <f>IFERROR(VLOOKUP(B248,'JTD Paste Data'!A:C,3,FALSE),"0")</f>
        <v>2389.62</v>
      </c>
      <c r="S248" s="189">
        <f t="shared" si="370"/>
        <v>2389.62</v>
      </c>
      <c r="T248" s="189">
        <f t="shared" si="371"/>
        <v>2076.7799999999997</v>
      </c>
      <c r="U248" s="193">
        <f t="shared" si="372"/>
        <v>0.46497850617947339</v>
      </c>
    </row>
    <row r="249" spans="1:21" x14ac:dyDescent="0.25">
      <c r="A249" s="54" t="str">
        <f>VLOOKUP(B249,'SAP Contracts'!A:J,10,FALSE)</f>
        <v>Port of Woodland-Fiber Optic On Call</v>
      </c>
      <c r="B249" s="54">
        <f>VLOOKUP(C249,'Active North Sky Projects'!C:D,2,FALSE)</f>
        <v>21431</v>
      </c>
      <c r="C249" s="107" t="s">
        <v>342</v>
      </c>
      <c r="D249" s="225" t="str">
        <f>IFERROR(VLOOKUP(B249,'MTD Hours Paste Data'!A:C,3,FALSE),"")</f>
        <v/>
      </c>
      <c r="E249" s="64">
        <f>IFERROR(VLOOKUP(B249,'ACDOCA - Paste Data'!B:G,6,FALSE),0)</f>
        <v>0</v>
      </c>
      <c r="F249" s="64">
        <f t="shared" si="366"/>
        <v>0</v>
      </c>
      <c r="G249" s="64">
        <f>IFERROR(VLOOKUP(B249,'ACDOCA - Paste Data'!B:H,7,FALSE),0)</f>
        <v>0</v>
      </c>
      <c r="H249" s="64">
        <f t="shared" si="367"/>
        <v>0</v>
      </c>
      <c r="I249" s="64">
        <f t="shared" si="368"/>
        <v>0</v>
      </c>
      <c r="J249" s="65">
        <f t="shared" si="361"/>
        <v>0</v>
      </c>
      <c r="K249" s="198" t="str">
        <f>IFERROR(VLOOKUP(B249,'WIP - Paste Data'!B:E,4,FALSE),"")</f>
        <v/>
      </c>
      <c r="L249" s="64"/>
      <c r="M249" s="64"/>
      <c r="N249" s="66"/>
      <c r="O249" s="66"/>
      <c r="P249" s="189">
        <f>IFERROR(VLOOKUP(B249,'JTD Paste Data'!A:B,2,FALSE),"0")</f>
        <v>44934.720000000001</v>
      </c>
      <c r="Q249" s="189">
        <f t="shared" si="369"/>
        <v>44934.720000000001</v>
      </c>
      <c r="R249" s="189">
        <f>IFERROR(VLOOKUP(B249,'JTD Paste Data'!A:C,3,FALSE),"0")</f>
        <v>33346.17</v>
      </c>
      <c r="S249" s="189">
        <f t="shared" si="370"/>
        <v>33346.17</v>
      </c>
      <c r="T249" s="189">
        <f t="shared" si="371"/>
        <v>11588.550000000003</v>
      </c>
      <c r="U249" s="193">
        <f t="shared" si="372"/>
        <v>0.25789745657700774</v>
      </c>
    </row>
    <row r="250" spans="1:21" x14ac:dyDescent="0.25">
      <c r="A250" s="54" t="s">
        <v>2764</v>
      </c>
      <c r="B250" s="54">
        <v>21987</v>
      </c>
      <c r="C250" s="107" t="s">
        <v>2715</v>
      </c>
      <c r="D250" s="225" t="str">
        <f>IFERROR(VLOOKUP(B250,'MTD Hours Paste Data'!A:C,3,FALSE),"")</f>
        <v/>
      </c>
      <c r="E250" s="64">
        <f>IFERROR(VLOOKUP(B250,'ACDOCA - Paste Data'!B:G,6,FALSE),0)</f>
        <v>57469.35</v>
      </c>
      <c r="F250" s="64">
        <f t="shared" ref="F250" si="413">E250 +L250</f>
        <v>57469.35</v>
      </c>
      <c r="G250" s="64">
        <f>IFERROR(VLOOKUP(B250,'ACDOCA - Paste Data'!B:H,7,FALSE),0)</f>
        <v>60781.35</v>
      </c>
      <c r="H250" s="64">
        <f t="shared" ref="H250" si="414">G250+M250</f>
        <v>60781.35</v>
      </c>
      <c r="I250" s="64">
        <f t="shared" ref="I250" si="415">F250-H250</f>
        <v>-3312</v>
      </c>
      <c r="J250" s="65">
        <f t="shared" ref="J250" si="416">IFERROR(I250/F250,0)</f>
        <v>-5.7630719679272517E-2</v>
      </c>
      <c r="K250" s="198">
        <f>IFERROR(VLOOKUP(B250,'WIP - Paste Data'!B:E,4,FALSE),"")</f>
        <v>300311.94999999995</v>
      </c>
      <c r="L250" s="64"/>
      <c r="M250" s="64"/>
      <c r="N250" s="66"/>
      <c r="O250" s="66"/>
      <c r="P250" s="189">
        <f>IFERROR(VLOOKUP(B250,'JTD Paste Data'!A:B,2,FALSE),"0")</f>
        <v>300311.95</v>
      </c>
      <c r="Q250" s="189">
        <f t="shared" ref="Q250" si="417">SUM(P250+L250)</f>
        <v>300311.95</v>
      </c>
      <c r="R250" s="189">
        <f>IFERROR(VLOOKUP(B250,'JTD Paste Data'!A:C,3,FALSE),"0")</f>
        <v>211600.48</v>
      </c>
      <c r="S250" s="189">
        <f t="shared" ref="S250" si="418">SUM(R250+M250)</f>
        <v>211600.48</v>
      </c>
      <c r="T250" s="189">
        <f t="shared" ref="T250" si="419">SUM(Q250-S250)</f>
        <v>88711.47</v>
      </c>
      <c r="U250" s="193">
        <f t="shared" ref="U250" si="420">IFERROR(T250/Q250,0)</f>
        <v>0.29539773558794447</v>
      </c>
    </row>
    <row r="251" spans="1:21" x14ac:dyDescent="0.25">
      <c r="A251" s="54" t="s">
        <v>2750</v>
      </c>
      <c r="B251" s="54">
        <v>21988</v>
      </c>
      <c r="C251" s="107" t="s">
        <v>2715</v>
      </c>
      <c r="D251" s="225" t="str">
        <f>IFERROR(VLOOKUP(B251,'MTD Hours Paste Data'!A:C,3,FALSE),"")</f>
        <v/>
      </c>
      <c r="E251" s="64">
        <f>IFERROR(VLOOKUP(B251,'ACDOCA - Paste Data'!B:G,6,FALSE),0)</f>
        <v>1970</v>
      </c>
      <c r="F251" s="64">
        <f t="shared" ref="F251" si="421">E251 +L251</f>
        <v>1970</v>
      </c>
      <c r="G251" s="64">
        <f>IFERROR(VLOOKUP(B251,'ACDOCA - Paste Data'!B:H,7,FALSE),0)</f>
        <v>2983.62</v>
      </c>
      <c r="H251" s="64">
        <f t="shared" ref="H251" si="422">G251+M251</f>
        <v>2983.62</v>
      </c>
      <c r="I251" s="64">
        <f t="shared" ref="I251" si="423">F251-H251</f>
        <v>-1013.6199999999999</v>
      </c>
      <c r="J251" s="65">
        <f t="shared" ref="J251" si="424">IFERROR(I251/F251,0)</f>
        <v>-0.51452791878172588</v>
      </c>
      <c r="K251" s="198">
        <f>IFERROR(VLOOKUP(B251,'WIP - Paste Data'!B:E,4,FALSE),"")</f>
        <v>76290.600000000006</v>
      </c>
      <c r="L251" s="64"/>
      <c r="M251" s="64"/>
      <c r="N251" s="66"/>
      <c r="O251" s="66"/>
      <c r="P251" s="189">
        <f>IFERROR(VLOOKUP(B251,'JTD Paste Data'!A:B,2,FALSE),"0")</f>
        <v>76290.600000000006</v>
      </c>
      <c r="Q251" s="189">
        <f t="shared" ref="Q251" si="425">SUM(P251+L251)</f>
        <v>76290.600000000006</v>
      </c>
      <c r="R251" s="189">
        <f>IFERROR(VLOOKUP(B251,'JTD Paste Data'!A:C,3,FALSE),"0")</f>
        <v>52100.12</v>
      </c>
      <c r="S251" s="189">
        <f t="shared" ref="S251" si="426">SUM(R251+M251)</f>
        <v>52100.12</v>
      </c>
      <c r="T251" s="189">
        <f t="shared" si="371"/>
        <v>24190.480000000003</v>
      </c>
      <c r="U251" s="193">
        <f t="shared" si="372"/>
        <v>0.31708336282582655</v>
      </c>
    </row>
    <row r="252" spans="1:21" x14ac:dyDescent="0.25">
      <c r="A252" s="54" t="s">
        <v>2749</v>
      </c>
      <c r="B252" s="54">
        <v>21951</v>
      </c>
      <c r="C252" s="107" t="s">
        <v>2715</v>
      </c>
      <c r="D252" s="225" t="str">
        <f>IFERROR(VLOOKUP(B252,'MTD Hours Paste Data'!A:C,3,FALSE),"")</f>
        <v/>
      </c>
      <c r="E252" s="64">
        <f>IFERROR(VLOOKUP(B252,'ACDOCA - Paste Data'!B:G,6,FALSE),0)</f>
        <v>0</v>
      </c>
      <c r="F252" s="64">
        <f t="shared" ref="F252" si="427">E252 +L252</f>
        <v>0</v>
      </c>
      <c r="G252" s="64">
        <f>IFERROR(VLOOKUP(B252,'ACDOCA - Paste Data'!B:H,7,FALSE),0)</f>
        <v>0</v>
      </c>
      <c r="H252" s="64">
        <f t="shared" ref="H252" si="428">G252+M252</f>
        <v>0</v>
      </c>
      <c r="I252" s="64">
        <f t="shared" ref="I252" si="429">F252-H252</f>
        <v>0</v>
      </c>
      <c r="J252" s="65">
        <f t="shared" ref="J252" si="430">IFERROR(I252/F252,0)</f>
        <v>0</v>
      </c>
      <c r="K252" s="198">
        <f>IFERROR(VLOOKUP(B252,'WIP - Paste Data'!B:E,4,FALSE),"")</f>
        <v>11365</v>
      </c>
      <c r="L252" s="64"/>
      <c r="M252" s="64"/>
      <c r="N252" s="66"/>
      <c r="O252" s="66"/>
      <c r="P252" s="189">
        <f>IFERROR(VLOOKUP(B252,'JTD Paste Data'!A:B,2,FALSE),"0")</f>
        <v>11365</v>
      </c>
      <c r="Q252" s="189">
        <f t="shared" ref="Q252" si="431">SUM(P252+L252)</f>
        <v>11365</v>
      </c>
      <c r="R252" s="189">
        <f>IFERROR(VLOOKUP(B252,'JTD Paste Data'!A:C,3,FALSE),"0")</f>
        <v>7064.58</v>
      </c>
      <c r="S252" s="189">
        <f t="shared" ref="S252" si="432">SUM(R252+M252)</f>
        <v>7064.58</v>
      </c>
      <c r="T252" s="189">
        <f t="shared" si="371"/>
        <v>4300.42</v>
      </c>
      <c r="U252" s="193">
        <f t="shared" si="372"/>
        <v>0.37839155301363836</v>
      </c>
    </row>
    <row r="253" spans="1:21" x14ac:dyDescent="0.25">
      <c r="A253" s="54" t="str">
        <f>VLOOKUP(B253,'SAP Contracts'!A:J,10,FALSE)</f>
        <v>QLife-2024 Splicing and Aerial Maintenan</v>
      </c>
      <c r="B253" s="54">
        <f>VLOOKUP(C253,'Active North Sky Projects'!C:D,2,FALSE)</f>
        <v>21463</v>
      </c>
      <c r="C253" s="108" t="s">
        <v>99</v>
      </c>
      <c r="D253" s="225" t="str">
        <f>IFERROR(VLOOKUP(B253,'MTD Hours Paste Data'!A:C,3,FALSE),"")</f>
        <v/>
      </c>
      <c r="E253" s="64">
        <f>IFERROR(VLOOKUP(B253,'ACDOCA - Paste Data'!B:G,6,FALSE),0)</f>
        <v>0</v>
      </c>
      <c r="F253" s="64">
        <f t="shared" si="366"/>
        <v>0</v>
      </c>
      <c r="G253" s="64">
        <f>IFERROR(VLOOKUP(B253,'ACDOCA - Paste Data'!B:H,7,FALSE),0)</f>
        <v>0</v>
      </c>
      <c r="H253" s="64">
        <f t="shared" si="367"/>
        <v>0</v>
      </c>
      <c r="I253" s="64">
        <f t="shared" si="368"/>
        <v>0</v>
      </c>
      <c r="J253" s="65">
        <f t="shared" si="361"/>
        <v>0</v>
      </c>
      <c r="K253" s="198" t="str">
        <f>IFERROR(VLOOKUP(B253,'WIP - Paste Data'!B:E,4,FALSE),"")</f>
        <v/>
      </c>
      <c r="L253" s="64"/>
      <c r="M253" s="64"/>
      <c r="N253" s="66"/>
      <c r="O253" s="66"/>
      <c r="P253" s="189">
        <f>IFERROR(VLOOKUP(B253,'JTD Paste Data'!A:B,2,FALSE),"0")</f>
        <v>131352.58000000002</v>
      </c>
      <c r="Q253" s="189">
        <f t="shared" si="369"/>
        <v>131352.58000000002</v>
      </c>
      <c r="R253" s="189">
        <f>IFERROR(VLOOKUP(B253,'JTD Paste Data'!A:C,3,FALSE),"0")</f>
        <v>106553.62999999999</v>
      </c>
      <c r="S253" s="189">
        <f t="shared" si="370"/>
        <v>106553.62999999999</v>
      </c>
      <c r="T253" s="189">
        <f t="shared" si="371"/>
        <v>24798.950000000026</v>
      </c>
      <c r="U253" s="193">
        <f t="shared" si="372"/>
        <v>0.18879682454657551</v>
      </c>
    </row>
    <row r="254" spans="1:21" x14ac:dyDescent="0.25">
      <c r="A254" s="54" t="s">
        <v>4757</v>
      </c>
      <c r="B254" s="253">
        <v>22952</v>
      </c>
      <c r="C254" s="107" t="s">
        <v>2715</v>
      </c>
      <c r="E254" s="64">
        <f>IFERROR(VLOOKUP(B254,'ACDOCA - Paste Data'!B:G,6,FALSE),0)</f>
        <v>0</v>
      </c>
      <c r="F254" s="64">
        <f t="shared" ref="F254" si="433">E254 +L254</f>
        <v>0</v>
      </c>
      <c r="G254" s="64">
        <f>IFERROR(VLOOKUP(B254,'ACDOCA - Paste Data'!B:H,7,FALSE),0)</f>
        <v>2787.77</v>
      </c>
      <c r="H254" s="64">
        <f t="shared" ref="H254" si="434">G254+M254</f>
        <v>2787.77</v>
      </c>
      <c r="I254" s="64">
        <f t="shared" ref="I254" si="435">F254-H254</f>
        <v>-2787.77</v>
      </c>
      <c r="J254" s="65">
        <f t="shared" ref="J254" si="436">IFERROR(I254/F254,0)</f>
        <v>0</v>
      </c>
      <c r="K254" s="198" t="str">
        <f>IFERROR(VLOOKUP(B254,'WIP - Paste Data'!B:E,4,FALSE),"")</f>
        <v/>
      </c>
      <c r="L254" s="64"/>
      <c r="M254" s="64"/>
      <c r="N254" s="66"/>
      <c r="O254" s="66"/>
      <c r="P254" s="189">
        <f>IFERROR(VLOOKUP(B254,'JTD Paste Data'!A:B,2,FALSE),"0")</f>
        <v>0</v>
      </c>
      <c r="Q254" s="189">
        <f t="shared" ref="Q254" si="437">SUM(P254+L254)</f>
        <v>0</v>
      </c>
      <c r="R254" s="189">
        <f>IFERROR(VLOOKUP(B254,'JTD Paste Data'!A:C,3,FALSE),"0")</f>
        <v>2787.77</v>
      </c>
      <c r="S254" s="189">
        <f t="shared" ref="S254" si="438">SUM(R254+M254)</f>
        <v>2787.77</v>
      </c>
      <c r="T254" s="189">
        <f t="shared" ref="T254" si="439">SUM(Q254-S254)</f>
        <v>-2787.77</v>
      </c>
      <c r="U254" s="193">
        <f t="shared" ref="U254" si="440">IFERROR(T254/Q254,0)</f>
        <v>0</v>
      </c>
    </row>
    <row r="255" spans="1:21" x14ac:dyDescent="0.25">
      <c r="A255" s="54" t="s">
        <v>4756</v>
      </c>
      <c r="B255" s="253">
        <v>22951</v>
      </c>
      <c r="C255" s="107" t="s">
        <v>2715</v>
      </c>
      <c r="D255" s="225" t="str">
        <f>IFERROR(VLOOKUP(B255,'MTD Hours Paste Data'!A:C,3,FALSE),"")</f>
        <v/>
      </c>
      <c r="E255" s="64">
        <f>IFERROR(VLOOKUP(B255,'ACDOCA - Paste Data'!B:G,6,FALSE),0)</f>
        <v>0</v>
      </c>
      <c r="F255" s="64">
        <f t="shared" ref="F255" si="441">E255 +L255</f>
        <v>0</v>
      </c>
      <c r="G255" s="64">
        <f>IFERROR(VLOOKUP(B255,'ACDOCA - Paste Data'!B:H,7,FALSE),0)</f>
        <v>9515.82</v>
      </c>
      <c r="H255" s="64">
        <f t="shared" ref="H255" si="442">G255+M255</f>
        <v>9515.82</v>
      </c>
      <c r="I255" s="64">
        <f t="shared" ref="I255" si="443">F255-H255</f>
        <v>-9515.82</v>
      </c>
      <c r="J255" s="65">
        <f t="shared" ref="J255" si="444">IFERROR(I255/F255,0)</f>
        <v>0</v>
      </c>
      <c r="K255" s="198" t="str">
        <f>IFERROR(VLOOKUP(B255,'WIP - Paste Data'!B:E,4,FALSE),"")</f>
        <v/>
      </c>
      <c r="L255" s="64"/>
      <c r="M255" s="64"/>
      <c r="N255" s="66"/>
      <c r="O255" s="66"/>
      <c r="P255" s="189">
        <f>IFERROR(VLOOKUP(B255,'JTD Paste Data'!A:B,2,FALSE),"0")</f>
        <v>0</v>
      </c>
      <c r="Q255" s="189">
        <f t="shared" ref="Q255" si="445">SUM(P255+L255)</f>
        <v>0</v>
      </c>
      <c r="R255" s="189">
        <f>IFERROR(VLOOKUP(B255,'JTD Paste Data'!A:C,3,FALSE),"0")</f>
        <v>9515.82</v>
      </c>
      <c r="S255" s="189">
        <f t="shared" ref="S255" si="446">SUM(R255+M255)</f>
        <v>9515.82</v>
      </c>
      <c r="T255" s="189">
        <f t="shared" ref="T255" si="447">SUM(Q255-S255)</f>
        <v>-9515.82</v>
      </c>
      <c r="U255" s="193">
        <f t="shared" ref="U255" si="448">IFERROR(T255/Q255,0)</f>
        <v>0</v>
      </c>
    </row>
    <row r="256" spans="1:21" x14ac:dyDescent="0.25">
      <c r="A256" s="54" t="str">
        <f>VLOOKUP(B256,'SAP Contracts'!A:J,10,FALSE)</f>
        <v>Warm Springs - Drops only</v>
      </c>
      <c r="B256" s="54">
        <f>VLOOKUP(C256,'Active North Sky Projects'!C:D,2,FALSE)</f>
        <v>21213</v>
      </c>
      <c r="C256" s="108" t="s">
        <v>857</v>
      </c>
      <c r="D256" s="225" t="str">
        <f>IFERROR(VLOOKUP(B256,'MTD Hours Paste Data'!A:C,3,FALSE),"")</f>
        <v/>
      </c>
      <c r="E256" s="64">
        <f>IFERROR(VLOOKUP(B256,'ACDOCA - Paste Data'!B:G,6,FALSE),0)</f>
        <v>0</v>
      </c>
      <c r="F256" s="64">
        <f t="shared" si="366"/>
        <v>0</v>
      </c>
      <c r="G256" s="64">
        <f>IFERROR(VLOOKUP(B256,'ACDOCA - Paste Data'!B:H,7,FALSE),0)</f>
        <v>29915</v>
      </c>
      <c r="H256" s="64">
        <f t="shared" si="367"/>
        <v>29915</v>
      </c>
      <c r="I256" s="64">
        <f t="shared" si="368"/>
        <v>-29915</v>
      </c>
      <c r="J256" s="65">
        <f t="shared" si="361"/>
        <v>0</v>
      </c>
      <c r="K256" s="198" t="str">
        <f>IFERROR(VLOOKUP(B256,'WIP - Paste Data'!B:E,4,FALSE),"")</f>
        <v/>
      </c>
      <c r="L256" s="64"/>
      <c r="M256" s="64"/>
      <c r="N256" s="66"/>
      <c r="O256" s="66"/>
      <c r="P256" s="189">
        <f>IFERROR(VLOOKUP(B256,'JTD Paste Data'!A:B,2,FALSE),"0")</f>
        <v>0</v>
      </c>
      <c r="Q256" s="189">
        <f t="shared" si="369"/>
        <v>0</v>
      </c>
      <c r="R256" s="189">
        <f>IFERROR(VLOOKUP(B256,'JTD Paste Data'!A:C,3,FALSE),"0")</f>
        <v>29335.11</v>
      </c>
      <c r="S256" s="189">
        <f t="shared" si="370"/>
        <v>29335.11</v>
      </c>
      <c r="T256" s="189">
        <f t="shared" si="371"/>
        <v>-29335.11</v>
      </c>
      <c r="U256" s="193">
        <f t="shared" si="372"/>
        <v>0</v>
      </c>
    </row>
    <row r="257" spans="1:21" ht="15.75" thickBot="1" x14ac:dyDescent="0.3">
      <c r="A257" s="75" t="s">
        <v>112</v>
      </c>
      <c r="B257" s="68" t="s">
        <v>1162</v>
      </c>
      <c r="C257" s="68"/>
      <c r="D257" s="226"/>
      <c r="E257" s="68">
        <f>SUM(E226:E256)</f>
        <v>425913.8</v>
      </c>
      <c r="F257" s="68">
        <f>SUM(F226:F256)</f>
        <v>425913.8</v>
      </c>
      <c r="G257" s="68">
        <f>SUM(G226:G256)</f>
        <v>491179.74000000005</v>
      </c>
      <c r="H257" s="68">
        <f>SUM(H226:H256)</f>
        <v>491179.74000000005</v>
      </c>
      <c r="I257" s="68">
        <f>F257-H257</f>
        <v>-65265.940000000061</v>
      </c>
      <c r="J257" s="69">
        <f t="shared" ref="J257" si="449">IFERROR(I257/F257,0)</f>
        <v>-0.1532374391250062</v>
      </c>
      <c r="K257" s="206">
        <f>SUM(K226:K256)</f>
        <v>6531946.4699999997</v>
      </c>
      <c r="L257" s="68">
        <f>SUM(L226:L256)</f>
        <v>0</v>
      </c>
      <c r="M257" s="68">
        <f>SUM(M226:M256)</f>
        <v>0</v>
      </c>
      <c r="N257" s="68"/>
      <c r="O257" s="68"/>
      <c r="P257" s="68">
        <f>SUM(P226:P256)</f>
        <v>38633171.269999996</v>
      </c>
      <c r="Q257" s="68">
        <f>SUM(Q226:Q256)</f>
        <v>38633171.269999996</v>
      </c>
      <c r="R257" s="68">
        <f>SUM(R226:R256)</f>
        <v>33013641.760000002</v>
      </c>
      <c r="S257" s="68">
        <f>SUM(S226:S256)</f>
        <v>33013641.760000002</v>
      </c>
      <c r="T257" s="68">
        <f>SUM(T226:T256)</f>
        <v>5619529.5099999988</v>
      </c>
      <c r="U257" s="69">
        <f>IFERROR(T257/Q257,0)</f>
        <v>0.14545866480196928</v>
      </c>
    </row>
    <row r="258" spans="1:21" ht="15" x14ac:dyDescent="0.25">
      <c r="A258" s="87"/>
      <c r="B258" s="76"/>
      <c r="C258" s="76"/>
      <c r="D258" s="237"/>
      <c r="E258" s="76"/>
      <c r="F258" s="76"/>
      <c r="G258" s="76"/>
      <c r="H258" s="76"/>
      <c r="I258" s="76"/>
      <c r="J258" s="77"/>
      <c r="K258" s="78"/>
      <c r="L258" s="76"/>
      <c r="M258" s="76"/>
      <c r="N258" s="76"/>
      <c r="O258" s="76"/>
      <c r="P258" s="76"/>
      <c r="Q258" s="76"/>
      <c r="R258" s="76"/>
      <c r="S258" s="76"/>
      <c r="T258" s="76"/>
      <c r="U258" s="77"/>
    </row>
    <row r="259" spans="1:21" s="57" customFormat="1" ht="14.25" x14ac:dyDescent="0.25">
      <c r="A259" s="115" t="s">
        <v>904</v>
      </c>
      <c r="B259" s="115"/>
      <c r="C259" s="115"/>
      <c r="D259" s="238"/>
      <c r="E259" s="53"/>
      <c r="F259" s="53"/>
      <c r="G259" s="52"/>
      <c r="H259" s="52"/>
      <c r="I259" s="52"/>
      <c r="J259" s="52"/>
      <c r="K259" s="210"/>
      <c r="L259" s="52"/>
      <c r="M259" s="52"/>
      <c r="N259" s="52"/>
      <c r="O259" s="52"/>
      <c r="P259" s="52"/>
      <c r="Q259" s="52"/>
      <c r="R259" s="52"/>
      <c r="S259" s="52"/>
      <c r="T259" s="52"/>
      <c r="U259" s="52"/>
    </row>
    <row r="260" spans="1:21" x14ac:dyDescent="0.25">
      <c r="A260" s="54" t="str">
        <f>VLOOKUP(B260,'SAP Contracts'!A:J,10,FALSE)</f>
        <v>Siskiyou Tel - MMBI OSP</v>
      </c>
      <c r="B260" s="54">
        <f>VLOOKUP(C260,'Active North Sky Projects'!C:D,2,FALSE)</f>
        <v>21188</v>
      </c>
      <c r="C260" s="107" t="s">
        <v>574</v>
      </c>
      <c r="D260" s="225">
        <f>IFERROR(VLOOKUP(B260,'MTD Hours Paste Data'!A:C,3,FALSE),"")</f>
        <v>1204.21</v>
      </c>
      <c r="E260" s="64">
        <f>IFERROR(VLOOKUP(B260,'ACDOCA - Paste Data'!B:G,6,FALSE),0)</f>
        <v>454290.63</v>
      </c>
      <c r="F260" s="64">
        <f t="shared" ref="F260:F262" si="450">E260 +L260</f>
        <v>454290.63</v>
      </c>
      <c r="G260" s="64">
        <f>IFERROR(VLOOKUP(B260,'ACDOCA - Paste Data'!B:H,7,FALSE),0)</f>
        <v>389614.34</v>
      </c>
      <c r="H260" s="64">
        <f t="shared" ref="H260:H262" si="451">G260+M260</f>
        <v>389614.34</v>
      </c>
      <c r="I260" s="64">
        <f t="shared" ref="I260:I262" si="452">F260-H260</f>
        <v>64676.289999999979</v>
      </c>
      <c r="J260" s="65">
        <f>IFERROR(I260/F260,0)</f>
        <v>0.14236765129846499</v>
      </c>
      <c r="K260" s="198">
        <f>IFERROR(VLOOKUP(B260,'WIP - Paste Data'!B:E,4,FALSE),"")</f>
        <v>5576088.0899999999</v>
      </c>
      <c r="L260" s="64"/>
      <c r="M260" s="64"/>
      <c r="N260" s="66"/>
      <c r="O260" s="66"/>
      <c r="P260" s="189">
        <f>IFERROR(VLOOKUP(B260,'JTD Paste Data'!A:B,2,FALSE),"0")</f>
        <v>8852969.7199999988</v>
      </c>
      <c r="Q260" s="189">
        <f t="shared" ref="Q260:Q262" si="453">SUM(P260+L260)</f>
        <v>8852969.7199999988</v>
      </c>
      <c r="R260" s="189">
        <f>IFERROR(VLOOKUP(B260,'JTD Paste Data'!A:C,3,FALSE),"0")</f>
        <v>7046167.6100000003</v>
      </c>
      <c r="S260" s="189">
        <f t="shared" ref="S260:S262" si="454">SUM(R260+M260)</f>
        <v>7046167.6100000003</v>
      </c>
      <c r="T260" s="189">
        <f t="shared" ref="T260:T262" si="455">SUM(Q260-S260)</f>
        <v>1806802.1099999985</v>
      </c>
      <c r="U260" s="193">
        <f t="shared" ref="U260:U262" si="456">IFERROR(T260/Q260,0)</f>
        <v>0.20408994576341991</v>
      </c>
    </row>
    <row r="261" spans="1:21" x14ac:dyDescent="0.25">
      <c r="A261" s="54" t="s">
        <v>2771</v>
      </c>
      <c r="B261" s="54">
        <v>21969</v>
      </c>
      <c r="C261" s="107" t="s">
        <v>2715</v>
      </c>
      <c r="D261" s="225" t="str">
        <f>IFERROR(VLOOKUP(B261,'MTD Hours Paste Data'!A:C,3,FALSE),"")</f>
        <v/>
      </c>
      <c r="E261" s="64">
        <f>IFERROR(VLOOKUP(B261,'ACDOCA - Paste Data'!B:G,6,FALSE),0)</f>
        <v>26838.48</v>
      </c>
      <c r="F261" s="64">
        <f t="shared" ref="F261" si="457">E261 +L261</f>
        <v>26838.48</v>
      </c>
      <c r="G261" s="64">
        <f>IFERROR(VLOOKUP(B261,'ACDOCA - Paste Data'!B:H,7,FALSE),0)</f>
        <v>12765.87</v>
      </c>
      <c r="H261" s="64">
        <f t="shared" ref="H261" si="458">G261+M261</f>
        <v>12765.87</v>
      </c>
      <c r="I261" s="64">
        <f t="shared" ref="I261" si="459">F261-H261</f>
        <v>14072.609999999999</v>
      </c>
      <c r="J261" s="65">
        <f>IFERROR(I261/F261,0)</f>
        <v>0.52434452323678538</v>
      </c>
      <c r="K261" s="198">
        <f>IFERROR(VLOOKUP(B261,'WIP - Paste Data'!B:E,4,FALSE),"")</f>
        <v>44113.64</v>
      </c>
      <c r="L261" s="64"/>
      <c r="M261" s="64"/>
      <c r="N261" s="66"/>
      <c r="O261" s="66"/>
      <c r="P261" s="189">
        <f>IFERROR(VLOOKUP(B261,'JTD Paste Data'!A:B,2,FALSE),"0")</f>
        <v>70435.240000000005</v>
      </c>
      <c r="Q261" s="189">
        <f t="shared" ref="Q261" si="460">SUM(P261+L261)</f>
        <v>70435.240000000005</v>
      </c>
      <c r="R261" s="189">
        <f>IFERROR(VLOOKUP(B261,'JTD Paste Data'!A:C,3,FALSE),"0")</f>
        <v>42249.52</v>
      </c>
      <c r="S261" s="189">
        <f t="shared" ref="S261" si="461">SUM(R261+M261)</f>
        <v>42249.52</v>
      </c>
      <c r="T261" s="189">
        <f t="shared" ref="T261" si="462">SUM(Q261-S261)</f>
        <v>28185.720000000008</v>
      </c>
      <c r="U261" s="193">
        <f t="shared" ref="U261" si="463">IFERROR(T261/Q261,0)</f>
        <v>0.40016503102708256</v>
      </c>
    </row>
    <row r="262" spans="1:21" x14ac:dyDescent="0.25">
      <c r="A262" s="54" t="str">
        <f>VLOOKUP(B262,'SAP Contracts'!A:J,10,FALSE)</f>
        <v>Siskiyou Tel - OSP Routine Maint (25-26)</v>
      </c>
      <c r="B262" s="54">
        <f>VLOOKUP(C262,'Active North Sky Projects'!C:D,2,FALSE)</f>
        <v>21114</v>
      </c>
      <c r="C262" s="108" t="s">
        <v>396</v>
      </c>
      <c r="D262" s="225">
        <f>IFERROR(VLOOKUP(B262,'MTD Hours Paste Data'!A:C,3,FALSE),"")</f>
        <v>607.4</v>
      </c>
      <c r="E262" s="64">
        <f>IFERROR(VLOOKUP(B262,'ACDOCA - Paste Data'!B:G,6,FALSE),0)</f>
        <v>77425.2</v>
      </c>
      <c r="F262" s="64">
        <f t="shared" si="450"/>
        <v>77425.2</v>
      </c>
      <c r="G262" s="64">
        <f>IFERROR(VLOOKUP(B262,'ACDOCA - Paste Data'!B:H,7,FALSE),0)</f>
        <v>51498.28</v>
      </c>
      <c r="H262" s="64">
        <f t="shared" si="451"/>
        <v>51498.28</v>
      </c>
      <c r="I262" s="64">
        <f t="shared" si="452"/>
        <v>25926.92</v>
      </c>
      <c r="J262" s="65">
        <f>IFERROR(I262/F262,0)</f>
        <v>0.33486410109370074</v>
      </c>
      <c r="K262" s="198">
        <f>IFERROR(VLOOKUP(B262,'WIP - Paste Data'!B:E,4,FALSE),"")</f>
        <v>133911.20000000001</v>
      </c>
      <c r="L262" s="64"/>
      <c r="M262" s="64"/>
      <c r="N262" s="66"/>
      <c r="O262" s="66"/>
      <c r="P262" s="189">
        <f>IFERROR(VLOOKUP(B262,'JTD Paste Data'!A:B,2,FALSE),"0")</f>
        <v>3042755.34</v>
      </c>
      <c r="Q262" s="189">
        <f t="shared" si="453"/>
        <v>3042755.34</v>
      </c>
      <c r="R262" s="189">
        <f>IFERROR(VLOOKUP(B262,'JTD Paste Data'!A:C,3,FALSE),"0")</f>
        <v>2558500.7400000002</v>
      </c>
      <c r="S262" s="189">
        <f t="shared" si="454"/>
        <v>2558500.7400000002</v>
      </c>
      <c r="T262" s="189">
        <f t="shared" si="455"/>
        <v>484254.59999999963</v>
      </c>
      <c r="U262" s="193">
        <f t="shared" si="456"/>
        <v>0.15915002880251281</v>
      </c>
    </row>
    <row r="263" spans="1:21" ht="15.75" thickBot="1" x14ac:dyDescent="0.3">
      <c r="A263" s="75" t="s">
        <v>874</v>
      </c>
      <c r="B263" s="68" t="s">
        <v>1164</v>
      </c>
      <c r="C263" s="68"/>
      <c r="D263" s="226"/>
      <c r="E263" s="68">
        <f>SUM(E260:E262)</f>
        <v>558554.30999999994</v>
      </c>
      <c r="F263" s="68">
        <f>SUM(F260:F262)</f>
        <v>558554.30999999994</v>
      </c>
      <c r="G263" s="68">
        <f>SUM(G260:G262)</f>
        <v>453878.49</v>
      </c>
      <c r="H263" s="68">
        <f>SUM(H260:H262)</f>
        <v>453878.49</v>
      </c>
      <c r="I263" s="68">
        <f>F263-H263</f>
        <v>104675.81999999995</v>
      </c>
      <c r="J263" s="69">
        <f t="shared" ref="J263" si="464">IFERROR(I263/F263,0)</f>
        <v>0.187404909649699</v>
      </c>
      <c r="K263" s="206">
        <f>SUM(K260:K262)</f>
        <v>5754112.9299999997</v>
      </c>
      <c r="L263" s="68">
        <f>SUM(L260:L262)</f>
        <v>0</v>
      </c>
      <c r="M263" s="68">
        <f>SUM(M260:M262)</f>
        <v>0</v>
      </c>
      <c r="N263" s="68"/>
      <c r="O263" s="68"/>
      <c r="P263" s="68">
        <f>SUM(P260:P262)</f>
        <v>11966160.299999999</v>
      </c>
      <c r="Q263" s="68">
        <f>SUM(Q260:Q262)</f>
        <v>11966160.299999999</v>
      </c>
      <c r="R263" s="68">
        <f>SUM(R260:R262)</f>
        <v>9646917.870000001</v>
      </c>
      <c r="S263" s="68">
        <f>SUM(S260:S262)</f>
        <v>9646917.870000001</v>
      </c>
      <c r="T263" s="68">
        <f>SUM(T260:T262)</f>
        <v>2319242.4299999978</v>
      </c>
      <c r="U263" s="69">
        <f>IFERROR(T263/Q263,0)</f>
        <v>0.19381676092037628</v>
      </c>
    </row>
    <row r="264" spans="1:21" ht="14.25" x14ac:dyDescent="0.25">
      <c r="A264" s="59"/>
      <c r="B264" s="109"/>
      <c r="C264" s="109"/>
      <c r="D264" s="224"/>
      <c r="E264" s="60"/>
      <c r="F264" s="61"/>
      <c r="G264" s="60"/>
      <c r="H264" s="61"/>
      <c r="I264" s="61"/>
      <c r="J264" s="62"/>
      <c r="K264" s="197"/>
      <c r="L264" s="60"/>
      <c r="M264" s="60"/>
      <c r="N264" s="63"/>
      <c r="O264" s="63"/>
      <c r="P264" s="63"/>
      <c r="Q264" s="63"/>
      <c r="R264" s="63"/>
      <c r="S264" s="63"/>
      <c r="T264" s="63"/>
      <c r="U264" s="63"/>
    </row>
    <row r="265" spans="1:21" ht="15" x14ac:dyDescent="0.25">
      <c r="A265" s="33" t="s">
        <v>1064</v>
      </c>
      <c r="B265" s="126"/>
      <c r="C265" s="126"/>
      <c r="D265" s="233"/>
      <c r="E265" s="29">
        <f>+E211+E224+E257+E263</f>
        <v>1129454.4899999998</v>
      </c>
      <c r="F265" s="29">
        <f>+F211+F224+F257+F263</f>
        <v>1129454.4899999998</v>
      </c>
      <c r="G265" s="29">
        <f>+G211+G224+G257+G263</f>
        <v>1050614.99</v>
      </c>
      <c r="H265" s="29">
        <f>+H211+H224+H257+H263</f>
        <v>1050614.99</v>
      </c>
      <c r="I265" s="29">
        <f>+I211+I224+I257+I263</f>
        <v>78839.499999999884</v>
      </c>
      <c r="J265" s="79">
        <f>IFERROR(I265/F265,0)</f>
        <v>6.9803166659685334E-2</v>
      </c>
      <c r="K265" s="29">
        <f>+K211+K224+K257+K263</f>
        <v>13069164.48</v>
      </c>
      <c r="L265" s="76"/>
      <c r="M265" s="76"/>
      <c r="N265" s="78"/>
      <c r="O265" s="78"/>
      <c r="P265" s="78"/>
      <c r="Q265" s="78"/>
      <c r="R265" s="78"/>
      <c r="S265" s="78"/>
      <c r="T265" s="78"/>
      <c r="U265" s="78"/>
    </row>
    <row r="266" spans="1:21" ht="15" x14ac:dyDescent="0.25">
      <c r="A266" s="17" t="s">
        <v>2977</v>
      </c>
      <c r="B266" s="16"/>
      <c r="C266" s="16"/>
      <c r="D266" s="229"/>
      <c r="E266" s="18"/>
      <c r="F266" s="19">
        <v>3447000</v>
      </c>
      <c r="G266" s="16"/>
      <c r="H266" s="16"/>
      <c r="I266" s="19">
        <v>599860</v>
      </c>
      <c r="J266" s="28">
        <f>IFERROR(I266/F266,0)</f>
        <v>0.17402378880185668</v>
      </c>
      <c r="K266" s="202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 spans="1:21" ht="14.25" customHeight="1" x14ac:dyDescent="0.25">
      <c r="A267" s="125" t="s">
        <v>4759</v>
      </c>
      <c r="B267" s="16"/>
      <c r="C267" s="16"/>
      <c r="D267" s="229"/>
      <c r="E267" s="18"/>
      <c r="F267" s="31">
        <f>IFERROR(F265/F266,0)</f>
        <v>0.32766303742384673</v>
      </c>
      <c r="G267" s="32"/>
      <c r="H267" s="32"/>
      <c r="I267" s="31">
        <f>IFERROR(I265/I266,0)</f>
        <v>0.1314298336278463</v>
      </c>
      <c r="J267" s="16"/>
      <c r="K267" s="203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9" spans="1:21" s="57" customFormat="1" ht="14.25" x14ac:dyDescent="0.25">
      <c r="A269" s="110" t="s">
        <v>1061</v>
      </c>
      <c r="B269" s="110"/>
      <c r="C269" s="110"/>
      <c r="D269" s="236"/>
      <c r="E269" s="131"/>
      <c r="F269" s="131"/>
      <c r="G269" s="132"/>
      <c r="H269" s="132"/>
      <c r="I269" s="132"/>
      <c r="J269" s="132"/>
      <c r="K269" s="209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</row>
    <row r="270" spans="1:21" x14ac:dyDescent="0.25">
      <c r="A270" s="249" t="str">
        <f>VLOOKUP(B270,'SAP Contracts'!A:J,10,FALSE)</f>
        <v>Arcadian - Redwood Segment 5-1</v>
      </c>
      <c r="B270" s="54">
        <f>VLOOKUP(C270,'Active North Sky Projects'!C:D,2,FALSE)</f>
        <v>21484</v>
      </c>
      <c r="C270" s="188" t="s">
        <v>722</v>
      </c>
      <c r="D270" s="225">
        <f>IFERROR(VLOOKUP(B270,'MTD Hours Paste Data'!A:C,3,FALSE),"")</f>
        <v>397.59</v>
      </c>
      <c r="E270" s="246">
        <f>IFERROR(VLOOKUP(B270,'ACDOCA - Paste Data'!B:G,6,FALSE),0)</f>
        <v>1232277</v>
      </c>
      <c r="F270" s="246">
        <f>E270 +L270</f>
        <v>1232277</v>
      </c>
      <c r="G270" s="246">
        <f>IFERROR(VLOOKUP(B270,'ACDOCA - Paste Data'!B:H,7,FALSE),0)</f>
        <v>644247.16</v>
      </c>
      <c r="H270" s="246">
        <f>G270+M270</f>
        <v>644247.16</v>
      </c>
      <c r="I270" s="246">
        <f>F270-H270</f>
        <v>588029.84</v>
      </c>
      <c r="J270" s="247">
        <f>IFERROR(I270/F270,0)</f>
        <v>0.47718965784478651</v>
      </c>
      <c r="K270" s="248">
        <f>IFERROR(VLOOKUP(B270,'WIP - Paste Data'!B:E,4,FALSE),"")</f>
        <v>2798213</v>
      </c>
      <c r="L270" s="64"/>
      <c r="M270" s="64"/>
      <c r="N270" s="66"/>
      <c r="O270" s="66"/>
      <c r="P270" s="189">
        <f>IFERROR(VLOOKUP(B270,'JTD Paste Data'!A:B,2,FALSE),"0")</f>
        <v>2798213</v>
      </c>
      <c r="Q270" s="189">
        <f>SUM(P270+L270)</f>
        <v>2798213</v>
      </c>
      <c r="R270" s="189">
        <f>IFERROR(VLOOKUP(B270,'JTD Paste Data'!A:C,3,FALSE),"0")</f>
        <v>1462570.6500000001</v>
      </c>
      <c r="S270" s="189">
        <f>SUM(R270+M270)</f>
        <v>1462570.6500000001</v>
      </c>
      <c r="T270" s="189">
        <f>SUM(Q270-S270)</f>
        <v>1335642.3499999999</v>
      </c>
      <c r="U270" s="193">
        <f>IFERROR(T270/Q270,0)</f>
        <v>0.47731975728795478</v>
      </c>
    </row>
    <row r="271" spans="1:21" ht="14.25" x14ac:dyDescent="0.25">
      <c r="A271" s="116"/>
      <c r="B271" s="116"/>
      <c r="C271" s="116"/>
      <c r="D271" s="239"/>
      <c r="E271" s="18"/>
      <c r="F271" s="31"/>
      <c r="G271" s="32"/>
      <c r="H271" s="32"/>
      <c r="I271" s="31"/>
      <c r="J271" s="16"/>
      <c r="K271" s="203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 spans="1:21" ht="14.25" x14ac:dyDescent="0.25">
      <c r="A272" s="116" t="s">
        <v>875</v>
      </c>
      <c r="B272" s="116"/>
      <c r="C272" s="116"/>
      <c r="D272" s="239"/>
      <c r="E272" s="18"/>
      <c r="F272" s="31"/>
      <c r="G272" s="32"/>
      <c r="H272" s="32"/>
      <c r="I272" s="31"/>
      <c r="J272" s="16"/>
      <c r="K272" s="203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spans="1:21" x14ac:dyDescent="0.25">
      <c r="A273" s="54" t="str">
        <f>VLOOKUP(B273,'SAP Contracts'!A:J,10,FALSE)</f>
        <v>ATT - A01V1LZ - Palo Alto Pole Transfers</v>
      </c>
      <c r="B273" s="54">
        <f>VLOOKUP(C273,'Active North Sky Projects'!C:D,2,FALSE)</f>
        <v>21056</v>
      </c>
      <c r="C273" s="117" t="s">
        <v>911</v>
      </c>
      <c r="D273" s="225" t="str">
        <f>IFERROR(VLOOKUP(B273,'MTD Hours Paste Data'!A:C,3,FALSE),"")</f>
        <v/>
      </c>
      <c r="E273" s="64">
        <f>IFERROR(VLOOKUP(B273,'ACDOCA - Paste Data'!B:G,6,FALSE),0)</f>
        <v>0</v>
      </c>
      <c r="F273" s="64">
        <f t="shared" ref="F273" si="465">E273 +L273</f>
        <v>0</v>
      </c>
      <c r="G273" s="64">
        <f>IFERROR(VLOOKUP(B273,'ACDOCA - Paste Data'!B:H,7,FALSE),0)</f>
        <v>0</v>
      </c>
      <c r="H273" s="64">
        <f t="shared" ref="H273" si="466">G273+M273</f>
        <v>0</v>
      </c>
      <c r="I273" s="64">
        <f t="shared" ref="I273" si="467">F273-H273</f>
        <v>0</v>
      </c>
      <c r="J273" s="65">
        <f t="shared" ref="J273:J313" si="468">IFERROR(I273/F273,0)</f>
        <v>0</v>
      </c>
      <c r="K273" s="198" t="str">
        <f>IFERROR(VLOOKUP(B273,'WIP - Paste Data'!B:E,4,FALSE),"")</f>
        <v/>
      </c>
      <c r="L273" s="64"/>
      <c r="M273" s="64"/>
      <c r="N273" s="66"/>
      <c r="O273" s="66"/>
      <c r="P273" s="189">
        <f>IFERROR(VLOOKUP(B273,'JTD Paste Data'!A:B,2,FALSE),"0")</f>
        <v>33205.15</v>
      </c>
      <c r="Q273" s="189">
        <f t="shared" ref="Q273" si="469">SUM(P273+L273)</f>
        <v>33205.15</v>
      </c>
      <c r="R273" s="189">
        <f>IFERROR(VLOOKUP(B273,'JTD Paste Data'!A:C,3,FALSE),"0")</f>
        <v>25679.260000000002</v>
      </c>
      <c r="S273" s="189">
        <f t="shared" ref="S273" si="470">SUM(R273+M273)</f>
        <v>25679.260000000002</v>
      </c>
      <c r="T273" s="189">
        <f t="shared" ref="T273" si="471">SUM(Q273-S273)</f>
        <v>7525.8899999999994</v>
      </c>
      <c r="U273" s="193">
        <f t="shared" ref="U273" si="472">IFERROR(T273/Q273,0)</f>
        <v>0.22664827594514703</v>
      </c>
    </row>
    <row r="274" spans="1:21" x14ac:dyDescent="0.25">
      <c r="A274" s="54" t="str">
        <f>VLOOKUP(B274,'SAP Contracts'!A:J,10,FALSE)</f>
        <v>ATT - A01VMCS - Redwood City Pole Transf</v>
      </c>
      <c r="B274" s="54">
        <f>VLOOKUP(C274,'Active North Sky Projects'!C:D,2,FALSE)</f>
        <v>21370</v>
      </c>
      <c r="C274" s="117" t="s">
        <v>912</v>
      </c>
      <c r="D274" s="225" t="str">
        <f>IFERROR(VLOOKUP(B274,'MTD Hours Paste Data'!A:C,3,FALSE),"")</f>
        <v/>
      </c>
      <c r="E274" s="64">
        <f>IFERROR(VLOOKUP(B274,'ACDOCA - Paste Data'!B:G,6,FALSE),0)</f>
        <v>0</v>
      </c>
      <c r="F274" s="64">
        <f t="shared" ref="F274:F335" si="473">E274 +L274</f>
        <v>0</v>
      </c>
      <c r="G274" s="64">
        <f>IFERROR(VLOOKUP(B274,'ACDOCA - Paste Data'!B:H,7,FALSE),0)</f>
        <v>0</v>
      </c>
      <c r="H274" s="64">
        <f t="shared" ref="H274:H335" si="474">G274+M274</f>
        <v>0</v>
      </c>
      <c r="I274" s="64">
        <f t="shared" ref="I274:I335" si="475">F274-H274</f>
        <v>0</v>
      </c>
      <c r="J274" s="65">
        <f t="shared" si="468"/>
        <v>0</v>
      </c>
      <c r="K274" s="198" t="str">
        <f>IFERROR(VLOOKUP(B274,'WIP - Paste Data'!B:E,4,FALSE),"")</f>
        <v/>
      </c>
      <c r="L274" s="64"/>
      <c r="M274" s="64"/>
      <c r="N274" s="66"/>
      <c r="O274" s="66"/>
      <c r="P274" s="189" t="str">
        <f>IFERROR(VLOOKUP(B274,'JTD Paste Data'!A:B,2,FALSE),"0")</f>
        <v>0</v>
      </c>
      <c r="Q274" s="189">
        <f t="shared" ref="Q274:Q334" si="476">SUM(P274+L274)</f>
        <v>0</v>
      </c>
      <c r="R274" s="189" t="str">
        <f>IFERROR(VLOOKUP(B274,'JTD Paste Data'!A:C,3,FALSE),"0")</f>
        <v>0</v>
      </c>
      <c r="S274" s="189">
        <f t="shared" ref="S274:S334" si="477">SUM(R274+M274)</f>
        <v>0</v>
      </c>
      <c r="T274" s="189">
        <f t="shared" ref="T274:T334" si="478">SUM(Q274-S274)</f>
        <v>0</v>
      </c>
      <c r="U274" s="193">
        <f t="shared" ref="U274:U334" si="479">IFERROR(T274/Q274,0)</f>
        <v>0</v>
      </c>
    </row>
    <row r="275" spans="1:21" x14ac:dyDescent="0.25">
      <c r="A275" s="54" t="str">
        <f>VLOOKUP(B275,'SAP Contracts'!A:J,10,FALSE)</f>
        <v>ATT - A020BN7 - Redwood City</v>
      </c>
      <c r="B275" s="54">
        <f>VLOOKUP(C275,'Active North Sky Projects'!C:D,2,FALSE)</f>
        <v>21553</v>
      </c>
      <c r="C275" s="117" t="s">
        <v>967</v>
      </c>
      <c r="D275" s="225" t="str">
        <f>IFERROR(VLOOKUP(B275,'MTD Hours Paste Data'!A:C,3,FALSE),"")</f>
        <v/>
      </c>
      <c r="E275" s="64">
        <f>IFERROR(VLOOKUP(B275,'ACDOCA - Paste Data'!B:G,6,FALSE),0)</f>
        <v>0</v>
      </c>
      <c r="F275" s="64">
        <f t="shared" si="473"/>
        <v>0</v>
      </c>
      <c r="G275" s="64">
        <f>IFERROR(VLOOKUP(B275,'ACDOCA - Paste Data'!B:H,7,FALSE),0)</f>
        <v>0</v>
      </c>
      <c r="H275" s="64">
        <f t="shared" si="474"/>
        <v>0</v>
      </c>
      <c r="I275" s="64">
        <f t="shared" si="475"/>
        <v>0</v>
      </c>
      <c r="J275" s="65">
        <f t="shared" si="468"/>
        <v>0</v>
      </c>
      <c r="K275" s="198" t="str">
        <f>IFERROR(VLOOKUP(B275,'WIP - Paste Data'!B:E,4,FALSE),"")</f>
        <v/>
      </c>
      <c r="L275" s="64"/>
      <c r="M275" s="64"/>
      <c r="N275" s="66"/>
      <c r="O275" s="66"/>
      <c r="P275" s="189" t="str">
        <f>IFERROR(VLOOKUP(B275,'JTD Paste Data'!A:B,2,FALSE),"0")</f>
        <v>0</v>
      </c>
      <c r="Q275" s="189">
        <f t="shared" si="476"/>
        <v>0</v>
      </c>
      <c r="R275" s="189" t="str">
        <f>IFERROR(VLOOKUP(B275,'JTD Paste Data'!A:C,3,FALSE),"0")</f>
        <v>0</v>
      </c>
      <c r="S275" s="189">
        <f t="shared" si="477"/>
        <v>0</v>
      </c>
      <c r="T275" s="189">
        <f t="shared" si="478"/>
        <v>0</v>
      </c>
      <c r="U275" s="193">
        <f t="shared" si="479"/>
        <v>0</v>
      </c>
    </row>
    <row r="276" spans="1:21" x14ac:dyDescent="0.25">
      <c r="A276" s="54" t="str">
        <f>VLOOKUP(B276,'SAP Contracts'!A:J,10,FALSE)</f>
        <v>ATT - A02463N - Redwood City Pole Transf</v>
      </c>
      <c r="B276" s="54">
        <f>VLOOKUP(C276,'Active North Sky Projects'!C:D,2,FALSE)</f>
        <v>21331</v>
      </c>
      <c r="C276" s="117" t="s">
        <v>968</v>
      </c>
      <c r="D276" s="225" t="str">
        <f>IFERROR(VLOOKUP(B276,'MTD Hours Paste Data'!A:C,3,FALSE),"")</f>
        <v/>
      </c>
      <c r="E276" s="64">
        <f>IFERROR(VLOOKUP(B276,'ACDOCA - Paste Data'!B:G,6,FALSE),0)</f>
        <v>0</v>
      </c>
      <c r="F276" s="64">
        <f t="shared" si="473"/>
        <v>0</v>
      </c>
      <c r="G276" s="64">
        <f>IFERROR(VLOOKUP(B276,'ACDOCA - Paste Data'!B:H,7,FALSE),0)</f>
        <v>0</v>
      </c>
      <c r="H276" s="64">
        <f t="shared" si="474"/>
        <v>0</v>
      </c>
      <c r="I276" s="64">
        <f t="shared" si="475"/>
        <v>0</v>
      </c>
      <c r="J276" s="65">
        <f t="shared" si="468"/>
        <v>0</v>
      </c>
      <c r="K276" s="198" t="str">
        <f>IFERROR(VLOOKUP(B276,'WIP - Paste Data'!B:E,4,FALSE),"")</f>
        <v/>
      </c>
      <c r="L276" s="64"/>
      <c r="M276" s="64"/>
      <c r="N276" s="66"/>
      <c r="O276" s="66"/>
      <c r="P276" s="189" t="str">
        <f>IFERROR(VLOOKUP(B276,'JTD Paste Data'!A:B,2,FALSE),"0")</f>
        <v>0</v>
      </c>
      <c r="Q276" s="189">
        <f t="shared" si="476"/>
        <v>0</v>
      </c>
      <c r="R276" s="189" t="str">
        <f>IFERROR(VLOOKUP(B276,'JTD Paste Data'!A:C,3,FALSE),"0")</f>
        <v>0</v>
      </c>
      <c r="S276" s="189">
        <f t="shared" si="477"/>
        <v>0</v>
      </c>
      <c r="T276" s="189">
        <f t="shared" si="478"/>
        <v>0</v>
      </c>
      <c r="U276" s="193">
        <f t="shared" si="479"/>
        <v>0</v>
      </c>
    </row>
    <row r="277" spans="1:21" x14ac:dyDescent="0.25">
      <c r="A277" s="54" t="str">
        <f>VLOOKUP(B277,'SAP Contracts'!A:J,10,FALSE)</f>
        <v>ATT - A02G3JG - San Mateo</v>
      </c>
      <c r="B277" s="54">
        <f>VLOOKUP(C277,'Active North Sky Projects'!C:D,2,FALSE)</f>
        <v>21271</v>
      </c>
      <c r="C277" s="117" t="s">
        <v>892</v>
      </c>
      <c r="D277" s="225">
        <f>IFERROR(VLOOKUP(B277,'MTD Hours Paste Data'!A:C,3,FALSE),"")</f>
        <v>0</v>
      </c>
      <c r="E277" s="64">
        <f>IFERROR(VLOOKUP(B277,'ACDOCA - Paste Data'!B:G,6,FALSE),0)</f>
        <v>0</v>
      </c>
      <c r="F277" s="64">
        <f t="shared" si="473"/>
        <v>0</v>
      </c>
      <c r="G277" s="64">
        <f>IFERROR(VLOOKUP(B277,'ACDOCA - Paste Data'!B:H,7,FALSE),0)</f>
        <v>0</v>
      </c>
      <c r="H277" s="64">
        <f t="shared" si="474"/>
        <v>0</v>
      </c>
      <c r="I277" s="64">
        <f t="shared" si="475"/>
        <v>0</v>
      </c>
      <c r="J277" s="65">
        <f t="shared" si="468"/>
        <v>0</v>
      </c>
      <c r="K277" s="198" t="str">
        <f>IFERROR(VLOOKUP(B277,'WIP - Paste Data'!B:E,4,FALSE),"")</f>
        <v/>
      </c>
      <c r="L277" s="64"/>
      <c r="M277" s="64"/>
      <c r="N277" s="66"/>
      <c r="O277" s="66"/>
      <c r="P277" s="189">
        <f>IFERROR(VLOOKUP(B277,'JTD Paste Data'!A:B,2,FALSE),"0")</f>
        <v>35250</v>
      </c>
      <c r="Q277" s="189">
        <f t="shared" si="476"/>
        <v>35250</v>
      </c>
      <c r="R277" s="189">
        <f>IFERROR(VLOOKUP(B277,'JTD Paste Data'!A:C,3,FALSE),"0")</f>
        <v>22051.469999999998</v>
      </c>
      <c r="S277" s="189">
        <f t="shared" si="477"/>
        <v>22051.469999999998</v>
      </c>
      <c r="T277" s="189">
        <f t="shared" si="478"/>
        <v>13198.530000000002</v>
      </c>
      <c r="U277" s="193">
        <f t="shared" si="479"/>
        <v>0.37442638297872349</v>
      </c>
    </row>
    <row r="278" spans="1:21" x14ac:dyDescent="0.25">
      <c r="A278" s="54" t="str">
        <f>VLOOKUP(B278,'SAP Contracts'!A:J,10,FALSE)</f>
        <v>ATT - A02TN2E - B St Hayward</v>
      </c>
      <c r="B278" s="54">
        <f>VLOOKUP(C278,'Active North Sky Projects'!C:D,2,FALSE)</f>
        <v>21507</v>
      </c>
      <c r="C278" s="117" t="s">
        <v>777</v>
      </c>
      <c r="D278" s="225" t="str">
        <f>IFERROR(VLOOKUP(B278,'MTD Hours Paste Data'!A:C,3,FALSE),"")</f>
        <v/>
      </c>
      <c r="E278" s="64">
        <f>IFERROR(VLOOKUP(B278,'ACDOCA - Paste Data'!B:G,6,FALSE),0)</f>
        <v>0</v>
      </c>
      <c r="F278" s="64">
        <f t="shared" si="473"/>
        <v>0</v>
      </c>
      <c r="G278" s="64">
        <f>IFERROR(VLOOKUP(B278,'ACDOCA - Paste Data'!B:H,7,FALSE),0)</f>
        <v>0</v>
      </c>
      <c r="H278" s="64">
        <f t="shared" si="474"/>
        <v>0</v>
      </c>
      <c r="I278" s="64">
        <f t="shared" si="475"/>
        <v>0</v>
      </c>
      <c r="J278" s="65">
        <f t="shared" si="468"/>
        <v>0</v>
      </c>
      <c r="K278" s="198" t="str">
        <f>IFERROR(VLOOKUP(B278,'WIP - Paste Data'!B:E,4,FALSE),"")</f>
        <v/>
      </c>
      <c r="L278" s="64"/>
      <c r="M278" s="64"/>
      <c r="N278" s="66"/>
      <c r="O278" s="66"/>
      <c r="P278" s="189">
        <f>IFERROR(VLOOKUP(B278,'JTD Paste Data'!A:B,2,FALSE),"0")</f>
        <v>21107.85</v>
      </c>
      <c r="Q278" s="189">
        <f t="shared" si="476"/>
        <v>21107.85</v>
      </c>
      <c r="R278" s="189">
        <f>IFERROR(VLOOKUP(B278,'JTD Paste Data'!A:C,3,FALSE),"0")</f>
        <v>22300.66</v>
      </c>
      <c r="S278" s="189">
        <f t="shared" si="477"/>
        <v>22300.66</v>
      </c>
      <c r="T278" s="189">
        <f t="shared" si="478"/>
        <v>-1192.8100000000013</v>
      </c>
      <c r="U278" s="193">
        <f t="shared" si="479"/>
        <v>-5.6510255663177508E-2</v>
      </c>
    </row>
    <row r="279" spans="1:21" x14ac:dyDescent="0.25">
      <c r="A279" s="54" t="str">
        <f>VLOOKUP(B279,'SAP Contracts'!A:J,10,FALSE)</f>
        <v>ATT - A02WAXR - Castro Valley</v>
      </c>
      <c r="B279" s="54">
        <f>VLOOKUP(C279,'Active North Sky Projects'!C:D,2,FALSE)</f>
        <v>21052</v>
      </c>
      <c r="C279" s="117" t="s">
        <v>462</v>
      </c>
      <c r="D279" s="225" t="str">
        <f>IFERROR(VLOOKUP(B279,'MTD Hours Paste Data'!A:C,3,FALSE),"")</f>
        <v/>
      </c>
      <c r="E279" s="64">
        <f>IFERROR(VLOOKUP(B279,'ACDOCA - Paste Data'!B:G,6,FALSE),0)</f>
        <v>0</v>
      </c>
      <c r="F279" s="64">
        <f t="shared" si="473"/>
        <v>0</v>
      </c>
      <c r="G279" s="64">
        <f>IFERROR(VLOOKUP(B279,'ACDOCA - Paste Data'!B:H,7,FALSE),0)</f>
        <v>0</v>
      </c>
      <c r="H279" s="64">
        <f t="shared" si="474"/>
        <v>0</v>
      </c>
      <c r="I279" s="64">
        <f t="shared" si="475"/>
        <v>0</v>
      </c>
      <c r="J279" s="65">
        <f t="shared" si="468"/>
        <v>0</v>
      </c>
      <c r="K279" s="198" t="str">
        <f>IFERROR(VLOOKUP(B279,'WIP - Paste Data'!B:E,4,FALSE),"")</f>
        <v/>
      </c>
      <c r="L279" s="64"/>
      <c r="M279" s="64"/>
      <c r="N279" s="66"/>
      <c r="O279" s="66"/>
      <c r="P279" s="189" t="str">
        <f>IFERROR(VLOOKUP(B279,'JTD Paste Data'!A:B,2,FALSE),"0")</f>
        <v>0</v>
      </c>
      <c r="Q279" s="189">
        <f t="shared" si="476"/>
        <v>0</v>
      </c>
      <c r="R279" s="189" t="str">
        <f>IFERROR(VLOOKUP(B279,'JTD Paste Data'!A:C,3,FALSE),"0")</f>
        <v>0</v>
      </c>
      <c r="S279" s="189">
        <f t="shared" si="477"/>
        <v>0</v>
      </c>
      <c r="T279" s="189">
        <f t="shared" si="478"/>
        <v>0</v>
      </c>
      <c r="U279" s="193">
        <f t="shared" si="479"/>
        <v>0</v>
      </c>
    </row>
    <row r="280" spans="1:21" x14ac:dyDescent="0.25">
      <c r="A280" s="54" t="str">
        <f>VLOOKUP(B280,'SAP Contracts'!A:J,10,FALSE)</f>
        <v>ATT - A02WQZT - Newark</v>
      </c>
      <c r="B280" s="54">
        <f>VLOOKUP(C280,'Active North Sky Projects'!C:D,2,FALSE)</f>
        <v>21343</v>
      </c>
      <c r="C280" s="117" t="s">
        <v>578</v>
      </c>
      <c r="D280" s="225" t="str">
        <f>IFERROR(VLOOKUP(B280,'MTD Hours Paste Data'!A:C,3,FALSE),"")</f>
        <v/>
      </c>
      <c r="E280" s="64">
        <f>IFERROR(VLOOKUP(B280,'ACDOCA - Paste Data'!B:G,6,FALSE),0)</f>
        <v>0</v>
      </c>
      <c r="F280" s="64">
        <f t="shared" si="473"/>
        <v>0</v>
      </c>
      <c r="G280" s="64">
        <f>IFERROR(VLOOKUP(B280,'ACDOCA - Paste Data'!B:H,7,FALSE),0)</f>
        <v>0</v>
      </c>
      <c r="H280" s="64">
        <f t="shared" si="474"/>
        <v>0</v>
      </c>
      <c r="I280" s="64">
        <f t="shared" si="475"/>
        <v>0</v>
      </c>
      <c r="J280" s="65">
        <f t="shared" si="468"/>
        <v>0</v>
      </c>
      <c r="K280" s="198" t="str">
        <f>IFERROR(VLOOKUP(B280,'WIP - Paste Data'!B:E,4,FALSE),"")</f>
        <v/>
      </c>
      <c r="L280" s="64"/>
      <c r="M280" s="64"/>
      <c r="N280" s="66"/>
      <c r="O280" s="66"/>
      <c r="P280" s="189" t="str">
        <f>IFERROR(VLOOKUP(B280,'JTD Paste Data'!A:B,2,FALSE),"0")</f>
        <v>0</v>
      </c>
      <c r="Q280" s="189">
        <f t="shared" si="476"/>
        <v>0</v>
      </c>
      <c r="R280" s="189" t="str">
        <f>IFERROR(VLOOKUP(B280,'JTD Paste Data'!A:C,3,FALSE),"0")</f>
        <v>0</v>
      </c>
      <c r="S280" s="189">
        <f t="shared" si="477"/>
        <v>0</v>
      </c>
      <c r="T280" s="189">
        <f t="shared" si="478"/>
        <v>0</v>
      </c>
      <c r="U280" s="193">
        <f t="shared" si="479"/>
        <v>0</v>
      </c>
    </row>
    <row r="281" spans="1:21" x14ac:dyDescent="0.25">
      <c r="A281" s="54" t="str">
        <f>VLOOKUP(B281,'SAP Contracts'!A:J,10,FALSE)</f>
        <v>ATT - A050HNP - Crestfield Dr Castro Val</v>
      </c>
      <c r="B281" s="54">
        <f>VLOOKUP(C281,'Active North Sky Projects'!C:D,2,FALSE)</f>
        <v>21139</v>
      </c>
      <c r="C281" s="117" t="s">
        <v>501</v>
      </c>
      <c r="D281" s="225" t="str">
        <f>IFERROR(VLOOKUP(B281,'MTD Hours Paste Data'!A:C,3,FALSE),"")</f>
        <v/>
      </c>
      <c r="E281" s="64">
        <f>IFERROR(VLOOKUP(B281,'ACDOCA - Paste Data'!B:G,6,FALSE),0)</f>
        <v>0</v>
      </c>
      <c r="F281" s="64">
        <f t="shared" si="473"/>
        <v>0</v>
      </c>
      <c r="G281" s="64">
        <f>IFERROR(VLOOKUP(B281,'ACDOCA - Paste Data'!B:H,7,FALSE),0)</f>
        <v>0</v>
      </c>
      <c r="H281" s="64">
        <f t="shared" si="474"/>
        <v>0</v>
      </c>
      <c r="I281" s="64">
        <f t="shared" si="475"/>
        <v>0</v>
      </c>
      <c r="J281" s="65">
        <f t="shared" si="468"/>
        <v>0</v>
      </c>
      <c r="K281" s="198" t="str">
        <f>IFERROR(VLOOKUP(B281,'WIP - Paste Data'!B:E,4,FALSE),"")</f>
        <v/>
      </c>
      <c r="L281" s="64"/>
      <c r="M281" s="64"/>
      <c r="N281" s="66"/>
      <c r="O281" s="66"/>
      <c r="P281" s="189" t="str">
        <f>IFERROR(VLOOKUP(B281,'JTD Paste Data'!A:B,2,FALSE),"0")</f>
        <v>0</v>
      </c>
      <c r="Q281" s="189">
        <f t="shared" si="476"/>
        <v>0</v>
      </c>
      <c r="R281" s="189" t="str">
        <f>IFERROR(VLOOKUP(B281,'JTD Paste Data'!A:C,3,FALSE),"0")</f>
        <v>0</v>
      </c>
      <c r="S281" s="189">
        <f t="shared" si="477"/>
        <v>0</v>
      </c>
      <c r="T281" s="189">
        <f t="shared" si="478"/>
        <v>0</v>
      </c>
      <c r="U281" s="193">
        <f t="shared" si="479"/>
        <v>0</v>
      </c>
    </row>
    <row r="282" spans="1:21" x14ac:dyDescent="0.25">
      <c r="A282" s="54" t="str">
        <f>VLOOKUP(B282,'SAP Contracts'!A:J,10,FALSE)</f>
        <v>ATT - A050NAK - Splicing</v>
      </c>
      <c r="B282" s="54">
        <f>VLOOKUP(C282,'Active North Sky Projects'!C:D,2,FALSE)</f>
        <v>21383</v>
      </c>
      <c r="C282" s="117" t="s">
        <v>795</v>
      </c>
      <c r="D282" s="225" t="str">
        <f>IFERROR(VLOOKUP(B282,'MTD Hours Paste Data'!A:C,3,FALSE),"")</f>
        <v/>
      </c>
      <c r="E282" s="64">
        <f>IFERROR(VLOOKUP(B282,'ACDOCA - Paste Data'!B:G,6,FALSE),0)</f>
        <v>0</v>
      </c>
      <c r="F282" s="64">
        <f t="shared" si="473"/>
        <v>0</v>
      </c>
      <c r="G282" s="64">
        <f>IFERROR(VLOOKUP(B282,'ACDOCA - Paste Data'!B:H,7,FALSE),0)</f>
        <v>0</v>
      </c>
      <c r="H282" s="64">
        <f t="shared" si="474"/>
        <v>0</v>
      </c>
      <c r="I282" s="64">
        <f t="shared" si="475"/>
        <v>0</v>
      </c>
      <c r="J282" s="65">
        <f t="shared" si="468"/>
        <v>0</v>
      </c>
      <c r="K282" s="198" t="str">
        <f>IFERROR(VLOOKUP(B282,'WIP - Paste Data'!B:E,4,FALSE),"")</f>
        <v/>
      </c>
      <c r="L282" s="64"/>
      <c r="M282" s="64"/>
      <c r="N282" s="66"/>
      <c r="O282" s="66"/>
      <c r="P282" s="189" t="str">
        <f>IFERROR(VLOOKUP(B282,'JTD Paste Data'!A:B,2,FALSE),"0")</f>
        <v>0</v>
      </c>
      <c r="Q282" s="189">
        <f t="shared" si="476"/>
        <v>0</v>
      </c>
      <c r="R282" s="189" t="str">
        <f>IFERROR(VLOOKUP(B282,'JTD Paste Data'!A:C,3,FALSE),"0")</f>
        <v>0</v>
      </c>
      <c r="S282" s="189">
        <f t="shared" si="477"/>
        <v>0</v>
      </c>
      <c r="T282" s="189">
        <f t="shared" si="478"/>
        <v>0</v>
      </c>
      <c r="U282" s="193">
        <f t="shared" si="479"/>
        <v>0</v>
      </c>
    </row>
    <row r="283" spans="1:21" x14ac:dyDescent="0.25">
      <c r="A283" s="54" t="str">
        <f>VLOOKUP(B283,'SAP Contracts'!A:J,10,FALSE)</f>
        <v>ATT - A050R4B - 1936 East Ave Hayward</v>
      </c>
      <c r="B283" s="54">
        <f>VLOOKUP(C283,'Active North Sky Projects'!C:D,2,FALSE)</f>
        <v>21324</v>
      </c>
      <c r="C283" s="117" t="s">
        <v>766</v>
      </c>
      <c r="D283" s="225" t="str">
        <f>IFERROR(VLOOKUP(B283,'MTD Hours Paste Data'!A:C,3,FALSE),"")</f>
        <v/>
      </c>
      <c r="E283" s="64">
        <f>IFERROR(VLOOKUP(B283,'ACDOCA - Paste Data'!B:G,6,FALSE),0)</f>
        <v>0</v>
      </c>
      <c r="F283" s="64">
        <f t="shared" si="473"/>
        <v>0</v>
      </c>
      <c r="G283" s="64">
        <f>IFERROR(VLOOKUP(B283,'ACDOCA - Paste Data'!B:H,7,FALSE),0)</f>
        <v>0</v>
      </c>
      <c r="H283" s="64">
        <f t="shared" si="474"/>
        <v>0</v>
      </c>
      <c r="I283" s="64">
        <f t="shared" si="475"/>
        <v>0</v>
      </c>
      <c r="J283" s="65">
        <f t="shared" si="468"/>
        <v>0</v>
      </c>
      <c r="K283" s="198" t="str">
        <f>IFERROR(VLOOKUP(B283,'WIP - Paste Data'!B:E,4,FALSE),"")</f>
        <v/>
      </c>
      <c r="L283" s="64"/>
      <c r="M283" s="64"/>
      <c r="N283" s="66"/>
      <c r="O283" s="66"/>
      <c r="P283" s="189" t="str">
        <f>IFERROR(VLOOKUP(B283,'JTD Paste Data'!A:B,2,FALSE),"0")</f>
        <v>0</v>
      </c>
      <c r="Q283" s="189">
        <f t="shared" si="476"/>
        <v>0</v>
      </c>
      <c r="R283" s="189" t="str">
        <f>IFERROR(VLOOKUP(B283,'JTD Paste Data'!A:C,3,FALSE),"0")</f>
        <v>0</v>
      </c>
      <c r="S283" s="189">
        <f t="shared" si="477"/>
        <v>0</v>
      </c>
      <c r="T283" s="189">
        <f t="shared" si="478"/>
        <v>0</v>
      </c>
      <c r="U283" s="193">
        <f t="shared" si="479"/>
        <v>0</v>
      </c>
    </row>
    <row r="284" spans="1:21" x14ac:dyDescent="0.25">
      <c r="A284" s="54" t="str">
        <f>VLOOKUP(B284,'SAP Contracts'!A:J,10,FALSE)</f>
        <v>ATT - A050Z6H - Foster City</v>
      </c>
      <c r="B284" s="54">
        <f>VLOOKUP(C284,'Active North Sky Projects'!C:D,2,FALSE)</f>
        <v>21198</v>
      </c>
      <c r="C284" s="117" t="s">
        <v>597</v>
      </c>
      <c r="D284" s="225" t="str">
        <f>IFERROR(VLOOKUP(B284,'MTD Hours Paste Data'!A:C,3,FALSE),"")</f>
        <v/>
      </c>
      <c r="E284" s="64">
        <f>IFERROR(VLOOKUP(B284,'ACDOCA - Paste Data'!B:G,6,FALSE),0)</f>
        <v>0</v>
      </c>
      <c r="F284" s="64">
        <f t="shared" si="473"/>
        <v>0</v>
      </c>
      <c r="G284" s="64">
        <f>IFERROR(VLOOKUP(B284,'ACDOCA - Paste Data'!B:H,7,FALSE),0)</f>
        <v>0</v>
      </c>
      <c r="H284" s="64">
        <f t="shared" si="474"/>
        <v>0</v>
      </c>
      <c r="I284" s="64">
        <f t="shared" si="475"/>
        <v>0</v>
      </c>
      <c r="J284" s="65">
        <f t="shared" si="468"/>
        <v>0</v>
      </c>
      <c r="K284" s="198" t="str">
        <f>IFERROR(VLOOKUP(B284,'WIP - Paste Data'!B:E,4,FALSE),"")</f>
        <v/>
      </c>
      <c r="L284" s="64"/>
      <c r="M284" s="64"/>
      <c r="N284" s="66"/>
      <c r="O284" s="66"/>
      <c r="P284" s="189" t="str">
        <f>IFERROR(VLOOKUP(B284,'JTD Paste Data'!A:B,2,FALSE),"0")</f>
        <v>0</v>
      </c>
      <c r="Q284" s="189">
        <f t="shared" si="476"/>
        <v>0</v>
      </c>
      <c r="R284" s="189" t="str">
        <f>IFERROR(VLOOKUP(B284,'JTD Paste Data'!A:C,3,FALSE),"0")</f>
        <v>0</v>
      </c>
      <c r="S284" s="189">
        <f t="shared" si="477"/>
        <v>0</v>
      </c>
      <c r="T284" s="189">
        <f t="shared" si="478"/>
        <v>0</v>
      </c>
      <c r="U284" s="193">
        <f t="shared" si="479"/>
        <v>0</v>
      </c>
    </row>
    <row r="285" spans="1:21" x14ac:dyDescent="0.25">
      <c r="A285" s="54" t="str">
        <f>VLOOKUP(B285,'SAP Contracts'!A:J,10,FALSE)</f>
        <v>ATT -  A057WYA - San Rafael</v>
      </c>
      <c r="B285" s="54">
        <v>21878</v>
      </c>
      <c r="C285" s="117">
        <v>1056296</v>
      </c>
      <c r="D285" s="225" t="str">
        <f>IFERROR(VLOOKUP(B285,'MTD Hours Paste Data'!A:C,3,FALSE),"")</f>
        <v/>
      </c>
      <c r="E285" s="64">
        <f>IFERROR(VLOOKUP(B285,'ACDOCA - Paste Data'!B:G,6,FALSE),0)</f>
        <v>0</v>
      </c>
      <c r="F285" s="64">
        <f t="shared" ref="F285:F294" si="480">E285 +L285</f>
        <v>0</v>
      </c>
      <c r="G285" s="64">
        <f>IFERROR(VLOOKUP(B285,'ACDOCA - Paste Data'!B:H,7,FALSE),0)</f>
        <v>64176</v>
      </c>
      <c r="H285" s="64">
        <f t="shared" ref="H285:H294" si="481">G285+M285</f>
        <v>64176</v>
      </c>
      <c r="I285" s="64">
        <f t="shared" ref="I285:I294" si="482">F285-H285</f>
        <v>-64176</v>
      </c>
      <c r="J285" s="65">
        <f t="shared" ref="J285:J294" si="483">IFERROR(I285/F285,0)</f>
        <v>0</v>
      </c>
      <c r="K285" s="198">
        <f>IFERROR(VLOOKUP(B285,'WIP - Paste Data'!B:E,4,FALSE),"")</f>
        <v>484502</v>
      </c>
      <c r="L285" s="64"/>
      <c r="M285" s="64"/>
      <c r="N285" s="66"/>
      <c r="O285" s="66"/>
      <c r="P285" s="189">
        <f>IFERROR(VLOOKUP(B285,'JTD Paste Data'!A:B,2,FALSE),"0")</f>
        <v>484502</v>
      </c>
      <c r="Q285" s="189">
        <f t="shared" si="476"/>
        <v>484502</v>
      </c>
      <c r="R285" s="189">
        <f>IFERROR(VLOOKUP(B285,'JTD Paste Data'!A:C,3,FALSE),"0")</f>
        <v>503204.09</v>
      </c>
      <c r="S285" s="189">
        <f t="shared" si="477"/>
        <v>503204.09</v>
      </c>
      <c r="T285" s="189">
        <f t="shared" si="478"/>
        <v>-18702.090000000026</v>
      </c>
      <c r="U285" s="193">
        <f t="shared" si="479"/>
        <v>-3.8600645611370075E-2</v>
      </c>
    </row>
    <row r="286" spans="1:21" x14ac:dyDescent="0.25">
      <c r="A286" s="54" t="str">
        <f>VLOOKUP(B286,'SAP Contracts'!A:J,10,FALSE)</f>
        <v>ATT - NB01 - San Francisco Downtown</v>
      </c>
      <c r="B286" s="54">
        <v>21880</v>
      </c>
      <c r="C286" s="117">
        <v>1056313</v>
      </c>
      <c r="D286" s="225" t="str">
        <f>IFERROR(VLOOKUP(B286,'MTD Hours Paste Data'!A:C,3,FALSE),"")</f>
        <v/>
      </c>
      <c r="E286" s="64">
        <f>IFERROR(VLOOKUP(B286,'ACDOCA - Paste Data'!B:G,6,FALSE),0)</f>
        <v>11207.68</v>
      </c>
      <c r="F286" s="64">
        <f t="shared" si="480"/>
        <v>11207.68</v>
      </c>
      <c r="G286" s="64">
        <f>IFERROR(VLOOKUP(B286,'ACDOCA - Paste Data'!B:H,7,FALSE),0)</f>
        <v>23847.3</v>
      </c>
      <c r="H286" s="64">
        <f t="shared" si="481"/>
        <v>23847.3</v>
      </c>
      <c r="I286" s="64">
        <f t="shared" si="482"/>
        <v>-12639.619999999999</v>
      </c>
      <c r="J286" s="65">
        <f t="shared" si="483"/>
        <v>-1.1277641759936043</v>
      </c>
      <c r="K286" s="198">
        <f>IFERROR(VLOOKUP(B286,'WIP - Paste Data'!B:E,4,FALSE),"")</f>
        <v>13040.15</v>
      </c>
      <c r="L286" s="64"/>
      <c r="M286" s="64"/>
      <c r="N286" s="66"/>
      <c r="O286" s="66"/>
      <c r="P286" s="189">
        <f>IFERROR(VLOOKUP(B286,'JTD Paste Data'!A:B,2,FALSE),"0")</f>
        <v>17002.759999999998</v>
      </c>
      <c r="Q286" s="189">
        <f t="shared" si="476"/>
        <v>17002.759999999998</v>
      </c>
      <c r="R286" s="189">
        <f>IFERROR(VLOOKUP(B286,'JTD Paste Data'!A:C,3,FALSE),"0")</f>
        <v>32019.27</v>
      </c>
      <c r="S286" s="189">
        <f t="shared" si="477"/>
        <v>32019.27</v>
      </c>
      <c r="T286" s="189">
        <f t="shared" si="478"/>
        <v>-15016.510000000002</v>
      </c>
      <c r="U286" s="193">
        <f t="shared" si="479"/>
        <v>-0.8831807306578463</v>
      </c>
    </row>
    <row r="287" spans="1:21" x14ac:dyDescent="0.25">
      <c r="A287" s="54" t="str">
        <f>VLOOKUP(B287,'SAP Contracts'!A:J,10,FALSE)</f>
        <v>ATT - NB02 - San Francisco Outside</v>
      </c>
      <c r="B287" s="54">
        <v>21881</v>
      </c>
      <c r="C287" s="117">
        <v>1056314</v>
      </c>
      <c r="D287" s="225" t="str">
        <f>IFERROR(VLOOKUP(B287,'MTD Hours Paste Data'!A:C,3,FALSE),"")</f>
        <v/>
      </c>
      <c r="E287" s="64">
        <f>IFERROR(VLOOKUP(B287,'ACDOCA - Paste Data'!B:G,6,FALSE),0)</f>
        <v>10337.66</v>
      </c>
      <c r="F287" s="64">
        <f t="shared" si="480"/>
        <v>10337.66</v>
      </c>
      <c r="G287" s="64">
        <f>IFERROR(VLOOKUP(B287,'ACDOCA - Paste Data'!B:H,7,FALSE),0)</f>
        <v>37066.53</v>
      </c>
      <c r="H287" s="64">
        <f t="shared" si="481"/>
        <v>37066.53</v>
      </c>
      <c r="I287" s="64">
        <f t="shared" si="482"/>
        <v>-26728.87</v>
      </c>
      <c r="J287" s="65">
        <f t="shared" si="483"/>
        <v>-2.585582230408042</v>
      </c>
      <c r="K287" s="198">
        <f>IFERROR(VLOOKUP(B287,'WIP - Paste Data'!B:E,4,FALSE),"")</f>
        <v>95398.239999999991</v>
      </c>
      <c r="L287" s="64"/>
      <c r="M287" s="64"/>
      <c r="N287" s="66"/>
      <c r="O287" s="66"/>
      <c r="P287" s="189">
        <f>IFERROR(VLOOKUP(B287,'JTD Paste Data'!A:B,2,FALSE),"0")</f>
        <v>99522.16</v>
      </c>
      <c r="Q287" s="189">
        <f t="shared" si="476"/>
        <v>99522.16</v>
      </c>
      <c r="R287" s="189">
        <f>IFERROR(VLOOKUP(B287,'JTD Paste Data'!A:C,3,FALSE),"0")</f>
        <v>152797.72</v>
      </c>
      <c r="S287" s="189">
        <f t="shared" si="477"/>
        <v>152797.72</v>
      </c>
      <c r="T287" s="189">
        <f t="shared" si="478"/>
        <v>-53275.56</v>
      </c>
      <c r="U287" s="193">
        <f t="shared" si="479"/>
        <v>-0.53531354223019267</v>
      </c>
    </row>
    <row r="288" spans="1:21" x14ac:dyDescent="0.25">
      <c r="A288" s="54" t="str">
        <f>VLOOKUP(B288,'SAP Contracts'!A:J,10,FALSE)</f>
        <v>ATT - NB03 - Oakland-Franklin</v>
      </c>
      <c r="B288" s="54">
        <v>21882</v>
      </c>
      <c r="C288" s="117">
        <v>1056315</v>
      </c>
      <c r="D288" s="225" t="str">
        <f>IFERROR(VLOOKUP(B288,'MTD Hours Paste Data'!A:C,3,FALSE),"")</f>
        <v/>
      </c>
      <c r="E288" s="64">
        <f>IFERROR(VLOOKUP(B288,'ACDOCA - Paste Data'!B:G,6,FALSE),0)</f>
        <v>0</v>
      </c>
      <c r="F288" s="64">
        <f t="shared" si="480"/>
        <v>0</v>
      </c>
      <c r="G288" s="64">
        <f>IFERROR(VLOOKUP(B288,'ACDOCA - Paste Data'!B:H,7,FALSE),0)</f>
        <v>0</v>
      </c>
      <c r="H288" s="64">
        <f t="shared" si="481"/>
        <v>0</v>
      </c>
      <c r="I288" s="64">
        <f t="shared" si="482"/>
        <v>0</v>
      </c>
      <c r="J288" s="65">
        <f t="shared" si="483"/>
        <v>0</v>
      </c>
      <c r="K288" s="198">
        <f>IFERROR(VLOOKUP(B288,'WIP - Paste Data'!B:E,4,FALSE),"")</f>
        <v>295.87</v>
      </c>
      <c r="L288" s="64"/>
      <c r="M288" s="64"/>
      <c r="N288" s="66"/>
      <c r="O288" s="66"/>
      <c r="P288" s="189">
        <f>IFERROR(VLOOKUP(B288,'JTD Paste Data'!A:B,2,FALSE),"0")</f>
        <v>2645.73</v>
      </c>
      <c r="Q288" s="189">
        <f t="shared" si="476"/>
        <v>2645.73</v>
      </c>
      <c r="R288" s="189">
        <f>IFERROR(VLOOKUP(B288,'JTD Paste Data'!A:C,3,FALSE),"0")</f>
        <v>5090.72</v>
      </c>
      <c r="S288" s="189">
        <f t="shared" si="477"/>
        <v>5090.72</v>
      </c>
      <c r="T288" s="189">
        <f t="shared" si="478"/>
        <v>-2444.9900000000002</v>
      </c>
      <c r="U288" s="193">
        <f t="shared" si="479"/>
        <v>-0.92412680054276142</v>
      </c>
    </row>
    <row r="289" spans="1:21" x14ac:dyDescent="0.25">
      <c r="A289" s="54" t="str">
        <f>VLOOKUP(B289,'SAP Contracts'!A:J,10,FALSE)</f>
        <v>ATT - NB04 - Hayward-Oakland</v>
      </c>
      <c r="B289" s="54">
        <v>21883</v>
      </c>
      <c r="C289" s="117">
        <v>1056316</v>
      </c>
      <c r="D289" s="225" t="str">
        <f>IFERROR(VLOOKUP(B289,'MTD Hours Paste Data'!A:C,3,FALSE),"")</f>
        <v/>
      </c>
      <c r="E289" s="64">
        <f>IFERROR(VLOOKUP(B289,'ACDOCA - Paste Data'!B:G,6,FALSE),0)</f>
        <v>0</v>
      </c>
      <c r="F289" s="64">
        <f t="shared" si="480"/>
        <v>0</v>
      </c>
      <c r="G289" s="64">
        <f>IFERROR(VLOOKUP(B289,'ACDOCA - Paste Data'!B:H,7,FALSE),0)</f>
        <v>573.12</v>
      </c>
      <c r="H289" s="64">
        <f t="shared" si="481"/>
        <v>573.12</v>
      </c>
      <c r="I289" s="64">
        <f t="shared" si="482"/>
        <v>-573.12</v>
      </c>
      <c r="J289" s="65">
        <f t="shared" si="483"/>
        <v>0</v>
      </c>
      <c r="K289" s="198">
        <f>IFERROR(VLOOKUP(B289,'WIP - Paste Data'!B:E,4,FALSE),"")</f>
        <v>4391.82</v>
      </c>
      <c r="L289" s="64"/>
      <c r="M289" s="64"/>
      <c r="N289" s="66"/>
      <c r="O289" s="66"/>
      <c r="P289" s="189">
        <f>IFERROR(VLOOKUP(B289,'JTD Paste Data'!A:B,2,FALSE),"0")</f>
        <v>6799.35</v>
      </c>
      <c r="Q289" s="189">
        <f t="shared" si="476"/>
        <v>6799.35</v>
      </c>
      <c r="R289" s="189">
        <f>IFERROR(VLOOKUP(B289,'JTD Paste Data'!A:C,3,FALSE),"0")</f>
        <v>8900.57</v>
      </c>
      <c r="S289" s="189">
        <f t="shared" si="477"/>
        <v>8900.57</v>
      </c>
      <c r="T289" s="189">
        <f t="shared" si="478"/>
        <v>-2101.2199999999993</v>
      </c>
      <c r="U289" s="193">
        <f t="shared" si="479"/>
        <v>-0.30903248104598224</v>
      </c>
    </row>
    <row r="290" spans="1:21" x14ac:dyDescent="0.25">
      <c r="A290" s="54" t="str">
        <f>VLOOKUP(B290,'SAP Contracts'!A:J,10,FALSE)</f>
        <v>ATT - NB05 - Richmond-Berkeley</v>
      </c>
      <c r="B290" s="54">
        <v>21884</v>
      </c>
      <c r="C290" s="117">
        <v>1056317</v>
      </c>
      <c r="D290" s="225" t="str">
        <f>IFERROR(VLOOKUP(B290,'MTD Hours Paste Data'!A:C,3,FALSE),"")</f>
        <v/>
      </c>
      <c r="E290" s="64">
        <f>IFERROR(VLOOKUP(B290,'ACDOCA - Paste Data'!B:G,6,FALSE),0)</f>
        <v>13024.21</v>
      </c>
      <c r="F290" s="64">
        <f t="shared" si="480"/>
        <v>13024.21</v>
      </c>
      <c r="G290" s="64">
        <f>IFERROR(VLOOKUP(B290,'ACDOCA - Paste Data'!B:H,7,FALSE),0)</f>
        <v>19009.95</v>
      </c>
      <c r="H290" s="64">
        <f t="shared" si="481"/>
        <v>19009.95</v>
      </c>
      <c r="I290" s="64">
        <f t="shared" si="482"/>
        <v>-5985.7400000000016</v>
      </c>
      <c r="J290" s="65">
        <f t="shared" si="483"/>
        <v>-0.45958564857292705</v>
      </c>
      <c r="K290" s="198">
        <f>IFERROR(VLOOKUP(B290,'WIP - Paste Data'!B:E,4,FALSE),"")</f>
        <v>18899.849999999999</v>
      </c>
      <c r="L290" s="64"/>
      <c r="M290" s="64"/>
      <c r="N290" s="66"/>
      <c r="O290" s="66"/>
      <c r="P290" s="189">
        <f>IFERROR(VLOOKUP(B290,'JTD Paste Data'!A:B,2,FALSE),"0")</f>
        <v>26974.3</v>
      </c>
      <c r="Q290" s="189">
        <f t="shared" si="476"/>
        <v>26974.3</v>
      </c>
      <c r="R290" s="189">
        <f>IFERROR(VLOOKUP(B290,'JTD Paste Data'!A:C,3,FALSE),"0")</f>
        <v>47550.22</v>
      </c>
      <c r="S290" s="189">
        <f t="shared" si="477"/>
        <v>47550.22</v>
      </c>
      <c r="T290" s="189">
        <f t="shared" si="478"/>
        <v>-20575.920000000002</v>
      </c>
      <c r="U290" s="193">
        <f t="shared" si="479"/>
        <v>-0.76279718102045291</v>
      </c>
    </row>
    <row r="291" spans="1:21" x14ac:dyDescent="0.25">
      <c r="A291" s="54" t="str">
        <f>VLOOKUP(B291,'SAP Contracts'!A:J,10,FALSE)</f>
        <v>ATT - NB07 - Oakley-Brentwood</v>
      </c>
      <c r="B291" s="54">
        <v>21886</v>
      </c>
      <c r="C291" s="117">
        <v>1056319</v>
      </c>
      <c r="D291" s="225" t="str">
        <f>IFERROR(VLOOKUP(B291,'MTD Hours Paste Data'!A:C,3,FALSE),"")</f>
        <v/>
      </c>
      <c r="E291" s="64">
        <f>IFERROR(VLOOKUP(B291,'ACDOCA - Paste Data'!B:G,6,FALSE),0)</f>
        <v>20572.400000000001</v>
      </c>
      <c r="F291" s="64">
        <f t="shared" si="480"/>
        <v>20572.400000000001</v>
      </c>
      <c r="G291" s="64">
        <f>IFERROR(VLOOKUP(B291,'ACDOCA - Paste Data'!B:H,7,FALSE),0)</f>
        <v>32207.78</v>
      </c>
      <c r="H291" s="64">
        <f t="shared" si="481"/>
        <v>32207.78</v>
      </c>
      <c r="I291" s="64">
        <f t="shared" si="482"/>
        <v>-11635.379999999997</v>
      </c>
      <c r="J291" s="65">
        <f t="shared" si="483"/>
        <v>-0.56558204195912953</v>
      </c>
      <c r="K291" s="198">
        <f>IFERROR(VLOOKUP(B291,'WIP - Paste Data'!B:E,4,FALSE),"")</f>
        <v>24521.4</v>
      </c>
      <c r="L291" s="64"/>
      <c r="M291" s="64"/>
      <c r="N291" s="66"/>
      <c r="O291" s="66"/>
      <c r="P291" s="189">
        <f>IFERROR(VLOOKUP(B291,'JTD Paste Data'!A:B,2,FALSE),"0")</f>
        <v>34486.910000000003</v>
      </c>
      <c r="Q291" s="189">
        <f t="shared" si="476"/>
        <v>34486.910000000003</v>
      </c>
      <c r="R291" s="189">
        <f>IFERROR(VLOOKUP(B291,'JTD Paste Data'!A:C,3,FALSE),"0")</f>
        <v>48690.98</v>
      </c>
      <c r="S291" s="189">
        <f t="shared" si="477"/>
        <v>48690.98</v>
      </c>
      <c r="T291" s="189">
        <f t="shared" si="478"/>
        <v>-14204.07</v>
      </c>
      <c r="U291" s="193">
        <f t="shared" si="479"/>
        <v>-0.4118684451578874</v>
      </c>
    </row>
    <row r="292" spans="1:21" x14ac:dyDescent="0.25">
      <c r="A292" s="54" t="str">
        <f>VLOOKUP(B292,'SAP Contracts'!A:J,10,FALSE)</f>
        <v>ATT - NB08 - Livermore-San Ramon</v>
      </c>
      <c r="B292" s="54">
        <v>21887</v>
      </c>
      <c r="C292" s="117">
        <v>1056320</v>
      </c>
      <c r="D292" s="225" t="str">
        <f>IFERROR(VLOOKUP(B292,'MTD Hours Paste Data'!A:C,3,FALSE),"")</f>
        <v/>
      </c>
      <c r="E292" s="64">
        <f>IFERROR(VLOOKUP(B292,'ACDOCA - Paste Data'!B:G,6,FALSE),0)</f>
        <v>5672.79</v>
      </c>
      <c r="F292" s="64">
        <f t="shared" si="480"/>
        <v>5672.79</v>
      </c>
      <c r="G292" s="64">
        <f>IFERROR(VLOOKUP(B292,'ACDOCA - Paste Data'!B:H,7,FALSE),0)</f>
        <v>8034.29</v>
      </c>
      <c r="H292" s="64">
        <f t="shared" si="481"/>
        <v>8034.29</v>
      </c>
      <c r="I292" s="64">
        <f t="shared" si="482"/>
        <v>-2361.5</v>
      </c>
      <c r="J292" s="65">
        <f t="shared" si="483"/>
        <v>-0.41628546094602481</v>
      </c>
      <c r="K292" s="198">
        <f>IFERROR(VLOOKUP(B292,'WIP - Paste Data'!B:E,4,FALSE),"")</f>
        <v>12656.150000000001</v>
      </c>
      <c r="L292" s="64"/>
      <c r="M292" s="64"/>
      <c r="N292" s="66"/>
      <c r="O292" s="66"/>
      <c r="P292" s="189">
        <f>IFERROR(VLOOKUP(B292,'JTD Paste Data'!A:B,2,FALSE),"0")</f>
        <v>17973.11</v>
      </c>
      <c r="Q292" s="189">
        <f t="shared" si="476"/>
        <v>17973.11</v>
      </c>
      <c r="R292" s="189">
        <f>IFERROR(VLOOKUP(B292,'JTD Paste Data'!A:C,3,FALSE),"0")</f>
        <v>25254.51</v>
      </c>
      <c r="S292" s="189">
        <f t="shared" si="477"/>
        <v>25254.51</v>
      </c>
      <c r="T292" s="189">
        <f t="shared" si="478"/>
        <v>-7281.3999999999978</v>
      </c>
      <c r="U292" s="193">
        <f t="shared" si="479"/>
        <v>-0.40512743759983649</v>
      </c>
    </row>
    <row r="293" spans="1:21" x14ac:dyDescent="0.25">
      <c r="A293" s="54" t="str">
        <f>VLOOKUP(B293,'SAP Contracts'!A:J,10,FALSE)</f>
        <v>ATT - NB06 - Antioch-Martinez</v>
      </c>
      <c r="B293" s="54">
        <v>21885</v>
      </c>
      <c r="C293" s="117" t="s">
        <v>1298</v>
      </c>
      <c r="D293" s="225" t="str">
        <f>IFERROR(VLOOKUP(B293,'MTD Hours Paste Data'!A:C,3,FALSE),"")</f>
        <v/>
      </c>
      <c r="E293" s="64">
        <f>IFERROR(VLOOKUP(B293,'ACDOCA - Paste Data'!B:G,6,FALSE),0)</f>
        <v>20266.669999999998</v>
      </c>
      <c r="F293" s="64">
        <f t="shared" si="480"/>
        <v>20266.669999999998</v>
      </c>
      <c r="G293" s="64">
        <f>IFERROR(VLOOKUP(B293,'ACDOCA - Paste Data'!B:H,7,FALSE),0)</f>
        <v>28903.39</v>
      </c>
      <c r="H293" s="64">
        <f t="shared" si="481"/>
        <v>28903.39</v>
      </c>
      <c r="I293" s="64">
        <f t="shared" si="482"/>
        <v>-8636.7200000000012</v>
      </c>
      <c r="J293" s="65">
        <f t="shared" si="483"/>
        <v>-0.4261538772773229</v>
      </c>
      <c r="K293" s="198">
        <f>IFERROR(VLOOKUP(B293,'WIP - Paste Data'!B:E,4,FALSE),"")</f>
        <v>39995.06</v>
      </c>
      <c r="L293" s="64"/>
      <c r="M293" s="64"/>
      <c r="N293" s="66"/>
      <c r="O293" s="66"/>
      <c r="P293" s="189">
        <f>IFERROR(VLOOKUP(B293,'JTD Paste Data'!A:B,2,FALSE),"0")</f>
        <v>75216.2</v>
      </c>
      <c r="Q293" s="189">
        <f t="shared" si="476"/>
        <v>75216.2</v>
      </c>
      <c r="R293" s="189">
        <f>IFERROR(VLOOKUP(B293,'JTD Paste Data'!A:C,3,FALSE),"0")</f>
        <v>117258.4</v>
      </c>
      <c r="S293" s="189">
        <f t="shared" si="477"/>
        <v>117258.4</v>
      </c>
      <c r="T293" s="189">
        <f t="shared" si="478"/>
        <v>-42042.2</v>
      </c>
      <c r="U293" s="193">
        <f t="shared" si="479"/>
        <v>-0.55895139610881694</v>
      </c>
    </row>
    <row r="294" spans="1:21" x14ac:dyDescent="0.25">
      <c r="A294" s="54" t="str">
        <f>VLOOKUP(B294,'SAP Contracts'!A:J,10,FALSE)</f>
        <v>ATT - A051MPE - 1518 Rishell Dr Concord</v>
      </c>
      <c r="B294" s="54">
        <f>VLOOKUP(C294,'Active North Sky Projects'!C:D,2,FALSE)</f>
        <v>21460</v>
      </c>
      <c r="C294" s="117" t="s">
        <v>821</v>
      </c>
      <c r="D294" s="225">
        <f>IFERROR(VLOOKUP(B294,'MTD Hours Paste Data'!A:C,3,FALSE),"")</f>
        <v>0</v>
      </c>
      <c r="E294" s="64">
        <f>IFERROR(VLOOKUP(B294,'ACDOCA - Paste Data'!B:G,6,FALSE),0)</f>
        <v>0</v>
      </c>
      <c r="F294" s="64">
        <f t="shared" si="480"/>
        <v>0</v>
      </c>
      <c r="G294" s="64">
        <f>IFERROR(VLOOKUP(B294,'ACDOCA - Paste Data'!B:H,7,FALSE),0)</f>
        <v>0</v>
      </c>
      <c r="H294" s="64">
        <f t="shared" si="481"/>
        <v>0</v>
      </c>
      <c r="I294" s="64">
        <f t="shared" si="482"/>
        <v>0</v>
      </c>
      <c r="J294" s="65">
        <f t="shared" si="483"/>
        <v>0</v>
      </c>
      <c r="K294" s="198" t="str">
        <f>IFERROR(VLOOKUP(B294,'WIP - Paste Data'!B:E,4,FALSE),"")</f>
        <v/>
      </c>
      <c r="L294" s="64"/>
      <c r="M294" s="64"/>
      <c r="N294" s="66"/>
      <c r="O294" s="66"/>
      <c r="P294" s="189">
        <f>IFERROR(VLOOKUP(B294,'JTD Paste Data'!A:B,2,FALSE),"0")</f>
        <v>124536.5</v>
      </c>
      <c r="Q294" s="189">
        <f t="shared" si="476"/>
        <v>124536.5</v>
      </c>
      <c r="R294" s="189">
        <f>IFERROR(VLOOKUP(B294,'JTD Paste Data'!A:C,3,FALSE),"0")</f>
        <v>114589.29</v>
      </c>
      <c r="S294" s="189">
        <f t="shared" si="477"/>
        <v>114589.29</v>
      </c>
      <c r="T294" s="189">
        <f t="shared" si="478"/>
        <v>9947.2100000000064</v>
      </c>
      <c r="U294" s="193">
        <f t="shared" si="479"/>
        <v>7.9873852244121246E-2</v>
      </c>
    </row>
    <row r="295" spans="1:21" x14ac:dyDescent="0.25">
      <c r="A295" s="54" t="str">
        <f>VLOOKUP(B295,'SAP Contracts'!A:J,10,FALSE)</f>
        <v>ATT - A05246A - Various - El Cerrito</v>
      </c>
      <c r="B295" s="54">
        <f>VLOOKUP(C295,'Active North Sky Projects'!C:D,2,FALSE)</f>
        <v>21194</v>
      </c>
      <c r="C295" s="117" t="s">
        <v>576</v>
      </c>
      <c r="D295" s="225" t="str">
        <f>IFERROR(VLOOKUP(B295,'MTD Hours Paste Data'!A:C,3,FALSE),"")</f>
        <v/>
      </c>
      <c r="E295" s="64">
        <f>IFERROR(VLOOKUP(B295,'ACDOCA - Paste Data'!B:G,6,FALSE),0)</f>
        <v>0</v>
      </c>
      <c r="F295" s="64">
        <f t="shared" si="473"/>
        <v>0</v>
      </c>
      <c r="G295" s="64">
        <f>IFERROR(VLOOKUP(B295,'ACDOCA - Paste Data'!B:H,7,FALSE),0)</f>
        <v>0</v>
      </c>
      <c r="H295" s="64">
        <f t="shared" si="474"/>
        <v>0</v>
      </c>
      <c r="I295" s="64">
        <f t="shared" si="475"/>
        <v>0</v>
      </c>
      <c r="J295" s="65">
        <f t="shared" si="468"/>
        <v>0</v>
      </c>
      <c r="K295" s="198" t="str">
        <f>IFERROR(VLOOKUP(B295,'WIP - Paste Data'!B:E,4,FALSE),"")</f>
        <v/>
      </c>
      <c r="L295" s="64"/>
      <c r="M295" s="64"/>
      <c r="N295" s="66"/>
      <c r="O295" s="66"/>
      <c r="P295" s="189" t="str">
        <f>IFERROR(VLOOKUP(B295,'JTD Paste Data'!A:B,2,FALSE),"0")</f>
        <v>0</v>
      </c>
      <c r="Q295" s="189">
        <f t="shared" si="476"/>
        <v>0</v>
      </c>
      <c r="R295" s="189" t="str">
        <f>IFERROR(VLOOKUP(B295,'JTD Paste Data'!A:C,3,FALSE),"0")</f>
        <v>0</v>
      </c>
      <c r="S295" s="189">
        <f t="shared" si="477"/>
        <v>0</v>
      </c>
      <c r="T295" s="189">
        <f t="shared" si="478"/>
        <v>0</v>
      </c>
      <c r="U295" s="193">
        <f t="shared" si="479"/>
        <v>0</v>
      </c>
    </row>
    <row r="296" spans="1:21" x14ac:dyDescent="0.25">
      <c r="A296" s="54" t="str">
        <f>VLOOKUP(B296,'SAP Contracts'!A:J,10,FALSE)</f>
        <v>ATT - A053D20 - St Helena</v>
      </c>
      <c r="B296" s="54">
        <f>VLOOKUP(C296,'Active North Sky Projects'!C:D,2,FALSE)</f>
        <v>21503</v>
      </c>
      <c r="C296" s="117" t="s">
        <v>765</v>
      </c>
      <c r="D296" s="225">
        <f>IFERROR(VLOOKUP(B296,'MTD Hours Paste Data'!A:C,3,FALSE),"")</f>
        <v>0</v>
      </c>
      <c r="E296" s="64">
        <f>IFERROR(VLOOKUP(B296,'ACDOCA - Paste Data'!B:G,6,FALSE),0)</f>
        <v>0</v>
      </c>
      <c r="F296" s="64">
        <f t="shared" si="473"/>
        <v>0</v>
      </c>
      <c r="G296" s="64">
        <f>IFERROR(VLOOKUP(B296,'ACDOCA - Paste Data'!B:H,7,FALSE),0)</f>
        <v>0</v>
      </c>
      <c r="H296" s="64">
        <f t="shared" si="474"/>
        <v>0</v>
      </c>
      <c r="I296" s="64">
        <f t="shared" si="475"/>
        <v>0</v>
      </c>
      <c r="J296" s="65">
        <f t="shared" si="468"/>
        <v>0</v>
      </c>
      <c r="K296" s="198" t="str">
        <f>IFERROR(VLOOKUP(B296,'WIP - Paste Data'!B:E,4,FALSE),"")</f>
        <v/>
      </c>
      <c r="L296" s="64"/>
      <c r="M296" s="64"/>
      <c r="N296" s="66"/>
      <c r="O296" s="66"/>
      <c r="P296" s="189">
        <f>IFERROR(VLOOKUP(B296,'JTD Paste Data'!A:B,2,FALSE),"0")</f>
        <v>1061605</v>
      </c>
      <c r="Q296" s="189">
        <f t="shared" si="476"/>
        <v>1061605</v>
      </c>
      <c r="R296" s="189">
        <f>IFERROR(VLOOKUP(B296,'JTD Paste Data'!A:C,3,FALSE),"0")</f>
        <v>955831.59</v>
      </c>
      <c r="S296" s="189">
        <f t="shared" si="477"/>
        <v>955831.59</v>
      </c>
      <c r="T296" s="189">
        <f t="shared" si="478"/>
        <v>105773.41000000003</v>
      </c>
      <c r="U296" s="193">
        <f t="shared" si="479"/>
        <v>9.9635372855252216E-2</v>
      </c>
    </row>
    <row r="297" spans="1:21" x14ac:dyDescent="0.25">
      <c r="A297" s="54" t="str">
        <f>VLOOKUP(B297,'SAP Contracts'!A:J,10,FALSE)</f>
        <v>ATT - A054P5Z - 493 Walsh Rd Atherton</v>
      </c>
      <c r="B297" s="54">
        <f>VLOOKUP(C297,'Active North Sky Projects'!C:D,2,FALSE)</f>
        <v>21432</v>
      </c>
      <c r="C297" s="117" t="s">
        <v>811</v>
      </c>
      <c r="D297" s="225" t="str">
        <f>IFERROR(VLOOKUP(B297,'MTD Hours Paste Data'!A:C,3,FALSE),"")</f>
        <v/>
      </c>
      <c r="E297" s="64">
        <f>IFERROR(VLOOKUP(B297,'ACDOCA - Paste Data'!B:G,6,FALSE),0)</f>
        <v>0</v>
      </c>
      <c r="F297" s="64">
        <f t="shared" si="473"/>
        <v>0</v>
      </c>
      <c r="G297" s="64">
        <f>IFERROR(VLOOKUP(B297,'ACDOCA - Paste Data'!B:H,7,FALSE),0)</f>
        <v>0</v>
      </c>
      <c r="H297" s="64">
        <f t="shared" si="474"/>
        <v>0</v>
      </c>
      <c r="I297" s="64">
        <f t="shared" si="475"/>
        <v>0</v>
      </c>
      <c r="J297" s="65">
        <f t="shared" si="468"/>
        <v>0</v>
      </c>
      <c r="K297" s="198" t="str">
        <f>IFERROR(VLOOKUP(B297,'WIP - Paste Data'!B:E,4,FALSE),"")</f>
        <v/>
      </c>
      <c r="L297" s="64"/>
      <c r="M297" s="64"/>
      <c r="N297" s="66"/>
      <c r="O297" s="66"/>
      <c r="P297" s="189">
        <f>IFERROR(VLOOKUP(B297,'JTD Paste Data'!A:B,2,FALSE),"0")</f>
        <v>199561.94</v>
      </c>
      <c r="Q297" s="189">
        <f t="shared" si="476"/>
        <v>199561.94</v>
      </c>
      <c r="R297" s="189">
        <f>IFERROR(VLOOKUP(B297,'JTD Paste Data'!A:C,3,FALSE),"0")</f>
        <v>163410.87</v>
      </c>
      <c r="S297" s="189">
        <f t="shared" si="477"/>
        <v>163410.87</v>
      </c>
      <c r="T297" s="189">
        <f t="shared" si="478"/>
        <v>36151.070000000007</v>
      </c>
      <c r="U297" s="193">
        <f t="shared" si="479"/>
        <v>0.18115212750487397</v>
      </c>
    </row>
    <row r="298" spans="1:21" x14ac:dyDescent="0.25">
      <c r="A298" s="54" t="str">
        <f>VLOOKUP(B298,'SAP Contracts'!A:J,10,FALSE)</f>
        <v>ATT - A055QP3 - Various</v>
      </c>
      <c r="B298" s="54">
        <f>VLOOKUP(C298,'Active North Sky Projects'!C:D,2,FALSE)</f>
        <v>21269</v>
      </c>
      <c r="C298" s="117" t="s">
        <v>848</v>
      </c>
      <c r="D298" s="225">
        <f>IFERROR(VLOOKUP(B298,'MTD Hours Paste Data'!A:C,3,FALSE),"")</f>
        <v>0</v>
      </c>
      <c r="E298" s="64">
        <f>IFERROR(VLOOKUP(B298,'ACDOCA - Paste Data'!B:G,6,FALSE),0)</f>
        <v>0</v>
      </c>
      <c r="F298" s="64">
        <f t="shared" si="473"/>
        <v>0</v>
      </c>
      <c r="G298" s="64">
        <f>IFERROR(VLOOKUP(B298,'ACDOCA - Paste Data'!B:H,7,FALSE),0)</f>
        <v>0</v>
      </c>
      <c r="H298" s="64">
        <f t="shared" si="474"/>
        <v>0</v>
      </c>
      <c r="I298" s="64">
        <f t="shared" si="475"/>
        <v>0</v>
      </c>
      <c r="J298" s="65">
        <f t="shared" si="468"/>
        <v>0</v>
      </c>
      <c r="K298" s="198">
        <f>IFERROR(VLOOKUP(B298,'WIP - Paste Data'!B:E,4,FALSE),"")</f>
        <v>274166</v>
      </c>
      <c r="L298" s="64"/>
      <c r="M298" s="64"/>
      <c r="N298" s="66"/>
      <c r="O298" s="66"/>
      <c r="P298" s="189">
        <f>IFERROR(VLOOKUP(B298,'JTD Paste Data'!A:B,2,FALSE),"0")</f>
        <v>274166</v>
      </c>
      <c r="Q298" s="189">
        <f t="shared" si="476"/>
        <v>274166</v>
      </c>
      <c r="R298" s="189">
        <f>IFERROR(VLOOKUP(B298,'JTD Paste Data'!A:C,3,FALSE),"0")</f>
        <v>238142.81</v>
      </c>
      <c r="S298" s="189">
        <f t="shared" si="477"/>
        <v>238142.81</v>
      </c>
      <c r="T298" s="189">
        <f t="shared" si="478"/>
        <v>36023.19</v>
      </c>
      <c r="U298" s="193">
        <f t="shared" si="479"/>
        <v>0.1313918939620522</v>
      </c>
    </row>
    <row r="299" spans="1:21" x14ac:dyDescent="0.25">
      <c r="A299" s="54" t="str">
        <f>VLOOKUP(B299,'SAP Contracts'!A:J,10,FALSE)</f>
        <v>ATT - A055YA7 - Williams St San Leandro</v>
      </c>
      <c r="B299" s="54">
        <f>VLOOKUP(C299,'Active North Sky Projects'!C:D,2,FALSE)</f>
        <v>21462</v>
      </c>
      <c r="C299" s="117" t="s">
        <v>644</v>
      </c>
      <c r="D299" s="225">
        <f>IFERROR(VLOOKUP(B299,'MTD Hours Paste Data'!A:C,3,FALSE),"")</f>
        <v>0</v>
      </c>
      <c r="E299" s="64">
        <f>IFERROR(VLOOKUP(B299,'ACDOCA - Paste Data'!B:G,6,FALSE),0)</f>
        <v>0</v>
      </c>
      <c r="F299" s="64">
        <f t="shared" si="473"/>
        <v>0</v>
      </c>
      <c r="G299" s="64">
        <f>IFERROR(VLOOKUP(B299,'ACDOCA - Paste Data'!B:H,7,FALSE),0)</f>
        <v>0</v>
      </c>
      <c r="H299" s="64">
        <f t="shared" si="474"/>
        <v>0</v>
      </c>
      <c r="I299" s="64">
        <f t="shared" si="475"/>
        <v>0</v>
      </c>
      <c r="J299" s="65">
        <f t="shared" si="468"/>
        <v>0</v>
      </c>
      <c r="K299" s="198" t="str">
        <f>IFERROR(VLOOKUP(B299,'WIP - Paste Data'!B:E,4,FALSE),"")</f>
        <v/>
      </c>
      <c r="L299" s="64"/>
      <c r="M299" s="64"/>
      <c r="N299" s="66"/>
      <c r="O299" s="66"/>
      <c r="P299" s="189">
        <f>IFERROR(VLOOKUP(B299,'JTD Paste Data'!A:B,2,FALSE),"0")</f>
        <v>7098.1399999999994</v>
      </c>
      <c r="Q299" s="189">
        <f t="shared" si="476"/>
        <v>7098.1399999999994</v>
      </c>
      <c r="R299" s="189">
        <f>IFERROR(VLOOKUP(B299,'JTD Paste Data'!A:C,3,FALSE),"0")</f>
        <v>4036.4300000000003</v>
      </c>
      <c r="S299" s="189">
        <f t="shared" si="477"/>
        <v>4036.4300000000003</v>
      </c>
      <c r="T299" s="189">
        <f t="shared" si="478"/>
        <v>3061.7099999999991</v>
      </c>
      <c r="U299" s="193">
        <f t="shared" si="479"/>
        <v>0.43133975942993508</v>
      </c>
    </row>
    <row r="300" spans="1:21" x14ac:dyDescent="0.25">
      <c r="A300" s="54" t="str">
        <f>VLOOKUP(B300,'SAP Contracts'!A:J,10,FALSE)</f>
        <v>ATT - A055ZJ0 - 24239 Hesperian Blvd Hay</v>
      </c>
      <c r="B300" s="54">
        <f>VLOOKUP(C300,'Active North Sky Projects'!C:D,2,FALSE)</f>
        <v>21136</v>
      </c>
      <c r="C300" s="117" t="s">
        <v>485</v>
      </c>
      <c r="D300" s="225" t="str">
        <f>IFERROR(VLOOKUP(B300,'MTD Hours Paste Data'!A:C,3,FALSE),"")</f>
        <v/>
      </c>
      <c r="E300" s="64">
        <f>IFERROR(VLOOKUP(B300,'ACDOCA - Paste Data'!B:G,6,FALSE),0)</f>
        <v>0</v>
      </c>
      <c r="F300" s="64">
        <f t="shared" si="473"/>
        <v>0</v>
      </c>
      <c r="G300" s="64">
        <f>IFERROR(VLOOKUP(B300,'ACDOCA - Paste Data'!B:H,7,FALSE),0)</f>
        <v>0</v>
      </c>
      <c r="H300" s="64">
        <f t="shared" si="474"/>
        <v>0</v>
      </c>
      <c r="I300" s="64">
        <f t="shared" si="475"/>
        <v>0</v>
      </c>
      <c r="J300" s="65">
        <f t="shared" si="468"/>
        <v>0</v>
      </c>
      <c r="K300" s="198" t="str">
        <f>IFERROR(VLOOKUP(B300,'WIP - Paste Data'!B:E,4,FALSE),"")</f>
        <v/>
      </c>
      <c r="L300" s="64"/>
      <c r="M300" s="64"/>
      <c r="N300" s="66"/>
      <c r="O300" s="66"/>
      <c r="P300" s="189" t="str">
        <f>IFERROR(VLOOKUP(B300,'JTD Paste Data'!A:B,2,FALSE),"0")</f>
        <v>0</v>
      </c>
      <c r="Q300" s="189">
        <f t="shared" si="476"/>
        <v>0</v>
      </c>
      <c r="R300" s="189" t="str">
        <f>IFERROR(VLOOKUP(B300,'JTD Paste Data'!A:C,3,FALSE),"0")</f>
        <v>0</v>
      </c>
      <c r="S300" s="189">
        <f t="shared" si="477"/>
        <v>0</v>
      </c>
      <c r="T300" s="189">
        <f t="shared" si="478"/>
        <v>0</v>
      </c>
      <c r="U300" s="193">
        <f t="shared" si="479"/>
        <v>0</v>
      </c>
    </row>
    <row r="301" spans="1:21" x14ac:dyDescent="0.25">
      <c r="A301" s="54" t="str">
        <f>VLOOKUP(B301,'SAP Contracts'!A:J,10,FALSE)</f>
        <v>ATT - A057N0N - Broadway St Oakland</v>
      </c>
      <c r="B301" s="54">
        <f>VLOOKUP(C301,'Active North Sky Projects'!C:D,2,FALSE)</f>
        <v>21455</v>
      </c>
      <c r="C301" s="117" t="s">
        <v>618</v>
      </c>
      <c r="D301" s="225" t="str">
        <f>IFERROR(VLOOKUP(B301,'MTD Hours Paste Data'!A:C,3,FALSE),"")</f>
        <v/>
      </c>
      <c r="E301" s="64">
        <f>IFERROR(VLOOKUP(B301,'ACDOCA - Paste Data'!B:G,6,FALSE),0)</f>
        <v>0</v>
      </c>
      <c r="F301" s="64">
        <f t="shared" si="473"/>
        <v>0</v>
      </c>
      <c r="G301" s="64">
        <f>IFERROR(VLOOKUP(B301,'ACDOCA - Paste Data'!B:H,7,FALSE),0)</f>
        <v>0</v>
      </c>
      <c r="H301" s="64">
        <f t="shared" si="474"/>
        <v>0</v>
      </c>
      <c r="I301" s="64">
        <f t="shared" si="475"/>
        <v>0</v>
      </c>
      <c r="J301" s="65">
        <f t="shared" si="468"/>
        <v>0</v>
      </c>
      <c r="K301" s="198" t="str">
        <f>IFERROR(VLOOKUP(B301,'WIP - Paste Data'!B:E,4,FALSE),"")</f>
        <v/>
      </c>
      <c r="L301" s="64"/>
      <c r="M301" s="64"/>
      <c r="N301" s="66"/>
      <c r="O301" s="66"/>
      <c r="P301" s="189" t="str">
        <f>IFERROR(VLOOKUP(B301,'JTD Paste Data'!A:B,2,FALSE),"0")</f>
        <v>0</v>
      </c>
      <c r="Q301" s="189">
        <f t="shared" si="476"/>
        <v>0</v>
      </c>
      <c r="R301" s="189" t="str">
        <f>IFERROR(VLOOKUP(B301,'JTD Paste Data'!A:C,3,FALSE),"0")</f>
        <v>0</v>
      </c>
      <c r="S301" s="189">
        <f t="shared" si="477"/>
        <v>0</v>
      </c>
      <c r="T301" s="189">
        <f t="shared" si="478"/>
        <v>0</v>
      </c>
      <c r="U301" s="193">
        <f t="shared" si="479"/>
        <v>0</v>
      </c>
    </row>
    <row r="302" spans="1:21" ht="12.75" customHeight="1" x14ac:dyDescent="0.25">
      <c r="A302" s="54" t="str">
        <f>VLOOKUP(B302,'SAP Contracts'!A:J,10,FALSE)</f>
        <v>ATT - A058EV8 - Martinez</v>
      </c>
      <c r="B302" s="54">
        <f>VLOOKUP(C302,'Active North Sky Projects'!C:D,2,FALSE)</f>
        <v>21509</v>
      </c>
      <c r="C302" s="118" t="s">
        <v>1055</v>
      </c>
      <c r="D302" s="225">
        <f>IFERROR(VLOOKUP(B302,'MTD Hours Paste Data'!A:C,3,FALSE),"")</f>
        <v>0</v>
      </c>
      <c r="E302" s="64">
        <f>IFERROR(VLOOKUP(B302,'ACDOCA - Paste Data'!B:G,6,FALSE),0)</f>
        <v>0</v>
      </c>
      <c r="F302" s="64">
        <f t="shared" si="473"/>
        <v>0</v>
      </c>
      <c r="G302" s="64">
        <f>IFERROR(VLOOKUP(B302,'ACDOCA - Paste Data'!B:H,7,FALSE),0)</f>
        <v>0</v>
      </c>
      <c r="H302" s="64">
        <f t="shared" si="474"/>
        <v>0</v>
      </c>
      <c r="I302" s="64">
        <f t="shared" si="475"/>
        <v>0</v>
      </c>
      <c r="J302" s="65">
        <f t="shared" si="468"/>
        <v>0</v>
      </c>
      <c r="K302" s="198">
        <f>IFERROR(VLOOKUP(B302,'WIP - Paste Data'!B:E,4,FALSE),"")</f>
        <v>169757.96</v>
      </c>
      <c r="L302" s="64"/>
      <c r="M302" s="64"/>
      <c r="N302" s="66"/>
      <c r="O302" s="66"/>
      <c r="P302" s="189">
        <f>IFERROR(VLOOKUP(B302,'JTD Paste Data'!A:B,2,FALSE),"0")</f>
        <v>169757.96</v>
      </c>
      <c r="Q302" s="189">
        <f t="shared" si="476"/>
        <v>169757.96</v>
      </c>
      <c r="R302" s="189">
        <f>IFERROR(VLOOKUP(B302,'JTD Paste Data'!A:C,3,FALSE),"0")</f>
        <v>144413.11000000002</v>
      </c>
      <c r="S302" s="189">
        <f t="shared" si="477"/>
        <v>144413.11000000002</v>
      </c>
      <c r="T302" s="189">
        <f t="shared" si="478"/>
        <v>25344.849999999977</v>
      </c>
      <c r="U302" s="193">
        <f t="shared" si="479"/>
        <v>0.14929992089914357</v>
      </c>
    </row>
    <row r="303" spans="1:21" ht="12.75" customHeight="1" x14ac:dyDescent="0.25">
      <c r="A303" s="54" t="str">
        <f>VLOOKUP(B303,'SAP Contracts'!A:J,10,FALSE)</f>
        <v>ATT - A058FR3 - 2 Paseo Linares</v>
      </c>
      <c r="B303" s="54">
        <f>VLOOKUP(C303,'Active North Sky Projects'!C:D,2,FALSE)</f>
        <v>21041</v>
      </c>
      <c r="C303" s="117" t="s">
        <v>909</v>
      </c>
      <c r="D303" s="225">
        <f>IFERROR(VLOOKUP(B303,'MTD Hours Paste Data'!A:C,3,FALSE),"")</f>
        <v>0</v>
      </c>
      <c r="E303" s="64">
        <f>IFERROR(VLOOKUP(B303,'ACDOCA - Paste Data'!B:G,6,FALSE),0)</f>
        <v>0</v>
      </c>
      <c r="F303" s="64">
        <f t="shared" si="473"/>
        <v>0</v>
      </c>
      <c r="G303" s="64">
        <f>IFERROR(VLOOKUP(B303,'ACDOCA - Paste Data'!B:H,7,FALSE),0)</f>
        <v>211.9</v>
      </c>
      <c r="H303" s="64">
        <f t="shared" si="474"/>
        <v>211.9</v>
      </c>
      <c r="I303" s="64">
        <f t="shared" si="475"/>
        <v>-211.9</v>
      </c>
      <c r="J303" s="65">
        <f t="shared" si="468"/>
        <v>0</v>
      </c>
      <c r="K303" s="198">
        <f>IFERROR(VLOOKUP(B303,'WIP - Paste Data'!B:E,4,FALSE),"")</f>
        <v>125373.1</v>
      </c>
      <c r="L303" s="64"/>
      <c r="M303" s="64"/>
      <c r="N303" s="66"/>
      <c r="O303" s="66"/>
      <c r="P303" s="189">
        <f>IFERROR(VLOOKUP(B303,'JTD Paste Data'!A:B,2,FALSE),"0")</f>
        <v>125373.1</v>
      </c>
      <c r="Q303" s="189">
        <f t="shared" si="476"/>
        <v>125373.1</v>
      </c>
      <c r="R303" s="189">
        <f>IFERROR(VLOOKUP(B303,'JTD Paste Data'!A:C,3,FALSE),"0")</f>
        <v>84107.62</v>
      </c>
      <c r="S303" s="189">
        <f t="shared" si="477"/>
        <v>84107.62</v>
      </c>
      <c r="T303" s="189">
        <f t="shared" si="478"/>
        <v>41265.48000000001</v>
      </c>
      <c r="U303" s="193">
        <f t="shared" si="479"/>
        <v>0.32914141869348373</v>
      </c>
    </row>
    <row r="304" spans="1:21" ht="12.75" customHeight="1" x14ac:dyDescent="0.25">
      <c r="A304" s="54" t="str">
        <f>VLOOKUP(B304,'SAP Contracts'!A:J,10,FALSE)</f>
        <v>ATT - A058FR3 - Moraga</v>
      </c>
      <c r="B304" s="54">
        <f>VLOOKUP(C304,'Active North Sky Projects'!C:D,2,FALSE)</f>
        <v>21533</v>
      </c>
      <c r="C304" s="117" t="s">
        <v>865</v>
      </c>
      <c r="D304" s="225">
        <f>IFERROR(VLOOKUP(B304,'MTD Hours Paste Data'!A:C,3,FALSE),"")</f>
        <v>0</v>
      </c>
      <c r="E304" s="64">
        <f>IFERROR(VLOOKUP(B304,'ACDOCA - Paste Data'!B:G,6,FALSE),0)</f>
        <v>0</v>
      </c>
      <c r="F304" s="64">
        <f t="shared" si="473"/>
        <v>0</v>
      </c>
      <c r="G304" s="64">
        <f>IFERROR(VLOOKUP(B304,'ACDOCA - Paste Data'!B:H,7,FALSE),0)</f>
        <v>138.78</v>
      </c>
      <c r="H304" s="64">
        <f t="shared" si="474"/>
        <v>138.78</v>
      </c>
      <c r="I304" s="64">
        <f t="shared" si="475"/>
        <v>-138.78</v>
      </c>
      <c r="J304" s="65">
        <f t="shared" si="468"/>
        <v>0</v>
      </c>
      <c r="K304" s="198">
        <f>IFERROR(VLOOKUP(B304,'WIP - Paste Data'!B:E,4,FALSE),"")</f>
        <v>264289</v>
      </c>
      <c r="L304" s="64"/>
      <c r="M304" s="64"/>
      <c r="N304" s="66"/>
      <c r="O304" s="66"/>
      <c r="P304" s="189">
        <f>IFERROR(VLOOKUP(B304,'JTD Paste Data'!A:B,2,FALSE),"0")</f>
        <v>264289</v>
      </c>
      <c r="Q304" s="189">
        <f t="shared" si="476"/>
        <v>264289</v>
      </c>
      <c r="R304" s="189">
        <f>IFERROR(VLOOKUP(B304,'JTD Paste Data'!A:C,3,FALSE),"0")</f>
        <v>203881.38999999998</v>
      </c>
      <c r="S304" s="189">
        <f t="shared" si="477"/>
        <v>203881.38999999998</v>
      </c>
      <c r="T304" s="189">
        <f t="shared" si="478"/>
        <v>60407.610000000015</v>
      </c>
      <c r="U304" s="193">
        <f t="shared" si="479"/>
        <v>0.22856649349764846</v>
      </c>
    </row>
    <row r="305" spans="1:21" ht="12.75" customHeight="1" x14ac:dyDescent="0.25">
      <c r="A305" s="54" t="str">
        <f>VLOOKUP(B305,'SAP Contracts'!A:J,10,FALSE)</f>
        <v>ATT - A058HE0 - Oakland</v>
      </c>
      <c r="B305" s="54">
        <f>VLOOKUP(C305,'Active North Sky Projects'!C:D,2,FALSE)</f>
        <v>21537</v>
      </c>
      <c r="C305" s="117" t="s">
        <v>867</v>
      </c>
      <c r="D305" s="225" t="str">
        <f>IFERROR(VLOOKUP(B305,'MTD Hours Paste Data'!A:C,3,FALSE),"")</f>
        <v/>
      </c>
      <c r="E305" s="64">
        <f>IFERROR(VLOOKUP(B305,'ACDOCA - Paste Data'!B:G,6,FALSE),0)</f>
        <v>0</v>
      </c>
      <c r="F305" s="64">
        <f t="shared" si="473"/>
        <v>0</v>
      </c>
      <c r="G305" s="64">
        <f>IFERROR(VLOOKUP(B305,'ACDOCA - Paste Data'!B:H,7,FALSE),0)</f>
        <v>0</v>
      </c>
      <c r="H305" s="64">
        <f t="shared" si="474"/>
        <v>0</v>
      </c>
      <c r="I305" s="64">
        <f t="shared" si="475"/>
        <v>0</v>
      </c>
      <c r="J305" s="65">
        <f t="shared" si="468"/>
        <v>0</v>
      </c>
      <c r="K305" s="198" t="str">
        <f>IFERROR(VLOOKUP(B305,'WIP - Paste Data'!B:E,4,FALSE),"")</f>
        <v/>
      </c>
      <c r="L305" s="64"/>
      <c r="M305" s="64"/>
      <c r="N305" s="66"/>
      <c r="O305" s="66"/>
      <c r="P305" s="189" t="str">
        <f>IFERROR(VLOOKUP(B305,'JTD Paste Data'!A:B,2,FALSE),"0")</f>
        <v>0</v>
      </c>
      <c r="Q305" s="189">
        <f t="shared" si="476"/>
        <v>0</v>
      </c>
      <c r="R305" s="189" t="str">
        <f>IFERROR(VLOOKUP(B305,'JTD Paste Data'!A:C,3,FALSE),"0")</f>
        <v>0</v>
      </c>
      <c r="S305" s="189">
        <f t="shared" si="477"/>
        <v>0</v>
      </c>
      <c r="T305" s="189">
        <f t="shared" si="478"/>
        <v>0</v>
      </c>
      <c r="U305" s="193">
        <f t="shared" si="479"/>
        <v>0</v>
      </c>
    </row>
    <row r="306" spans="1:21" x14ac:dyDescent="0.25">
      <c r="A306" s="54" t="str">
        <f>VLOOKUP(B306,'SAP Contracts'!A:J,10,FALSE)</f>
        <v>ATT - A058N3T - Moraga Dig Ups</v>
      </c>
      <c r="B306" s="54">
        <f>VLOOKUP(C306,'Active North Sky Projects'!C:D,2,FALSE)</f>
        <v>21079</v>
      </c>
      <c r="C306" s="117" t="s">
        <v>961</v>
      </c>
      <c r="D306" s="225" t="str">
        <f>IFERROR(VLOOKUP(B306,'MTD Hours Paste Data'!A:C,3,FALSE),"")</f>
        <v/>
      </c>
      <c r="E306" s="64">
        <f>IFERROR(VLOOKUP(B306,'ACDOCA - Paste Data'!B:G,6,FALSE),0)</f>
        <v>0</v>
      </c>
      <c r="F306" s="64">
        <f t="shared" si="473"/>
        <v>0</v>
      </c>
      <c r="G306" s="64">
        <f>IFERROR(VLOOKUP(B306,'ACDOCA - Paste Data'!B:H,7,FALSE),0)</f>
        <v>0</v>
      </c>
      <c r="H306" s="64">
        <f t="shared" si="474"/>
        <v>0</v>
      </c>
      <c r="I306" s="64">
        <f t="shared" si="475"/>
        <v>0</v>
      </c>
      <c r="J306" s="65">
        <f t="shared" si="468"/>
        <v>0</v>
      </c>
      <c r="K306" s="198">
        <f>IFERROR(VLOOKUP(B306,'WIP - Paste Data'!B:E,4,FALSE),"")</f>
        <v>20988</v>
      </c>
      <c r="L306" s="64"/>
      <c r="M306" s="64"/>
      <c r="N306" s="66"/>
      <c r="O306" s="66"/>
      <c r="P306" s="189">
        <f>IFERROR(VLOOKUP(B306,'JTD Paste Data'!A:B,2,FALSE),"0")</f>
        <v>20988</v>
      </c>
      <c r="Q306" s="189">
        <f t="shared" si="476"/>
        <v>20988</v>
      </c>
      <c r="R306" s="189">
        <f>IFERROR(VLOOKUP(B306,'JTD Paste Data'!A:C,3,FALSE),"0")</f>
        <v>12420.76</v>
      </c>
      <c r="S306" s="189">
        <f t="shared" si="477"/>
        <v>12420.76</v>
      </c>
      <c r="T306" s="189">
        <f t="shared" si="478"/>
        <v>8567.24</v>
      </c>
      <c r="U306" s="193">
        <f t="shared" si="479"/>
        <v>0.4081970649895178</v>
      </c>
    </row>
    <row r="307" spans="1:21" x14ac:dyDescent="0.25">
      <c r="A307" s="54" t="str">
        <f>VLOOKUP(B307,'SAP Contracts'!A:J,10,FALSE)</f>
        <v>ATT - A058N3W - Harvard Circle</v>
      </c>
      <c r="B307" s="54">
        <f>VLOOKUP(C307,'Active North Sky Projects'!C:D,2,FALSE)</f>
        <v>21074</v>
      </c>
      <c r="C307" s="117" t="s">
        <v>937</v>
      </c>
      <c r="D307" s="225" t="str">
        <f>IFERROR(VLOOKUP(B307,'MTD Hours Paste Data'!A:C,3,FALSE),"")</f>
        <v/>
      </c>
      <c r="E307" s="64">
        <f>IFERROR(VLOOKUP(B307,'ACDOCA - Paste Data'!B:G,6,FALSE),0)</f>
        <v>0</v>
      </c>
      <c r="F307" s="64">
        <f t="shared" si="473"/>
        <v>0</v>
      </c>
      <c r="G307" s="64">
        <f>IFERROR(VLOOKUP(B307,'ACDOCA - Paste Data'!B:H,7,FALSE),0)</f>
        <v>0</v>
      </c>
      <c r="H307" s="64">
        <f t="shared" si="474"/>
        <v>0</v>
      </c>
      <c r="I307" s="64">
        <f t="shared" si="475"/>
        <v>0</v>
      </c>
      <c r="J307" s="65">
        <f t="shared" si="468"/>
        <v>0</v>
      </c>
      <c r="K307" s="198">
        <f>IFERROR(VLOOKUP(B307,'WIP - Paste Data'!B:E,4,FALSE),"")</f>
        <v>112064</v>
      </c>
      <c r="L307" s="64"/>
      <c r="M307" s="64"/>
      <c r="N307" s="66"/>
      <c r="O307" s="66"/>
      <c r="P307" s="189">
        <f>IFERROR(VLOOKUP(B307,'JTD Paste Data'!A:B,2,FALSE),"0")</f>
        <v>112064</v>
      </c>
      <c r="Q307" s="189">
        <f t="shared" si="476"/>
        <v>112064</v>
      </c>
      <c r="R307" s="189">
        <f>IFERROR(VLOOKUP(B307,'JTD Paste Data'!A:C,3,FALSE),"0")</f>
        <v>107152.08</v>
      </c>
      <c r="S307" s="189">
        <f t="shared" si="477"/>
        <v>107152.08</v>
      </c>
      <c r="T307" s="189">
        <f t="shared" si="478"/>
        <v>4911.9199999999983</v>
      </c>
      <c r="U307" s="193">
        <f t="shared" si="479"/>
        <v>4.3831382067390047E-2</v>
      </c>
    </row>
    <row r="308" spans="1:21" x14ac:dyDescent="0.25">
      <c r="A308" s="54" t="str">
        <f>VLOOKUP(B308,'SAP Contracts'!A:J,10,FALSE)</f>
        <v>ATT - A058VW3 - 1075 40th St Emeryville</v>
      </c>
      <c r="B308" s="54">
        <f>VLOOKUP(C308,'Active North Sky Projects'!C:D,2,FALSE)</f>
        <v>21261</v>
      </c>
      <c r="C308" s="117" t="s">
        <v>809</v>
      </c>
      <c r="D308" s="225" t="str">
        <f>IFERROR(VLOOKUP(B308,'MTD Hours Paste Data'!A:C,3,FALSE),"")</f>
        <v/>
      </c>
      <c r="E308" s="64">
        <f>IFERROR(VLOOKUP(B308,'ACDOCA - Paste Data'!B:G,6,FALSE),0)</f>
        <v>0</v>
      </c>
      <c r="F308" s="64">
        <f t="shared" si="473"/>
        <v>0</v>
      </c>
      <c r="G308" s="64">
        <f>IFERROR(VLOOKUP(B308,'ACDOCA - Paste Data'!B:H,7,FALSE),0)</f>
        <v>0</v>
      </c>
      <c r="H308" s="64">
        <f t="shared" si="474"/>
        <v>0</v>
      </c>
      <c r="I308" s="64">
        <f t="shared" si="475"/>
        <v>0</v>
      </c>
      <c r="J308" s="65">
        <f t="shared" si="468"/>
        <v>0</v>
      </c>
      <c r="K308" s="198" t="str">
        <f>IFERROR(VLOOKUP(B308,'WIP - Paste Data'!B:E,4,FALSE),"")</f>
        <v/>
      </c>
      <c r="L308" s="64"/>
      <c r="M308" s="64"/>
      <c r="N308" s="66"/>
      <c r="O308" s="66"/>
      <c r="P308" s="189">
        <f>IFERROR(VLOOKUP(B308,'JTD Paste Data'!A:B,2,FALSE),"0")</f>
        <v>30576.38</v>
      </c>
      <c r="Q308" s="189">
        <f t="shared" si="476"/>
        <v>30576.38</v>
      </c>
      <c r="R308" s="189">
        <f>IFERROR(VLOOKUP(B308,'JTD Paste Data'!A:C,3,FALSE),"0")</f>
        <v>17617.810000000001</v>
      </c>
      <c r="S308" s="189">
        <f t="shared" si="477"/>
        <v>17617.810000000001</v>
      </c>
      <c r="T308" s="189">
        <f t="shared" si="478"/>
        <v>12958.57</v>
      </c>
      <c r="U308" s="193">
        <f t="shared" si="479"/>
        <v>0.42380981659699413</v>
      </c>
    </row>
    <row r="309" spans="1:21" x14ac:dyDescent="0.25">
      <c r="A309" s="54" t="str">
        <f>VLOOKUP(B309,'SAP Contracts'!A:J,10,FALSE)</f>
        <v>ATT - A059283 - Oakland</v>
      </c>
      <c r="B309" s="54">
        <f>VLOOKUP(C309,'Active North Sky Projects'!C:D,2,FALSE)</f>
        <v>21546</v>
      </c>
      <c r="C309" s="117" t="s">
        <v>883</v>
      </c>
      <c r="D309" s="225" t="str">
        <f>IFERROR(VLOOKUP(B309,'MTD Hours Paste Data'!A:C,3,FALSE),"")</f>
        <v/>
      </c>
      <c r="E309" s="64">
        <f>IFERROR(VLOOKUP(B309,'ACDOCA - Paste Data'!B:G,6,FALSE),0)</f>
        <v>0</v>
      </c>
      <c r="F309" s="64">
        <f t="shared" si="473"/>
        <v>0</v>
      </c>
      <c r="G309" s="64">
        <f>IFERROR(VLOOKUP(B309,'ACDOCA - Paste Data'!B:H,7,FALSE),0)</f>
        <v>0</v>
      </c>
      <c r="H309" s="64">
        <f t="shared" si="474"/>
        <v>0</v>
      </c>
      <c r="I309" s="64">
        <f t="shared" si="475"/>
        <v>0</v>
      </c>
      <c r="J309" s="65">
        <f t="shared" si="468"/>
        <v>0</v>
      </c>
      <c r="K309" s="198" t="str">
        <f>IFERROR(VLOOKUP(B309,'WIP - Paste Data'!B:E,4,FALSE),"")</f>
        <v/>
      </c>
      <c r="L309" s="64"/>
      <c r="M309" s="64"/>
      <c r="N309" s="66"/>
      <c r="O309" s="66"/>
      <c r="P309" s="189" t="str">
        <f>IFERROR(VLOOKUP(B309,'JTD Paste Data'!A:B,2,FALSE),"0")</f>
        <v>0</v>
      </c>
      <c r="Q309" s="189">
        <f t="shared" si="476"/>
        <v>0</v>
      </c>
      <c r="R309" s="189" t="str">
        <f>IFERROR(VLOOKUP(B309,'JTD Paste Data'!A:C,3,FALSE),"0")</f>
        <v>0</v>
      </c>
      <c r="S309" s="189">
        <f t="shared" si="477"/>
        <v>0</v>
      </c>
      <c r="T309" s="189">
        <f t="shared" si="478"/>
        <v>0</v>
      </c>
      <c r="U309" s="193">
        <f t="shared" si="479"/>
        <v>0</v>
      </c>
    </row>
    <row r="310" spans="1:21" x14ac:dyDescent="0.25">
      <c r="A310" s="54" t="str">
        <f>VLOOKUP(B310,'SAP Contracts'!A:J,10,FALSE)</f>
        <v>ATT - A05966Q - Danville Flexnap</v>
      </c>
      <c r="B310" s="54">
        <f>VLOOKUP(C310,'Active North Sky Projects'!C:D,2,FALSE)</f>
        <v>21096</v>
      </c>
      <c r="C310" s="117" t="s">
        <v>1076</v>
      </c>
      <c r="D310" s="225">
        <f>IFERROR(VLOOKUP(B310,'MTD Hours Paste Data'!A:C,3,FALSE),"")</f>
        <v>0</v>
      </c>
      <c r="E310" s="64">
        <f>IFERROR(VLOOKUP(B310,'ACDOCA - Paste Data'!B:G,6,FALSE),0)</f>
        <v>0</v>
      </c>
      <c r="F310" s="64">
        <f t="shared" si="473"/>
        <v>0</v>
      </c>
      <c r="G310" s="64">
        <f>IFERROR(VLOOKUP(B310,'ACDOCA - Paste Data'!B:H,7,FALSE),0)</f>
        <v>0</v>
      </c>
      <c r="H310" s="64">
        <f t="shared" si="474"/>
        <v>0</v>
      </c>
      <c r="I310" s="64">
        <f t="shared" si="475"/>
        <v>0</v>
      </c>
      <c r="J310" s="65">
        <f t="shared" si="468"/>
        <v>0</v>
      </c>
      <c r="K310" s="198" t="str">
        <f>IFERROR(VLOOKUP(B310,'WIP - Paste Data'!B:E,4,FALSE),"")</f>
        <v/>
      </c>
      <c r="L310" s="64"/>
      <c r="M310" s="64"/>
      <c r="N310" s="66"/>
      <c r="O310" s="66"/>
      <c r="P310" s="189">
        <f>IFERROR(VLOOKUP(B310,'JTD Paste Data'!A:B,2,FALSE),"0")</f>
        <v>139616.73000000001</v>
      </c>
      <c r="Q310" s="189">
        <f t="shared" si="476"/>
        <v>139616.73000000001</v>
      </c>
      <c r="R310" s="189">
        <f>IFERROR(VLOOKUP(B310,'JTD Paste Data'!A:C,3,FALSE),"0")</f>
        <v>104411.71</v>
      </c>
      <c r="S310" s="189">
        <f t="shared" si="477"/>
        <v>104411.71</v>
      </c>
      <c r="T310" s="189">
        <f t="shared" si="478"/>
        <v>35205.020000000004</v>
      </c>
      <c r="U310" s="193">
        <f t="shared" si="479"/>
        <v>0.25215473818932732</v>
      </c>
    </row>
    <row r="311" spans="1:21" x14ac:dyDescent="0.25">
      <c r="A311" s="54" t="str">
        <f>VLOOKUP(B311,'SAP Contracts'!A:J,10,FALSE)</f>
        <v>ATT - A059FVL - Alameda Rod and Rope</v>
      </c>
      <c r="B311" s="54">
        <f>VLOOKUP(C311,'Active North Sky Projects'!C:D,2,FALSE)</f>
        <v>21502</v>
      </c>
      <c r="C311" s="118" t="s">
        <v>997</v>
      </c>
      <c r="D311" s="225" t="str">
        <f>IFERROR(VLOOKUP(B311,'MTD Hours Paste Data'!A:C,3,FALSE),"")</f>
        <v/>
      </c>
      <c r="E311" s="64">
        <f>IFERROR(VLOOKUP(B311,'ACDOCA - Paste Data'!B:G,6,FALSE),0)</f>
        <v>0</v>
      </c>
      <c r="F311" s="64">
        <f t="shared" si="473"/>
        <v>0</v>
      </c>
      <c r="G311" s="64">
        <f>IFERROR(VLOOKUP(B311,'ACDOCA - Paste Data'!B:H,7,FALSE),0)</f>
        <v>0</v>
      </c>
      <c r="H311" s="64">
        <f t="shared" si="474"/>
        <v>0</v>
      </c>
      <c r="I311" s="64">
        <f t="shared" si="475"/>
        <v>0</v>
      </c>
      <c r="J311" s="65">
        <f t="shared" si="468"/>
        <v>0</v>
      </c>
      <c r="K311" s="198">
        <f>IFERROR(VLOOKUP(B311,'WIP - Paste Data'!B:E,4,FALSE),"")</f>
        <v>13334.1</v>
      </c>
      <c r="L311" s="64"/>
      <c r="M311" s="64"/>
      <c r="N311" s="66"/>
      <c r="O311" s="66"/>
      <c r="P311" s="189">
        <f>IFERROR(VLOOKUP(B311,'JTD Paste Data'!A:B,2,FALSE),"0")</f>
        <v>13334.1</v>
      </c>
      <c r="Q311" s="189">
        <f t="shared" si="476"/>
        <v>13334.1</v>
      </c>
      <c r="R311" s="189">
        <f>IFERROR(VLOOKUP(B311,'JTD Paste Data'!A:C,3,FALSE),"0")</f>
        <v>13805.78</v>
      </c>
      <c r="S311" s="189">
        <f t="shared" si="477"/>
        <v>13805.78</v>
      </c>
      <c r="T311" s="189">
        <f t="shared" si="478"/>
        <v>-471.68000000000029</v>
      </c>
      <c r="U311" s="193">
        <f t="shared" si="479"/>
        <v>-3.5373965996955199E-2</v>
      </c>
    </row>
    <row r="312" spans="1:21" x14ac:dyDescent="0.25">
      <c r="A312" s="54" t="str">
        <f>VLOOKUP(B312,'SAP Contracts'!A:J,10,FALSE)</f>
        <v>ATT - A059FZM - Hayward</v>
      </c>
      <c r="B312" s="54">
        <f>VLOOKUP(C312,'Active North Sky Projects'!C:D,2,FALSE)</f>
        <v>21559</v>
      </c>
      <c r="C312" s="117" t="s">
        <v>923</v>
      </c>
      <c r="D312" s="225" t="str">
        <f>IFERROR(VLOOKUP(B312,'MTD Hours Paste Data'!A:C,3,FALSE),"")</f>
        <v/>
      </c>
      <c r="E312" s="64">
        <f>IFERROR(VLOOKUP(B312,'ACDOCA - Paste Data'!B:G,6,FALSE),0)</f>
        <v>0</v>
      </c>
      <c r="F312" s="64">
        <f t="shared" si="473"/>
        <v>0</v>
      </c>
      <c r="G312" s="64">
        <f>IFERROR(VLOOKUP(B312,'ACDOCA - Paste Data'!B:H,7,FALSE),0)</f>
        <v>0</v>
      </c>
      <c r="H312" s="64">
        <f t="shared" si="474"/>
        <v>0</v>
      </c>
      <c r="I312" s="64">
        <f t="shared" si="475"/>
        <v>0</v>
      </c>
      <c r="J312" s="65">
        <f t="shared" si="468"/>
        <v>0</v>
      </c>
      <c r="K312" s="198" t="str">
        <f>IFERROR(VLOOKUP(B312,'WIP - Paste Data'!B:E,4,FALSE),"")</f>
        <v/>
      </c>
      <c r="L312" s="64"/>
      <c r="M312" s="64"/>
      <c r="N312" s="66"/>
      <c r="O312" s="66"/>
      <c r="P312" s="189">
        <f>IFERROR(VLOOKUP(B312,'JTD Paste Data'!A:B,2,FALSE),"0")</f>
        <v>12585.43</v>
      </c>
      <c r="Q312" s="189">
        <f t="shared" si="476"/>
        <v>12585.43</v>
      </c>
      <c r="R312" s="189">
        <f>IFERROR(VLOOKUP(B312,'JTD Paste Data'!A:C,3,FALSE),"0")</f>
        <v>10034.02</v>
      </c>
      <c r="S312" s="189">
        <f t="shared" si="477"/>
        <v>10034.02</v>
      </c>
      <c r="T312" s="189">
        <f t="shared" si="478"/>
        <v>2551.41</v>
      </c>
      <c r="U312" s="193">
        <f t="shared" si="479"/>
        <v>0.20272728067296863</v>
      </c>
    </row>
    <row r="313" spans="1:21" x14ac:dyDescent="0.25">
      <c r="A313" s="54" t="str">
        <f>VLOOKUP(B313,'SAP Contracts'!A:J,10,FALSE)</f>
        <v>ATT - Blossom Hill Rd - PO 06572536</v>
      </c>
      <c r="B313" s="54">
        <f>VLOOKUP(C313,'Active North Sky Projects'!C:D,2,FALSE)</f>
        <v>21282</v>
      </c>
      <c r="C313" s="118" t="s">
        <v>1044</v>
      </c>
      <c r="D313" s="225" t="str">
        <f>IFERROR(VLOOKUP(B313,'MTD Hours Paste Data'!A:C,3,FALSE),"")</f>
        <v/>
      </c>
      <c r="E313" s="64">
        <f>IFERROR(VLOOKUP(B313,'ACDOCA - Paste Data'!B:G,6,FALSE),0)</f>
        <v>0</v>
      </c>
      <c r="F313" s="64">
        <f t="shared" si="473"/>
        <v>0</v>
      </c>
      <c r="G313" s="64">
        <f>IFERROR(VLOOKUP(B313,'ACDOCA - Paste Data'!B:H,7,FALSE),0)</f>
        <v>0</v>
      </c>
      <c r="H313" s="64">
        <f t="shared" si="474"/>
        <v>0</v>
      </c>
      <c r="I313" s="64">
        <f t="shared" si="475"/>
        <v>0</v>
      </c>
      <c r="J313" s="65">
        <f t="shared" si="468"/>
        <v>0</v>
      </c>
      <c r="K313" s="198" t="str">
        <f>IFERROR(VLOOKUP(B313,'WIP - Paste Data'!B:E,4,FALSE),"")</f>
        <v/>
      </c>
      <c r="L313" s="64"/>
      <c r="M313" s="64"/>
      <c r="N313" s="66"/>
      <c r="O313" s="66"/>
      <c r="P313" s="189">
        <f>IFERROR(VLOOKUP(B313,'JTD Paste Data'!A:B,2,FALSE),"0")</f>
        <v>29608.45</v>
      </c>
      <c r="Q313" s="189">
        <f t="shared" si="476"/>
        <v>29608.45</v>
      </c>
      <c r="R313" s="189">
        <f>IFERROR(VLOOKUP(B313,'JTD Paste Data'!A:C,3,FALSE),"0")</f>
        <v>7577.04</v>
      </c>
      <c r="S313" s="189">
        <f t="shared" si="477"/>
        <v>7577.04</v>
      </c>
      <c r="T313" s="189">
        <f t="shared" si="478"/>
        <v>22031.41</v>
      </c>
      <c r="U313" s="193">
        <f t="shared" si="479"/>
        <v>0.74409197374398184</v>
      </c>
    </row>
    <row r="314" spans="1:21" x14ac:dyDescent="0.25">
      <c r="A314" s="54" t="str">
        <f>VLOOKUP(B314,'SAP Contracts'!A:J,10,FALSE)</f>
        <v>ATT - A051W9F - 2101 Kala Bagai Way</v>
      </c>
      <c r="B314" s="54">
        <v>21283</v>
      </c>
      <c r="C314" s="118">
        <v>1056292</v>
      </c>
      <c r="D314" s="225">
        <f>IFERROR(VLOOKUP(B314,'MTD Hours Paste Data'!A:C,3,FALSE),"")</f>
        <v>0</v>
      </c>
      <c r="E314" s="64">
        <f>IFERROR(VLOOKUP(B314,'ACDOCA - Paste Data'!B:G,6,FALSE),0)</f>
        <v>0</v>
      </c>
      <c r="F314" s="64">
        <f t="shared" ref="F314" si="484">E314 +L314</f>
        <v>0</v>
      </c>
      <c r="G314" s="64">
        <f>IFERROR(VLOOKUP(B314,'ACDOCA - Paste Data'!B:H,7,FALSE),0)</f>
        <v>0</v>
      </c>
      <c r="H314" s="64">
        <f t="shared" ref="H314" si="485">G314+M314</f>
        <v>0</v>
      </c>
      <c r="I314" s="64">
        <f t="shared" ref="I314" si="486">F314-H314</f>
        <v>0</v>
      </c>
      <c r="J314" s="65">
        <f t="shared" ref="J314" si="487">IFERROR(I314/F314,0)</f>
        <v>0</v>
      </c>
      <c r="K314" s="198">
        <f>IFERROR(VLOOKUP(B314,'WIP - Paste Data'!B:E,4,FALSE),"")</f>
        <v>6838.89</v>
      </c>
      <c r="L314" s="64"/>
      <c r="M314" s="64"/>
      <c r="N314" s="66"/>
      <c r="O314" s="66"/>
      <c r="P314" s="189">
        <f>IFERROR(VLOOKUP(B314,'JTD Paste Data'!A:B,2,FALSE),"0")</f>
        <v>6838.89</v>
      </c>
      <c r="Q314" s="189">
        <f t="shared" si="476"/>
        <v>6838.89</v>
      </c>
      <c r="R314" s="189">
        <f>IFERROR(VLOOKUP(B314,'JTD Paste Data'!A:C,3,FALSE),"0")</f>
        <v>3432.53</v>
      </c>
      <c r="S314" s="189">
        <f t="shared" si="477"/>
        <v>3432.53</v>
      </c>
      <c r="T314" s="189">
        <f t="shared" si="478"/>
        <v>3406.36</v>
      </c>
      <c r="U314" s="193">
        <f t="shared" si="479"/>
        <v>0.49808667780882571</v>
      </c>
    </row>
    <row r="315" spans="1:21" x14ac:dyDescent="0.25">
      <c r="A315" s="54" t="str">
        <f>VLOOKUP(B315,'SAP Contracts'!A:J,10,FALSE)</f>
        <v>ATT - BSW - Bay Area</v>
      </c>
      <c r="B315" s="54">
        <f>VLOOKUP(C315,'Active North Sky Projects'!C:D,2,FALSE)</f>
        <v>21527</v>
      </c>
      <c r="C315" s="117" t="s">
        <v>825</v>
      </c>
      <c r="D315" s="225">
        <f>IFERROR(VLOOKUP(B315,'MTD Hours Paste Data'!A:C,3,FALSE),"")</f>
        <v>18.89</v>
      </c>
      <c r="E315" s="64">
        <f>IFERROR(VLOOKUP(B315,'ACDOCA - Paste Data'!B:G,6,FALSE),0)</f>
        <v>6642.49</v>
      </c>
      <c r="F315" s="64">
        <f t="shared" si="473"/>
        <v>6642.49</v>
      </c>
      <c r="G315" s="64">
        <f>IFERROR(VLOOKUP(B315,'ACDOCA - Paste Data'!B:H,7,FALSE),0)</f>
        <v>5583.19</v>
      </c>
      <c r="H315" s="64">
        <f t="shared" si="474"/>
        <v>5583.19</v>
      </c>
      <c r="I315" s="64">
        <f t="shared" si="475"/>
        <v>1059.3000000000002</v>
      </c>
      <c r="J315" s="65">
        <f t="shared" ref="J315:J334" si="488">IFERROR(I315/F315,0)</f>
        <v>0.15947333003135875</v>
      </c>
      <c r="K315" s="198">
        <f>IFERROR(VLOOKUP(B315,'WIP - Paste Data'!B:E,4,FALSE),"")</f>
        <v>41849.61</v>
      </c>
      <c r="L315" s="64"/>
      <c r="M315" s="64"/>
      <c r="N315" s="66"/>
      <c r="O315" s="66"/>
      <c r="P315" s="189">
        <f>IFERROR(VLOOKUP(B315,'JTD Paste Data'!A:B,2,FALSE),"0")</f>
        <v>243514.86</v>
      </c>
      <c r="Q315" s="189">
        <f t="shared" si="476"/>
        <v>243514.86</v>
      </c>
      <c r="R315" s="189">
        <f>IFERROR(VLOOKUP(B315,'JTD Paste Data'!A:C,3,FALSE),"0")</f>
        <v>240736.13999999998</v>
      </c>
      <c r="S315" s="189">
        <f t="shared" si="477"/>
        <v>240736.13999999998</v>
      </c>
      <c r="T315" s="189">
        <f t="shared" si="478"/>
        <v>2778.7200000000012</v>
      </c>
      <c r="U315" s="193">
        <f t="shared" si="479"/>
        <v>1.1410884740257745E-2</v>
      </c>
    </row>
    <row r="316" spans="1:21" x14ac:dyDescent="0.25">
      <c r="A316" s="54" t="str">
        <f>VLOOKUP(B316,'SAP Contracts'!A:J,10,FALSE)</f>
        <v>ATT - BSW - Northern</v>
      </c>
      <c r="B316" s="54">
        <f>VLOOKUP(C316,'Active North Sky Projects'!C:D,2,FALSE)</f>
        <v>21265</v>
      </c>
      <c r="C316" s="117" t="s">
        <v>908</v>
      </c>
      <c r="D316" s="225">
        <f>IFERROR(VLOOKUP(B316,'MTD Hours Paste Data'!A:C,3,FALSE),"")</f>
        <v>0</v>
      </c>
      <c r="E316" s="64">
        <f>IFERROR(VLOOKUP(B316,'ACDOCA - Paste Data'!B:G,6,FALSE),0)</f>
        <v>4864.07</v>
      </c>
      <c r="F316" s="64">
        <f t="shared" si="473"/>
        <v>4864.07</v>
      </c>
      <c r="G316" s="64">
        <f>IFERROR(VLOOKUP(B316,'ACDOCA - Paste Data'!B:H,7,FALSE),0)</f>
        <v>2626.36</v>
      </c>
      <c r="H316" s="64">
        <f t="shared" si="474"/>
        <v>2626.36</v>
      </c>
      <c r="I316" s="64">
        <f t="shared" si="475"/>
        <v>2237.7099999999996</v>
      </c>
      <c r="J316" s="65">
        <f t="shared" si="488"/>
        <v>0.46004888909904662</v>
      </c>
      <c r="K316" s="198">
        <f>IFERROR(VLOOKUP(B316,'WIP - Paste Data'!B:E,4,FALSE),"")</f>
        <v>4864.07</v>
      </c>
      <c r="L316" s="64"/>
      <c r="M316" s="64"/>
      <c r="N316" s="66"/>
      <c r="O316" s="66"/>
      <c r="P316" s="189">
        <f>IFERROR(VLOOKUP(B316,'JTD Paste Data'!A:B,2,FALSE),"0")</f>
        <v>23866.68</v>
      </c>
      <c r="Q316" s="189">
        <f t="shared" si="476"/>
        <v>23866.68</v>
      </c>
      <c r="R316" s="189">
        <f>IFERROR(VLOOKUP(B316,'JTD Paste Data'!A:C,3,FALSE),"0")</f>
        <v>47202.289999999994</v>
      </c>
      <c r="S316" s="189">
        <f t="shared" si="477"/>
        <v>47202.289999999994</v>
      </c>
      <c r="T316" s="189">
        <f t="shared" si="478"/>
        <v>-23335.609999999993</v>
      </c>
      <c r="U316" s="193">
        <f t="shared" si="479"/>
        <v>-0.97774847611816951</v>
      </c>
    </row>
    <row r="317" spans="1:21" x14ac:dyDescent="0.25">
      <c r="A317" s="54" t="str">
        <f>VLOOKUP(B317,'SAP Contracts'!A:J,10,FALSE)</f>
        <v>ATT - Dig MSA - Bay Area</v>
      </c>
      <c r="B317" s="54">
        <f>VLOOKUP(C317,'Active North Sky Projects'!C:D,2,FALSE)</f>
        <v>21486</v>
      </c>
      <c r="C317" s="117" t="s">
        <v>823</v>
      </c>
      <c r="D317" s="225">
        <f>IFERROR(VLOOKUP(B317,'MTD Hours Paste Data'!A:C,3,FALSE),"")</f>
        <v>11.61</v>
      </c>
      <c r="E317" s="64">
        <f>IFERROR(VLOOKUP(B317,'ACDOCA - Paste Data'!B:G,6,FALSE),0)</f>
        <v>33586.35</v>
      </c>
      <c r="F317" s="64">
        <f t="shared" si="473"/>
        <v>33586.35</v>
      </c>
      <c r="G317" s="64">
        <f>IFERROR(VLOOKUP(B317,'ACDOCA - Paste Data'!B:H,7,FALSE),0)</f>
        <v>51122.25</v>
      </c>
      <c r="H317" s="64">
        <f t="shared" si="474"/>
        <v>51122.25</v>
      </c>
      <c r="I317" s="64">
        <f t="shared" si="475"/>
        <v>-17535.900000000001</v>
      </c>
      <c r="J317" s="65">
        <f t="shared" si="488"/>
        <v>-0.52211389448391987</v>
      </c>
      <c r="K317" s="198">
        <f>IFERROR(VLOOKUP(B317,'WIP - Paste Data'!B:E,4,FALSE),"")</f>
        <v>59414.71</v>
      </c>
      <c r="L317" s="64"/>
      <c r="M317" s="64"/>
      <c r="N317" s="66"/>
      <c r="O317" s="66"/>
      <c r="P317" s="189">
        <f>IFERROR(VLOOKUP(B317,'JTD Paste Data'!A:B,2,FALSE),"0")</f>
        <v>372782.53</v>
      </c>
      <c r="Q317" s="189">
        <f t="shared" si="476"/>
        <v>372782.53</v>
      </c>
      <c r="R317" s="189">
        <f>IFERROR(VLOOKUP(B317,'JTD Paste Data'!A:C,3,FALSE),"0")</f>
        <v>425646.1</v>
      </c>
      <c r="S317" s="189">
        <f t="shared" si="477"/>
        <v>425646.1</v>
      </c>
      <c r="T317" s="189">
        <f t="shared" si="478"/>
        <v>-52863.569999999949</v>
      </c>
      <c r="U317" s="193">
        <f t="shared" si="479"/>
        <v>-0.14180806702502916</v>
      </c>
    </row>
    <row r="318" spans="1:21" x14ac:dyDescent="0.25">
      <c r="A318" s="54" t="str">
        <f>VLOOKUP(B318,'SAP Contracts'!A:J,10,FALSE)</f>
        <v>ATT - Dig MSA - Northern Areas</v>
      </c>
      <c r="B318" s="54">
        <f>VLOOKUP(C318,'Active North Sky Projects'!C:D,2,FALSE)</f>
        <v>21518</v>
      </c>
      <c r="C318" s="117" t="s">
        <v>840</v>
      </c>
      <c r="D318" s="225">
        <f>IFERROR(VLOOKUP(B318,'MTD Hours Paste Data'!A:C,3,FALSE),"")</f>
        <v>47.21</v>
      </c>
      <c r="E318" s="64">
        <f>IFERROR(VLOOKUP(B318,'ACDOCA - Paste Data'!B:G,6,FALSE),0)</f>
        <v>5071.26</v>
      </c>
      <c r="F318" s="64">
        <f t="shared" si="473"/>
        <v>5071.26</v>
      </c>
      <c r="G318" s="64">
        <f>IFERROR(VLOOKUP(B318,'ACDOCA - Paste Data'!B:H,7,FALSE),0)</f>
        <v>8461.92</v>
      </c>
      <c r="H318" s="64">
        <f t="shared" si="474"/>
        <v>8461.92</v>
      </c>
      <c r="I318" s="64">
        <f t="shared" si="475"/>
        <v>-3390.66</v>
      </c>
      <c r="J318" s="65">
        <f t="shared" si="488"/>
        <v>-0.66860306905976019</v>
      </c>
      <c r="K318" s="198">
        <f>IFERROR(VLOOKUP(B318,'WIP - Paste Data'!B:E,4,FALSE),"")</f>
        <v>12021.9</v>
      </c>
      <c r="L318" s="64"/>
      <c r="M318" s="64"/>
      <c r="N318" s="66"/>
      <c r="O318" s="66"/>
      <c r="P318" s="189">
        <f>IFERROR(VLOOKUP(B318,'JTD Paste Data'!A:B,2,FALSE),"0")</f>
        <v>85466.17</v>
      </c>
      <c r="Q318" s="189">
        <f t="shared" si="476"/>
        <v>85466.17</v>
      </c>
      <c r="R318" s="189">
        <f>IFERROR(VLOOKUP(B318,'JTD Paste Data'!A:C,3,FALSE),"0")</f>
        <v>120053.56999999999</v>
      </c>
      <c r="S318" s="189">
        <f t="shared" si="477"/>
        <v>120053.56999999999</v>
      </c>
      <c r="T318" s="189">
        <f t="shared" si="478"/>
        <v>-34587.399999999994</v>
      </c>
      <c r="U318" s="193">
        <f t="shared" si="479"/>
        <v>-0.4046911193048664</v>
      </c>
    </row>
    <row r="319" spans="1:21" x14ac:dyDescent="0.25">
      <c r="A319" s="54" t="str">
        <f>VLOOKUP(B319,'SAP Contracts'!A:J,10,FALSE)</f>
        <v>ATT - Danville Conduit and fiber placeme</v>
      </c>
      <c r="B319" s="54">
        <v>21359</v>
      </c>
      <c r="C319" s="117" t="s">
        <v>459</v>
      </c>
      <c r="D319" s="225" t="str">
        <f>IFERROR(VLOOKUP(B319,'MTD Hours Paste Data'!A:C,3,FALSE),"")</f>
        <v/>
      </c>
      <c r="E319" s="64">
        <f>IFERROR(VLOOKUP(B319,'ACDOCA - Paste Data'!B:G,6,FALSE),0)</f>
        <v>0</v>
      </c>
      <c r="F319" s="64">
        <f t="shared" ref="F319" si="489">E319 +L319</f>
        <v>0</v>
      </c>
      <c r="G319" s="64">
        <f>IFERROR(VLOOKUP(B319,'ACDOCA - Paste Data'!B:H,7,FALSE),0)</f>
        <v>0</v>
      </c>
      <c r="H319" s="64">
        <f t="shared" ref="H319" si="490">G319+M319</f>
        <v>0</v>
      </c>
      <c r="I319" s="64">
        <f t="shared" ref="I319" si="491">F319-H319</f>
        <v>0</v>
      </c>
      <c r="J319" s="65">
        <f t="shared" ref="J319" si="492">IFERROR(I319/F319,0)</f>
        <v>0</v>
      </c>
      <c r="K319" s="198" t="str">
        <f>IFERROR(VLOOKUP(B319,'WIP - Paste Data'!B:E,4,FALSE),"")</f>
        <v/>
      </c>
      <c r="L319" s="64"/>
      <c r="M319" s="64"/>
      <c r="N319" s="66"/>
      <c r="O319" s="66"/>
      <c r="P319" s="189">
        <f>IFERROR(VLOOKUP(B319,'JTD Paste Data'!A:B,2,FALSE),"0")</f>
        <v>163559.57999999999</v>
      </c>
      <c r="Q319" s="189">
        <f t="shared" si="476"/>
        <v>163559.57999999999</v>
      </c>
      <c r="R319" s="189">
        <f>IFERROR(VLOOKUP(B319,'JTD Paste Data'!A:C,3,FALSE),"0")</f>
        <v>166297.96</v>
      </c>
      <c r="S319" s="189">
        <f t="shared" si="477"/>
        <v>166297.96</v>
      </c>
      <c r="T319" s="189">
        <f t="shared" si="478"/>
        <v>-2738.3800000000047</v>
      </c>
      <c r="U319" s="193">
        <f t="shared" si="479"/>
        <v>-1.6742400536856387E-2</v>
      </c>
    </row>
    <row r="320" spans="1:21" x14ac:dyDescent="0.25">
      <c r="A320" s="54" t="str">
        <f>VLOOKUP(B320,'SAP Contracts'!A:J,10,FALSE)</f>
        <v>ATT - San Leandro Dig</v>
      </c>
      <c r="B320" s="54">
        <f>VLOOKUP(C320,'Active North Sky Projects'!C:D,2,FALSE)</f>
        <v>21298</v>
      </c>
      <c r="C320" s="117" t="s">
        <v>509</v>
      </c>
      <c r="D320" s="225" t="str">
        <f>IFERROR(VLOOKUP(B320,'MTD Hours Paste Data'!A:C,3,FALSE),"")</f>
        <v/>
      </c>
      <c r="E320" s="64">
        <f>IFERROR(VLOOKUP(B320,'ACDOCA - Paste Data'!B:G,6,FALSE),0)</f>
        <v>0</v>
      </c>
      <c r="F320" s="64">
        <f t="shared" si="473"/>
        <v>0</v>
      </c>
      <c r="G320" s="64">
        <f>IFERROR(VLOOKUP(B320,'ACDOCA - Paste Data'!B:H,7,FALSE),0)</f>
        <v>0</v>
      </c>
      <c r="H320" s="64">
        <f t="shared" si="474"/>
        <v>0</v>
      </c>
      <c r="I320" s="64">
        <f t="shared" si="475"/>
        <v>0</v>
      </c>
      <c r="J320" s="65">
        <f t="shared" si="488"/>
        <v>0</v>
      </c>
      <c r="K320" s="198" t="str">
        <f>IFERROR(VLOOKUP(B320,'WIP - Paste Data'!B:E,4,FALSE),"")</f>
        <v/>
      </c>
      <c r="L320" s="64"/>
      <c r="M320" s="64"/>
      <c r="N320" s="66"/>
      <c r="O320" s="66"/>
      <c r="P320" s="189" t="str">
        <f>IFERROR(VLOOKUP(B320,'JTD Paste Data'!A:B,2,FALSE),"0")</f>
        <v>0</v>
      </c>
      <c r="Q320" s="189">
        <f t="shared" si="476"/>
        <v>0</v>
      </c>
      <c r="R320" s="189" t="str">
        <f>IFERROR(VLOOKUP(B320,'JTD Paste Data'!A:C,3,FALSE),"0")</f>
        <v>0</v>
      </c>
      <c r="S320" s="189">
        <f t="shared" si="477"/>
        <v>0</v>
      </c>
      <c r="T320" s="189">
        <f t="shared" si="478"/>
        <v>0</v>
      </c>
      <c r="U320" s="193">
        <f t="shared" si="479"/>
        <v>0</v>
      </c>
    </row>
    <row r="321" spans="1:21" x14ac:dyDescent="0.25">
      <c r="A321" s="54" t="str">
        <f>VLOOKUP(B321,'SAP Contracts'!A:J,10,FALSE)</f>
        <v>ATT - Saratoga conduit placement</v>
      </c>
      <c r="B321" s="54">
        <f>VLOOKUP(C321,'Active North Sky Projects'!C:D,2,FALSE)</f>
        <v>21299</v>
      </c>
      <c r="C321" s="117" t="s">
        <v>460</v>
      </c>
      <c r="D321" s="225" t="str">
        <f>IFERROR(VLOOKUP(B321,'MTD Hours Paste Data'!A:C,3,FALSE),"")</f>
        <v/>
      </c>
      <c r="E321" s="64">
        <f>IFERROR(VLOOKUP(B321,'ACDOCA - Paste Data'!B:G,6,FALSE),0)</f>
        <v>0</v>
      </c>
      <c r="F321" s="64">
        <f t="shared" si="473"/>
        <v>0</v>
      </c>
      <c r="G321" s="64">
        <f>IFERROR(VLOOKUP(B321,'ACDOCA - Paste Data'!B:H,7,FALSE),0)</f>
        <v>0</v>
      </c>
      <c r="H321" s="64">
        <f t="shared" si="474"/>
        <v>0</v>
      </c>
      <c r="I321" s="64">
        <f t="shared" si="475"/>
        <v>0</v>
      </c>
      <c r="J321" s="65">
        <f t="shared" si="488"/>
        <v>0</v>
      </c>
      <c r="K321" s="198" t="str">
        <f>IFERROR(VLOOKUP(B321,'WIP - Paste Data'!B:E,4,FALSE),"")</f>
        <v/>
      </c>
      <c r="L321" s="64"/>
      <c r="M321" s="64"/>
      <c r="N321" s="66"/>
      <c r="O321" s="66"/>
      <c r="P321" s="189" t="str">
        <f>IFERROR(VLOOKUP(B321,'JTD Paste Data'!A:B,2,FALSE),"0")</f>
        <v>0</v>
      </c>
      <c r="Q321" s="189">
        <f t="shared" si="476"/>
        <v>0</v>
      </c>
      <c r="R321" s="189" t="str">
        <f>IFERROR(VLOOKUP(B321,'JTD Paste Data'!A:C,3,FALSE),"0")</f>
        <v>0</v>
      </c>
      <c r="S321" s="189">
        <f t="shared" si="477"/>
        <v>0</v>
      </c>
      <c r="T321" s="189">
        <f t="shared" si="478"/>
        <v>0</v>
      </c>
      <c r="U321" s="193">
        <f t="shared" si="479"/>
        <v>0</v>
      </c>
    </row>
    <row r="322" spans="1:21" x14ac:dyDescent="0.25">
      <c r="A322" s="54" t="str">
        <f>VLOOKUP(B322,'SAP Contracts'!A:J,10,FALSE)</f>
        <v>ATT - WE12 CSVA 3 (2024-26)</v>
      </c>
      <c r="B322" s="54">
        <f>VLOOKUP(C322,'Active North Sky Projects'!C:D,2,FALSE)</f>
        <v>21621</v>
      </c>
      <c r="C322" s="117" t="s">
        <v>455</v>
      </c>
      <c r="D322" s="225">
        <f>IFERROR(VLOOKUP(B322,'MTD Hours Paste Data'!A:C,3,FALSE),"")</f>
        <v>1809.72</v>
      </c>
      <c r="E322" s="64">
        <f>IFERROR(VLOOKUP(B322,'ACDOCA - Paste Data'!B:G,6,FALSE),0)</f>
        <v>392386.74</v>
      </c>
      <c r="F322" s="64">
        <f t="shared" si="473"/>
        <v>392386.74</v>
      </c>
      <c r="G322" s="64">
        <f>IFERROR(VLOOKUP(B322,'ACDOCA - Paste Data'!B:H,7,FALSE),0)</f>
        <v>533273.68000000005</v>
      </c>
      <c r="H322" s="64">
        <f t="shared" si="474"/>
        <v>533273.68000000005</v>
      </c>
      <c r="I322" s="64">
        <f t="shared" si="475"/>
        <v>-140886.94000000006</v>
      </c>
      <c r="J322" s="65">
        <f t="shared" si="488"/>
        <v>-0.35905122583907922</v>
      </c>
      <c r="K322" s="198">
        <f>IFERROR(VLOOKUP(B322,'WIP - Paste Data'!B:E,4,FALSE),"")</f>
        <v>2258180.77</v>
      </c>
      <c r="L322" s="64"/>
      <c r="M322" s="64"/>
      <c r="N322" s="66"/>
      <c r="O322" s="66"/>
      <c r="P322" s="189">
        <f>IFERROR(VLOOKUP(B322,'JTD Paste Data'!A:B,2,FALSE),"0")</f>
        <v>9879743.6499999985</v>
      </c>
      <c r="Q322" s="189">
        <f t="shared" si="476"/>
        <v>9879743.6499999985</v>
      </c>
      <c r="R322" s="189">
        <f>IFERROR(VLOOKUP(B322,'JTD Paste Data'!A:C,3,FALSE),"0")</f>
        <v>9928191.6099999994</v>
      </c>
      <c r="S322" s="189">
        <f t="shared" si="477"/>
        <v>9928191.6099999994</v>
      </c>
      <c r="T322" s="189">
        <f t="shared" si="478"/>
        <v>-48447.960000000894</v>
      </c>
      <c r="U322" s="193">
        <f t="shared" si="479"/>
        <v>-4.9037669109968157E-3</v>
      </c>
    </row>
    <row r="323" spans="1:21" x14ac:dyDescent="0.25">
      <c r="A323" s="54" t="s">
        <v>2763</v>
      </c>
      <c r="B323" s="54">
        <v>21953</v>
      </c>
      <c r="C323" s="117" t="s">
        <v>2715</v>
      </c>
      <c r="D323" s="225" t="str">
        <f>IFERROR(VLOOKUP(B323,'MTD Hours Paste Data'!A:C,3,FALSE),"")</f>
        <v/>
      </c>
      <c r="E323" s="64">
        <f>IFERROR(VLOOKUP(B323,'ACDOCA - Paste Data'!B:G,6,FALSE),0)</f>
        <v>18175</v>
      </c>
      <c r="F323" s="64">
        <f t="shared" ref="F323" si="493">E323 +L323</f>
        <v>18175</v>
      </c>
      <c r="G323" s="64">
        <f>IFERROR(VLOOKUP(B323,'ACDOCA - Paste Data'!B:H,7,FALSE),0)</f>
        <v>8209.09</v>
      </c>
      <c r="H323" s="64">
        <f t="shared" ref="H323" si="494">G323+M323</f>
        <v>8209.09</v>
      </c>
      <c r="I323" s="64">
        <f t="shared" ref="I323" si="495">F323-H323</f>
        <v>9965.91</v>
      </c>
      <c r="J323" s="65">
        <f t="shared" ref="J323" si="496">IFERROR(I323/F323,0)</f>
        <v>0.54833067400275104</v>
      </c>
      <c r="K323" s="198">
        <f>IFERROR(VLOOKUP(B323,'WIP - Paste Data'!B:E,4,FALSE),"")</f>
        <v>21817.5</v>
      </c>
      <c r="L323" s="64"/>
      <c r="M323" s="64"/>
      <c r="N323" s="66"/>
      <c r="O323" s="66"/>
      <c r="P323" s="189">
        <f>IFERROR(VLOOKUP(B323,'JTD Paste Data'!A:B,2,FALSE),"0")</f>
        <v>21817.5</v>
      </c>
      <c r="Q323" s="189">
        <f t="shared" ref="Q323" si="497">SUM(P323+L323)</f>
        <v>21817.5</v>
      </c>
      <c r="R323" s="189">
        <f>IFERROR(VLOOKUP(B323,'JTD Paste Data'!A:C,3,FALSE),"0")</f>
        <v>13383.69</v>
      </c>
      <c r="S323" s="189">
        <f t="shared" ref="S323" si="498">SUM(R323+M323)</f>
        <v>13383.69</v>
      </c>
      <c r="T323" s="189">
        <f t="shared" ref="T323" si="499">SUM(Q323-S323)</f>
        <v>8433.81</v>
      </c>
      <c r="U323" s="193">
        <f t="shared" ref="U323" si="500">IFERROR(T323/Q323,0)</f>
        <v>0.38656170505328291</v>
      </c>
    </row>
    <row r="324" spans="1:21" x14ac:dyDescent="0.25">
      <c r="A324" s="54" t="s">
        <v>2762</v>
      </c>
      <c r="B324" s="54">
        <v>22016</v>
      </c>
      <c r="C324" s="117" t="s">
        <v>2715</v>
      </c>
      <c r="D324" s="225" t="str">
        <f>IFERROR(VLOOKUP(B324,'MTD Hours Paste Data'!A:C,3,FALSE),"")</f>
        <v/>
      </c>
      <c r="E324" s="64">
        <f>IFERROR(VLOOKUP(B324,'ACDOCA - Paste Data'!B:G,6,FALSE),0)</f>
        <v>0</v>
      </c>
      <c r="F324" s="64">
        <f t="shared" ref="F324" si="501">E324 +L324</f>
        <v>0</v>
      </c>
      <c r="G324" s="64">
        <f>IFERROR(VLOOKUP(B324,'ACDOCA - Paste Data'!B:H,7,FALSE),0)</f>
        <v>1308.43</v>
      </c>
      <c r="H324" s="64">
        <f t="shared" ref="H324" si="502">G324+M324</f>
        <v>1308.43</v>
      </c>
      <c r="I324" s="64">
        <f t="shared" ref="I324" si="503">F324-H324</f>
        <v>-1308.43</v>
      </c>
      <c r="J324" s="65">
        <f t="shared" ref="J324" si="504">IFERROR(I324/F324,0)</f>
        <v>0</v>
      </c>
      <c r="K324" s="198">
        <f>IFERROR(VLOOKUP(B324,'WIP - Paste Data'!B:E,4,FALSE),"")</f>
        <v>102109.22</v>
      </c>
      <c r="L324" s="64"/>
      <c r="M324" s="64"/>
      <c r="N324" s="66"/>
      <c r="O324" s="66"/>
      <c r="P324" s="189">
        <f>IFERROR(VLOOKUP(B324,'JTD Paste Data'!A:B,2,FALSE),"0")</f>
        <v>102109.22</v>
      </c>
      <c r="Q324" s="189">
        <f t="shared" ref="Q324" si="505">SUM(P324+L324)</f>
        <v>102109.22</v>
      </c>
      <c r="R324" s="189">
        <f>IFERROR(VLOOKUP(B324,'JTD Paste Data'!A:C,3,FALSE),"0")</f>
        <v>73862.06</v>
      </c>
      <c r="S324" s="189">
        <f t="shared" ref="S324" si="506">SUM(R324+M324)</f>
        <v>73862.06</v>
      </c>
      <c r="T324" s="189">
        <f t="shared" ref="T324" si="507">SUM(Q324-S324)</f>
        <v>28247.160000000003</v>
      </c>
      <c r="U324" s="193">
        <f t="shared" ref="U324" si="508">IFERROR(T324/Q324,0)</f>
        <v>0.27663672291297497</v>
      </c>
    </row>
    <row r="325" spans="1:21" x14ac:dyDescent="0.25">
      <c r="A325" s="54" t="s">
        <v>2988</v>
      </c>
      <c r="B325" s="54">
        <v>22870</v>
      </c>
      <c r="C325" s="117" t="s">
        <v>2715</v>
      </c>
      <c r="D325" s="225" t="str">
        <f>IFERROR(VLOOKUP(B325,'MTD Hours Paste Data'!A:C,3,FALSE),"")</f>
        <v/>
      </c>
      <c r="E325" s="64">
        <f>IFERROR(VLOOKUP(B325,'ACDOCA - Paste Data'!B:G,6,FALSE),0)</f>
        <v>15384.04</v>
      </c>
      <c r="F325" s="64">
        <f t="shared" ref="F325" si="509">E325 +L325</f>
        <v>15384.04</v>
      </c>
      <c r="G325" s="64">
        <f>IFERROR(VLOOKUP(B325,'ACDOCA - Paste Data'!B:H,7,FALSE),0)</f>
        <v>10670.08</v>
      </c>
      <c r="H325" s="64">
        <f t="shared" ref="H325" si="510">G325+M325</f>
        <v>10670.08</v>
      </c>
      <c r="I325" s="64">
        <f t="shared" ref="I325" si="511">F325-H325</f>
        <v>4713.9600000000009</v>
      </c>
      <c r="J325" s="65">
        <f t="shared" ref="J325" si="512">IFERROR(I325/F325,0)</f>
        <v>0.30641886006536651</v>
      </c>
      <c r="K325" s="198">
        <f>IFERROR(VLOOKUP(B325,'WIP - Paste Data'!B:E,4,FALSE),"")</f>
        <v>15384.04</v>
      </c>
      <c r="L325" s="64"/>
      <c r="M325" s="64"/>
      <c r="N325" s="66"/>
      <c r="O325" s="66"/>
      <c r="P325" s="189">
        <f>IFERROR(VLOOKUP(B325,'JTD Paste Data'!A:B,2,FALSE),"0")</f>
        <v>15384.04</v>
      </c>
      <c r="Q325" s="189">
        <f t="shared" ref="Q325" si="513">SUM(P325+L325)</f>
        <v>15384.04</v>
      </c>
      <c r="R325" s="189">
        <f>IFERROR(VLOOKUP(B325,'JTD Paste Data'!A:C,3,FALSE),"0")</f>
        <v>10670.08</v>
      </c>
      <c r="S325" s="189">
        <f t="shared" ref="S325" si="514">SUM(R325+M325)</f>
        <v>10670.08</v>
      </c>
      <c r="T325" s="189">
        <f t="shared" ref="T325" si="515">SUM(Q325-S325)</f>
        <v>4713.9600000000009</v>
      </c>
      <c r="U325" s="193">
        <f t="shared" ref="U325" si="516">IFERROR(T325/Q325,0)</f>
        <v>0.30641886006536651</v>
      </c>
    </row>
    <row r="326" spans="1:21" x14ac:dyDescent="0.25">
      <c r="A326" s="54" t="s">
        <v>4754</v>
      </c>
      <c r="B326" s="253">
        <v>22871</v>
      </c>
      <c r="C326" s="117" t="s">
        <v>2715</v>
      </c>
      <c r="D326" s="225" t="str">
        <f>IFERROR(VLOOKUP(B326,'MTD Hours Paste Data'!A:C,3,FALSE),"")</f>
        <v/>
      </c>
      <c r="E326" s="64">
        <f>IFERROR(VLOOKUP(B326,'ACDOCA - Paste Data'!B:G,6,FALSE),0)</f>
        <v>0</v>
      </c>
      <c r="F326" s="64">
        <f t="shared" ref="F326" si="517">E326 +L326</f>
        <v>0</v>
      </c>
      <c r="G326" s="64">
        <f>IFERROR(VLOOKUP(B326,'ACDOCA - Paste Data'!B:H,7,FALSE),0)</f>
        <v>70.88</v>
      </c>
      <c r="H326" s="64">
        <f t="shared" ref="H326" si="518">G326+M326</f>
        <v>70.88</v>
      </c>
      <c r="I326" s="64">
        <f t="shared" ref="I326" si="519">F326-H326</f>
        <v>-70.88</v>
      </c>
      <c r="J326" s="65">
        <f t="shared" ref="J326" si="520">IFERROR(I326/F326,0)</f>
        <v>0</v>
      </c>
      <c r="K326" s="198" t="str">
        <f>IFERROR(VLOOKUP(B326,'WIP - Paste Data'!B:E,4,FALSE),"")</f>
        <v/>
      </c>
      <c r="L326" s="64"/>
      <c r="M326" s="64"/>
      <c r="N326" s="66"/>
      <c r="O326" s="66"/>
      <c r="P326" s="189">
        <f>IFERROR(VLOOKUP(B326,'JTD Paste Data'!A:B,2,FALSE),"0")</f>
        <v>0</v>
      </c>
      <c r="Q326" s="189">
        <f t="shared" ref="Q326" si="521">SUM(P326+L326)</f>
        <v>0</v>
      </c>
      <c r="R326" s="189">
        <f>IFERROR(VLOOKUP(B326,'JTD Paste Data'!A:C,3,FALSE),"0")</f>
        <v>70.88</v>
      </c>
      <c r="S326" s="189">
        <f t="shared" ref="S326" si="522">SUM(R326+M326)</f>
        <v>70.88</v>
      </c>
      <c r="T326" s="189">
        <f t="shared" ref="T326" si="523">SUM(Q326-S326)</f>
        <v>-70.88</v>
      </c>
      <c r="U326" s="193">
        <f t="shared" ref="U326" si="524">IFERROR(T326/Q326,0)</f>
        <v>0</v>
      </c>
    </row>
    <row r="327" spans="1:21" x14ac:dyDescent="0.25">
      <c r="A327" s="54" t="s">
        <v>2760</v>
      </c>
      <c r="B327" s="54">
        <v>21958</v>
      </c>
      <c r="C327" s="117" t="s">
        <v>2715</v>
      </c>
      <c r="D327" s="225" t="str">
        <f>IFERROR(VLOOKUP(B327,'MTD Hours Paste Data'!A:C,3,FALSE),"")</f>
        <v/>
      </c>
      <c r="E327" s="64">
        <f>IFERROR(VLOOKUP(B327,'ACDOCA - Paste Data'!B:G,6,FALSE),0)</f>
        <v>0</v>
      </c>
      <c r="F327" s="64">
        <f t="shared" ref="F327" si="525">E327 +L327</f>
        <v>0</v>
      </c>
      <c r="G327" s="64">
        <f>IFERROR(VLOOKUP(B327,'ACDOCA - Paste Data'!B:H,7,FALSE),0)</f>
        <v>175</v>
      </c>
      <c r="H327" s="64">
        <f t="shared" ref="H327" si="526">G327+M327</f>
        <v>175</v>
      </c>
      <c r="I327" s="64">
        <f t="shared" ref="I327" si="527">F327-H327</f>
        <v>-175</v>
      </c>
      <c r="J327" s="65">
        <f t="shared" ref="J327" si="528">IFERROR(I327/F327,0)</f>
        <v>0</v>
      </c>
      <c r="K327" s="198" t="str">
        <f>IFERROR(VLOOKUP(B327,'WIP - Paste Data'!B:E,4,FALSE),"")</f>
        <v/>
      </c>
      <c r="L327" s="64"/>
      <c r="M327" s="64"/>
      <c r="N327" s="66"/>
      <c r="O327" s="66"/>
      <c r="P327" s="189">
        <f>IFERROR(VLOOKUP(B327,'JTD Paste Data'!A:B,2,FALSE),"0")</f>
        <v>0</v>
      </c>
      <c r="Q327" s="189">
        <f t="shared" ref="Q327" si="529">SUM(P327+L327)</f>
        <v>0</v>
      </c>
      <c r="R327" s="189">
        <f>IFERROR(VLOOKUP(B327,'JTD Paste Data'!A:C,3,FALSE),"0")</f>
        <v>5450</v>
      </c>
      <c r="S327" s="189">
        <f t="shared" ref="S327" si="530">SUM(R327+M327)</f>
        <v>5450</v>
      </c>
      <c r="T327" s="189">
        <f t="shared" ref="T327" si="531">SUM(Q327-S327)</f>
        <v>-5450</v>
      </c>
      <c r="U327" s="193">
        <f t="shared" ref="U327" si="532">IFERROR(T327/Q327,0)</f>
        <v>0</v>
      </c>
    </row>
    <row r="328" spans="1:21" x14ac:dyDescent="0.25">
      <c r="A328" s="54" t="str">
        <f>VLOOKUP(B328,'SAP Contracts'!A:J,10,FALSE)</f>
        <v>Lumen - 2590 Walsh Ave</v>
      </c>
      <c r="B328" s="54">
        <f>VLOOKUP(C328,'Active North Sky Projects'!C:D,2,FALSE)</f>
        <v>21576</v>
      </c>
      <c r="C328" s="117" t="s">
        <v>487</v>
      </c>
      <c r="D328" s="225" t="str">
        <f>IFERROR(VLOOKUP(B328,'MTD Hours Paste Data'!A:C,3,FALSE),"")</f>
        <v/>
      </c>
      <c r="E328" s="64">
        <f>IFERROR(VLOOKUP(B328,'ACDOCA - Paste Data'!B:G,6,FALSE),0)</f>
        <v>0</v>
      </c>
      <c r="F328" s="64">
        <f t="shared" si="473"/>
        <v>0</v>
      </c>
      <c r="G328" s="64">
        <f>IFERROR(VLOOKUP(B328,'ACDOCA - Paste Data'!B:H,7,FALSE),0)</f>
        <v>0</v>
      </c>
      <c r="H328" s="64">
        <f t="shared" si="474"/>
        <v>0</v>
      </c>
      <c r="I328" s="64">
        <f t="shared" si="475"/>
        <v>0</v>
      </c>
      <c r="J328" s="65">
        <f t="shared" si="488"/>
        <v>0</v>
      </c>
      <c r="K328" s="198" t="str">
        <f>IFERROR(VLOOKUP(B328,'WIP - Paste Data'!B:E,4,FALSE),"")</f>
        <v/>
      </c>
      <c r="L328" s="64"/>
      <c r="M328" s="64"/>
      <c r="N328" s="66"/>
      <c r="O328" s="66"/>
      <c r="P328" s="189" t="str">
        <f>IFERROR(VLOOKUP(B328,'JTD Paste Data'!A:B,2,FALSE),"0")</f>
        <v>0</v>
      </c>
      <c r="Q328" s="189">
        <f t="shared" si="476"/>
        <v>0</v>
      </c>
      <c r="R328" s="189" t="str">
        <f>IFERROR(VLOOKUP(B328,'JTD Paste Data'!A:C,3,FALSE),"0")</f>
        <v>0</v>
      </c>
      <c r="S328" s="189">
        <f t="shared" si="477"/>
        <v>0</v>
      </c>
      <c r="T328" s="189">
        <f t="shared" si="478"/>
        <v>0</v>
      </c>
      <c r="U328" s="193">
        <f t="shared" si="479"/>
        <v>0</v>
      </c>
    </row>
    <row r="329" spans="1:21" x14ac:dyDescent="0.25">
      <c r="A329" s="54" t="str">
        <f>VLOOKUP(B329,'SAP Contracts'!A:J,10,FALSE)</f>
        <v>Lumen - COCAL MSA (2025-26)</v>
      </c>
      <c r="B329" s="54">
        <f>VLOOKUP(C329,'Active North Sky Projects'!C:D,2,FALSE)</f>
        <v>21289</v>
      </c>
      <c r="C329" s="117" t="s">
        <v>456</v>
      </c>
      <c r="D329" s="225">
        <f>IFERROR(VLOOKUP(B329,'MTD Hours Paste Data'!A:C,3,FALSE),"")</f>
        <v>0</v>
      </c>
      <c r="E329" s="64">
        <f>IFERROR(VLOOKUP(B329,'ACDOCA - Paste Data'!B:G,6,FALSE),0)</f>
        <v>0</v>
      </c>
      <c r="F329" s="64">
        <f t="shared" si="473"/>
        <v>0</v>
      </c>
      <c r="G329" s="64">
        <f>IFERROR(VLOOKUP(B329,'ACDOCA - Paste Data'!B:H,7,FALSE),0)</f>
        <v>3333.45</v>
      </c>
      <c r="H329" s="64">
        <f t="shared" si="474"/>
        <v>3333.45</v>
      </c>
      <c r="I329" s="64">
        <f t="shared" si="475"/>
        <v>-3333.45</v>
      </c>
      <c r="J329" s="65">
        <f t="shared" si="488"/>
        <v>0</v>
      </c>
      <c r="K329" s="198">
        <f>IFERROR(VLOOKUP(B329,'WIP - Paste Data'!B:E,4,FALSE),"")</f>
        <v>95847.2</v>
      </c>
      <c r="L329" s="64"/>
      <c r="M329" s="64"/>
      <c r="N329" s="66"/>
      <c r="O329" s="66"/>
      <c r="P329" s="189">
        <f>IFERROR(VLOOKUP(B329,'JTD Paste Data'!A:B,2,FALSE),"0")</f>
        <v>191206.87</v>
      </c>
      <c r="Q329" s="189">
        <f t="shared" si="476"/>
        <v>191206.87</v>
      </c>
      <c r="R329" s="189">
        <f>IFERROR(VLOOKUP(B329,'JTD Paste Data'!A:C,3,FALSE),"0")</f>
        <v>159419.26</v>
      </c>
      <c r="S329" s="189">
        <f t="shared" si="477"/>
        <v>159419.26</v>
      </c>
      <c r="T329" s="189">
        <f t="shared" si="478"/>
        <v>31787.609999999986</v>
      </c>
      <c r="U329" s="193">
        <f t="shared" si="479"/>
        <v>0.16624721695407696</v>
      </c>
    </row>
    <row r="330" spans="1:21" x14ac:dyDescent="0.25">
      <c r="A330" s="54" t="s">
        <v>2776</v>
      </c>
      <c r="B330" s="54">
        <v>22072</v>
      </c>
      <c r="C330" s="117" t="s">
        <v>2715</v>
      </c>
      <c r="D330" s="225" t="str">
        <f>IFERROR(VLOOKUP(B330,'MTD Hours Paste Data'!A:C,3,FALSE),"")</f>
        <v/>
      </c>
      <c r="E330" s="64">
        <f>IFERROR(VLOOKUP(B330,'ACDOCA - Paste Data'!B:G,6,FALSE),0)</f>
        <v>0</v>
      </c>
      <c r="F330" s="64">
        <f t="shared" ref="F330" si="533">E330 +L330</f>
        <v>0</v>
      </c>
      <c r="G330" s="64">
        <f>IFERROR(VLOOKUP(B330,'ACDOCA - Paste Data'!B:H,7,FALSE),0)</f>
        <v>0</v>
      </c>
      <c r="H330" s="64">
        <f t="shared" ref="H330" si="534">G330+M330</f>
        <v>0</v>
      </c>
      <c r="I330" s="64">
        <f t="shared" ref="I330" si="535">F330-H330</f>
        <v>0</v>
      </c>
      <c r="J330" s="65">
        <f t="shared" ref="J330" si="536">IFERROR(I330/F330,0)</f>
        <v>0</v>
      </c>
      <c r="K330" s="198">
        <f>IFERROR(VLOOKUP(B330,'WIP - Paste Data'!B:E,4,FALSE),"")</f>
        <v>1098</v>
      </c>
      <c r="L330" s="64"/>
      <c r="M330" s="64"/>
      <c r="N330" s="66"/>
      <c r="O330" s="66"/>
      <c r="P330" s="189">
        <f>IFERROR(VLOOKUP(B330,'JTD Paste Data'!A:B,2,FALSE),"0")</f>
        <v>1098</v>
      </c>
      <c r="Q330" s="189">
        <f t="shared" ref="Q330" si="537">SUM(P330+L330)</f>
        <v>1098</v>
      </c>
      <c r="R330" s="189">
        <f>IFERROR(VLOOKUP(B330,'JTD Paste Data'!A:C,3,FALSE),"0")</f>
        <v>1495.69</v>
      </c>
      <c r="S330" s="189">
        <f t="shared" ref="S330" si="538">SUM(R330+M330)</f>
        <v>1495.69</v>
      </c>
      <c r="T330" s="189">
        <f t="shared" ref="T330" si="539">SUM(Q330-S330)</f>
        <v>-397.69000000000005</v>
      </c>
      <c r="U330" s="193">
        <f t="shared" ref="U330" si="540">IFERROR(T330/Q330,0)</f>
        <v>-0.36219489981785069</v>
      </c>
    </row>
    <row r="331" spans="1:21" x14ac:dyDescent="0.25">
      <c r="A331" s="54" t="str">
        <f>VLOOKUP(B331,'SAP Contracts'!A:J,10,FALSE)</f>
        <v>Sprint - 2024 Bay Area T&amp;E Rates</v>
      </c>
      <c r="B331" s="54">
        <f>VLOOKUP(C331,'Active North Sky Projects'!C:D,2,FALSE)</f>
        <v>21394</v>
      </c>
      <c r="C331" s="117" t="s">
        <v>767</v>
      </c>
      <c r="D331" s="225" t="str">
        <f>IFERROR(VLOOKUP(B331,'MTD Hours Paste Data'!A:C,3,FALSE),"")</f>
        <v/>
      </c>
      <c r="E331" s="64">
        <f>IFERROR(VLOOKUP(B331,'ACDOCA - Paste Data'!B:G,6,FALSE),0)</f>
        <v>0</v>
      </c>
      <c r="F331" s="64">
        <f t="shared" si="473"/>
        <v>0</v>
      </c>
      <c r="G331" s="64">
        <f>IFERROR(VLOOKUP(B331,'ACDOCA - Paste Data'!B:H,7,FALSE),0)</f>
        <v>0</v>
      </c>
      <c r="H331" s="64">
        <f t="shared" si="474"/>
        <v>0</v>
      </c>
      <c r="I331" s="64">
        <f t="shared" si="475"/>
        <v>0</v>
      </c>
      <c r="J331" s="65">
        <f t="shared" si="488"/>
        <v>0</v>
      </c>
      <c r="K331" s="198" t="str">
        <f>IFERROR(VLOOKUP(B331,'WIP - Paste Data'!B:E,4,FALSE),"")</f>
        <v/>
      </c>
      <c r="L331" s="64"/>
      <c r="M331" s="64"/>
      <c r="N331" s="66"/>
      <c r="O331" s="66"/>
      <c r="P331" s="189" t="str">
        <f>IFERROR(VLOOKUP(B331,'JTD Paste Data'!A:B,2,FALSE),"0")</f>
        <v>0</v>
      </c>
      <c r="Q331" s="189">
        <f t="shared" si="476"/>
        <v>0</v>
      </c>
      <c r="R331" s="189" t="str">
        <f>IFERROR(VLOOKUP(B331,'JTD Paste Data'!A:C,3,FALSE),"0")</f>
        <v>0</v>
      </c>
      <c r="S331" s="189">
        <f t="shared" si="477"/>
        <v>0</v>
      </c>
      <c r="T331" s="189">
        <f t="shared" si="478"/>
        <v>0</v>
      </c>
      <c r="U331" s="193">
        <f t="shared" si="479"/>
        <v>0</v>
      </c>
    </row>
    <row r="332" spans="1:21" x14ac:dyDescent="0.25">
      <c r="A332" s="54" t="str">
        <f>VLOOKUP(B332,'SAP Contracts'!A:J,10,FALSE)</f>
        <v>Sprint - Livermore protect in place</v>
      </c>
      <c r="B332" s="54">
        <f>VLOOKUP(C332,'Active North Sky Projects'!C:D,2,FALSE)</f>
        <v>21294</v>
      </c>
      <c r="C332" s="117" t="s">
        <v>457</v>
      </c>
      <c r="D332" s="225" t="str">
        <f>IFERROR(VLOOKUP(B332,'MTD Hours Paste Data'!A:C,3,FALSE),"")</f>
        <v/>
      </c>
      <c r="E332" s="64">
        <f>IFERROR(VLOOKUP(B332,'ACDOCA - Paste Data'!B:G,6,FALSE),0)</f>
        <v>0</v>
      </c>
      <c r="F332" s="64">
        <f t="shared" si="473"/>
        <v>0</v>
      </c>
      <c r="G332" s="64">
        <f>IFERROR(VLOOKUP(B332,'ACDOCA - Paste Data'!B:H,7,FALSE),0)</f>
        <v>0</v>
      </c>
      <c r="H332" s="64">
        <f t="shared" si="474"/>
        <v>0</v>
      </c>
      <c r="I332" s="64">
        <f t="shared" si="475"/>
        <v>0</v>
      </c>
      <c r="J332" s="65">
        <f t="shared" si="488"/>
        <v>0</v>
      </c>
      <c r="K332" s="198" t="str">
        <f>IFERROR(VLOOKUP(B332,'WIP - Paste Data'!B:E,4,FALSE),"")</f>
        <v/>
      </c>
      <c r="L332" s="64"/>
      <c r="M332" s="64"/>
      <c r="N332" s="66"/>
      <c r="O332" s="66"/>
      <c r="P332" s="189" t="str">
        <f>IFERROR(VLOOKUP(B332,'JTD Paste Data'!A:B,2,FALSE),"0")</f>
        <v>0</v>
      </c>
      <c r="Q332" s="189">
        <f t="shared" si="476"/>
        <v>0</v>
      </c>
      <c r="R332" s="189" t="str">
        <f>IFERROR(VLOOKUP(B332,'JTD Paste Data'!A:C,3,FALSE),"0")</f>
        <v>0</v>
      </c>
      <c r="S332" s="189">
        <f t="shared" si="477"/>
        <v>0</v>
      </c>
      <c r="T332" s="189">
        <f t="shared" si="478"/>
        <v>0</v>
      </c>
      <c r="U332" s="193">
        <f t="shared" si="479"/>
        <v>0</v>
      </c>
    </row>
    <row r="333" spans="1:21" x14ac:dyDescent="0.25">
      <c r="A333" s="54" t="str">
        <f>VLOOKUP(B333,'SAP Contracts'!A:J,10,FALSE)</f>
        <v>Sprint - OKLD Zero MH Repair</v>
      </c>
      <c r="B333" s="54">
        <f>VLOOKUP(C333,'Active North Sky Projects'!C:D,2,FALSE)</f>
        <v>21506</v>
      </c>
      <c r="C333" s="118" t="s">
        <v>1054</v>
      </c>
      <c r="D333" s="225">
        <f>IFERROR(VLOOKUP(B333,'MTD Hours Paste Data'!A:C,3,FALSE),"")</f>
        <v>0</v>
      </c>
      <c r="E333" s="64">
        <f>IFERROR(VLOOKUP(B333,'ACDOCA - Paste Data'!B:G,6,FALSE),0)</f>
        <v>0</v>
      </c>
      <c r="F333" s="64">
        <f t="shared" si="473"/>
        <v>0</v>
      </c>
      <c r="G333" s="64">
        <f>IFERROR(VLOOKUP(B333,'ACDOCA - Paste Data'!B:H,7,FALSE),0)</f>
        <v>0</v>
      </c>
      <c r="H333" s="64">
        <f t="shared" si="474"/>
        <v>0</v>
      </c>
      <c r="I333" s="64">
        <f t="shared" si="475"/>
        <v>0</v>
      </c>
      <c r="J333" s="65">
        <f t="shared" si="488"/>
        <v>0</v>
      </c>
      <c r="K333" s="198" t="str">
        <f>IFERROR(VLOOKUP(B333,'WIP - Paste Data'!B:E,4,FALSE),"")</f>
        <v/>
      </c>
      <c r="L333" s="64"/>
      <c r="M333" s="64"/>
      <c r="N333" s="66"/>
      <c r="O333" s="66"/>
      <c r="P333" s="189">
        <f>IFERROR(VLOOKUP(B333,'JTD Paste Data'!A:B,2,FALSE),"0")</f>
        <v>8190</v>
      </c>
      <c r="Q333" s="189">
        <f t="shared" si="476"/>
        <v>8190</v>
      </c>
      <c r="R333" s="189">
        <f>IFERROR(VLOOKUP(B333,'JTD Paste Data'!A:C,3,FALSE),"0")</f>
        <v>6994.78</v>
      </c>
      <c r="S333" s="189">
        <f t="shared" si="477"/>
        <v>6994.78</v>
      </c>
      <c r="T333" s="189">
        <f t="shared" si="478"/>
        <v>1195.2200000000003</v>
      </c>
      <c r="U333" s="193">
        <f t="shared" si="479"/>
        <v>0.14593650793650798</v>
      </c>
    </row>
    <row r="334" spans="1:21" x14ac:dyDescent="0.25">
      <c r="A334" s="54" t="str">
        <f>VLOOKUP(B334,'SAP Contracts'!A:J,10,FALSE)</f>
        <v>VERIZON-CONCORD-NED AMEND-CW2406653</v>
      </c>
      <c r="B334" s="54">
        <f>VLOOKUP(C334,'Active North Sky Projects'!C:D,2,FALSE)</f>
        <v>21473</v>
      </c>
      <c r="C334" s="117" t="s">
        <v>1008</v>
      </c>
      <c r="D334" s="225">
        <f>IFERROR(VLOOKUP(B334,'MTD Hours Paste Data'!A:C,3,FALSE),"")</f>
        <v>0</v>
      </c>
      <c r="E334" s="64">
        <f>IFERROR(VLOOKUP(B334,'ACDOCA - Paste Data'!B:G,6,FALSE),0)</f>
        <v>-120000</v>
      </c>
      <c r="F334" s="64">
        <f t="shared" si="473"/>
        <v>-120000</v>
      </c>
      <c r="G334" s="64">
        <f>IFERROR(VLOOKUP(B334,'ACDOCA - Paste Data'!B:H,7,FALSE),0)</f>
        <v>-57690</v>
      </c>
      <c r="H334" s="64">
        <f t="shared" si="474"/>
        <v>-57690</v>
      </c>
      <c r="I334" s="64">
        <f t="shared" si="475"/>
        <v>-62310</v>
      </c>
      <c r="J334" s="65">
        <f t="shared" si="488"/>
        <v>0.51924999999999999</v>
      </c>
      <c r="K334" s="198" t="str">
        <f>IFERROR(VLOOKUP(B334,'WIP - Paste Data'!B:E,4,FALSE),"")</f>
        <v/>
      </c>
      <c r="L334" s="64"/>
      <c r="M334" s="64"/>
      <c r="N334" s="66"/>
      <c r="O334" s="66"/>
      <c r="P334" s="189">
        <f>IFERROR(VLOOKUP(B334,'JTD Paste Data'!A:B,2,FALSE),"0")</f>
        <v>0</v>
      </c>
      <c r="Q334" s="189">
        <f t="shared" si="476"/>
        <v>0</v>
      </c>
      <c r="R334" s="189">
        <f>IFERROR(VLOOKUP(B334,'JTD Paste Data'!A:C,3,FALSE),"0")</f>
        <v>35036.089999999997</v>
      </c>
      <c r="S334" s="189">
        <f t="shared" si="477"/>
        <v>35036.089999999997</v>
      </c>
      <c r="T334" s="189">
        <f t="shared" si="478"/>
        <v>-35036.089999999997</v>
      </c>
      <c r="U334" s="193">
        <f t="shared" si="479"/>
        <v>0</v>
      </c>
    </row>
    <row r="335" spans="1:21" ht="12.75" customHeight="1" outlineLevel="1" x14ac:dyDescent="0.25">
      <c r="E335" s="64">
        <f>IFERROR(VLOOKUP(B335,'ACDOCA - Paste Data'!B:G,6,FALSE),0)</f>
        <v>0</v>
      </c>
      <c r="F335" s="64">
        <f t="shared" si="473"/>
        <v>0</v>
      </c>
      <c r="G335" s="64">
        <f>IFERROR(VLOOKUP(B335,'ACDOCA - Paste Data'!B:H,7,FALSE),0)</f>
        <v>0</v>
      </c>
      <c r="H335" s="64">
        <f t="shared" si="474"/>
        <v>0</v>
      </c>
      <c r="I335" s="64">
        <f t="shared" si="475"/>
        <v>0</v>
      </c>
      <c r="J335" s="65">
        <f t="shared" ref="J335" si="541">IFERROR(I335/F335,0)</f>
        <v>0</v>
      </c>
      <c r="K335" s="198" t="str">
        <f>IFERROR(VLOOKUP(B335,'WIP - Paste Data'!B:E,4,FALSE),"")</f>
        <v/>
      </c>
    </row>
    <row r="336" spans="1:21" ht="15.75" thickBot="1" x14ac:dyDescent="0.3">
      <c r="A336" s="75" t="s">
        <v>432</v>
      </c>
      <c r="B336" s="68" t="s">
        <v>1165</v>
      </c>
      <c r="C336" s="68"/>
      <c r="D336" s="226"/>
      <c r="E336" s="68">
        <f>SUM(E273:E334)</f>
        <v>437191.3600000001</v>
      </c>
      <c r="F336" s="68">
        <f>SUM(F273:F334)</f>
        <v>437191.3600000001</v>
      </c>
      <c r="G336" s="68">
        <f>SUM(G273:G334)</f>
        <v>781313.36999999988</v>
      </c>
      <c r="H336" s="68">
        <f>SUM(H273:H334)</f>
        <v>781313.36999999988</v>
      </c>
      <c r="I336" s="68">
        <f>F336-H336</f>
        <v>-344122.00999999978</v>
      </c>
      <c r="J336" s="69">
        <f>IFERROR(I336/F336,0)</f>
        <v>-0.78711987812384876</v>
      </c>
      <c r="K336" s="206">
        <f>SUM(K273:K334)</f>
        <v>4293098.6100000003</v>
      </c>
      <c r="L336" s="68">
        <f>SUM(L273:L334)</f>
        <v>0</v>
      </c>
      <c r="M336" s="68">
        <f>SUM(M273:M334)</f>
        <v>0</v>
      </c>
      <c r="N336" s="68"/>
      <c r="O336" s="68"/>
      <c r="P336" s="68">
        <f>SUM(P273:P335)</f>
        <v>14555424.239999998</v>
      </c>
      <c r="Q336" s="68">
        <f>SUM(Q273:Q335)</f>
        <v>14555424.239999998</v>
      </c>
      <c r="R336" s="68">
        <f>SUM(R273:R335)</f>
        <v>14430172.909999998</v>
      </c>
      <c r="S336" s="68">
        <f>SUM(S273:S335)</f>
        <v>14430172.909999998</v>
      </c>
      <c r="T336" s="68">
        <f>SUM(T273:T335)</f>
        <v>125251.3299999992</v>
      </c>
      <c r="U336" s="69">
        <f>IFERROR(T336/Q336,0)</f>
        <v>8.6051308388383468E-3</v>
      </c>
    </row>
    <row r="337" spans="1:21" ht="14.25" x14ac:dyDescent="0.25">
      <c r="A337" s="119" t="s">
        <v>2983</v>
      </c>
      <c r="B337" s="119"/>
      <c r="C337" s="119"/>
      <c r="D337" s="239"/>
      <c r="E337" s="16"/>
      <c r="F337" s="16"/>
      <c r="G337" s="16"/>
      <c r="H337" s="16"/>
      <c r="I337" s="16"/>
      <c r="J337" s="16"/>
      <c r="K337" s="203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 spans="1:21" x14ac:dyDescent="0.25">
      <c r="A338" s="54" t="str">
        <f>VLOOKUP(B338,'SAP Contracts'!A:J,10,FALSE)</f>
        <v>ATT - A058K7T - Salinas</v>
      </c>
      <c r="B338" s="54">
        <f>VLOOKUP(C338,'Active North Sky Projects'!C:D,2,FALSE)</f>
        <v>21088</v>
      </c>
      <c r="C338" s="120" t="s">
        <v>992</v>
      </c>
      <c r="D338" s="225">
        <f>IFERROR(VLOOKUP(B338,'MTD Hours Paste Data'!A:C,3,FALSE),"")</f>
        <v>0</v>
      </c>
      <c r="E338" s="64">
        <f>IFERROR(VLOOKUP(B338,'ACDOCA - Paste Data'!B:G,6,FALSE),0)</f>
        <v>0</v>
      </c>
      <c r="F338" s="64">
        <f t="shared" ref="F338:F344" si="542">E338 +L338</f>
        <v>0</v>
      </c>
      <c r="G338" s="64">
        <f>IFERROR(VLOOKUP(B338,'ACDOCA - Paste Data'!B:H,7,FALSE),0)</f>
        <v>0</v>
      </c>
      <c r="H338" s="64">
        <f t="shared" ref="H338:H344" si="543">G338+M338</f>
        <v>0</v>
      </c>
      <c r="I338" s="64">
        <f t="shared" ref="I338:I344" si="544">F338-H338</f>
        <v>0</v>
      </c>
      <c r="J338" s="65">
        <f t="shared" ref="J338:J344" si="545">IFERROR(I338/F338,0)</f>
        <v>0</v>
      </c>
      <c r="K338" s="198" t="str">
        <f>IFERROR(VLOOKUP(B338,'WIP - Paste Data'!B:E,4,FALSE),"")</f>
        <v/>
      </c>
      <c r="L338" s="64"/>
      <c r="M338" s="16"/>
      <c r="N338" s="16"/>
      <c r="O338" s="16"/>
      <c r="P338" s="189">
        <f>IFERROR(VLOOKUP(B338,'JTD Paste Data'!A:B,2,FALSE),"0")</f>
        <v>136733.59</v>
      </c>
      <c r="Q338" s="189">
        <f t="shared" ref="Q338:Q344" si="546">SUM(P338+L338)</f>
        <v>136733.59</v>
      </c>
      <c r="R338" s="189">
        <f>IFERROR(VLOOKUP(B338,'JTD Paste Data'!A:C,3,FALSE),"0")</f>
        <v>117050.7</v>
      </c>
      <c r="S338" s="189">
        <f t="shared" ref="S338:S344" si="547">SUM(R338+M338)</f>
        <v>117050.7</v>
      </c>
      <c r="T338" s="189">
        <f t="shared" ref="T338" si="548">SUM(Q338-S338)</f>
        <v>19682.89</v>
      </c>
      <c r="U338" s="193">
        <f t="shared" ref="U338" si="549">IFERROR(T338/Q338,0)</f>
        <v>0.14395065616283462</v>
      </c>
    </row>
    <row r="339" spans="1:21" x14ac:dyDescent="0.25">
      <c r="A339" s="54" t="s">
        <v>2765</v>
      </c>
      <c r="B339" s="54">
        <v>22077</v>
      </c>
      <c r="C339" s="120" t="s">
        <v>2715</v>
      </c>
      <c r="D339" s="225" t="str">
        <f>IFERROR(VLOOKUP(B339,'MTD Hours Paste Data'!A:C,3,FALSE),"")</f>
        <v/>
      </c>
      <c r="E339" s="64">
        <f>IFERROR(VLOOKUP(B339,'ACDOCA - Paste Data'!B:G,6,FALSE),0)</f>
        <v>0</v>
      </c>
      <c r="F339" s="64">
        <f t="shared" ref="F339" si="550">E339 +L339</f>
        <v>0</v>
      </c>
      <c r="G339" s="64">
        <f>IFERROR(VLOOKUP(B339,'ACDOCA - Paste Data'!B:H,7,FALSE),0)</f>
        <v>4066.83</v>
      </c>
      <c r="H339" s="64">
        <f t="shared" ref="H339" si="551">G339+M339</f>
        <v>4066.83</v>
      </c>
      <c r="I339" s="64">
        <f t="shared" ref="I339" si="552">F339-H339</f>
        <v>-4066.83</v>
      </c>
      <c r="J339" s="65">
        <f t="shared" ref="J339" si="553">IFERROR(I339/F339,0)</f>
        <v>0</v>
      </c>
      <c r="K339" s="198">
        <f>IFERROR(VLOOKUP(B339,'WIP - Paste Data'!B:E,4,FALSE),"")</f>
        <v>65297.85</v>
      </c>
      <c r="L339" s="64"/>
      <c r="M339" s="16"/>
      <c r="N339" s="16"/>
      <c r="O339" s="16"/>
      <c r="P339" s="189">
        <f>IFERROR(VLOOKUP(B339,'JTD Paste Data'!A:B,2,FALSE),"0")</f>
        <v>65297.85</v>
      </c>
      <c r="Q339" s="189">
        <f t="shared" ref="Q339" si="554">SUM(P339+L339)</f>
        <v>65297.85</v>
      </c>
      <c r="R339" s="189">
        <f>IFERROR(VLOOKUP(B339,'JTD Paste Data'!A:C,3,FALSE),"0")</f>
        <v>56704.52</v>
      </c>
      <c r="S339" s="189">
        <f t="shared" ref="S339" si="555">SUM(R339+M339)</f>
        <v>56704.52</v>
      </c>
      <c r="T339" s="189">
        <f t="shared" ref="T339" si="556">SUM(Q339-S339)</f>
        <v>8593.3300000000017</v>
      </c>
      <c r="U339" s="193">
        <f t="shared" ref="U339" si="557">IFERROR(T339/Q339,0)</f>
        <v>0.13160203590164152</v>
      </c>
    </row>
    <row r="341" spans="1:21" x14ac:dyDescent="0.25">
      <c r="A341" s="54" t="str">
        <f>VLOOKUP(B341,'SAP Contracts'!A:J,10,FALSE)</f>
        <v>Frontier - FTTH - Kenwood</v>
      </c>
      <c r="B341" s="54">
        <f>VLOOKUP(C341,'Active North Sky Projects'!C:D,2,FALSE)</f>
        <v>21622</v>
      </c>
      <c r="C341" s="120" t="s">
        <v>858</v>
      </c>
      <c r="D341" s="225">
        <f>IFERROR(VLOOKUP(B341,'MTD Hours Paste Data'!A:C,3,FALSE),"")</f>
        <v>0</v>
      </c>
      <c r="E341" s="64">
        <f>IFERROR(VLOOKUP(B341,'ACDOCA - Paste Data'!B:G,6,FALSE),0)</f>
        <v>0</v>
      </c>
      <c r="F341" s="64">
        <f t="shared" si="542"/>
        <v>0</v>
      </c>
      <c r="G341" s="64">
        <f>IFERROR(VLOOKUP(B341,'ACDOCA - Paste Data'!B:H,7,FALSE),0)</f>
        <v>0</v>
      </c>
      <c r="H341" s="64">
        <f t="shared" si="543"/>
        <v>0</v>
      </c>
      <c r="I341" s="64">
        <f t="shared" si="544"/>
        <v>0</v>
      </c>
      <c r="J341" s="65">
        <f t="shared" si="545"/>
        <v>0</v>
      </c>
      <c r="K341" s="198">
        <f>IFERROR(VLOOKUP(B341,'WIP - Paste Data'!B:E,4,FALSE),"")</f>
        <v>725206.33</v>
      </c>
      <c r="L341" s="16"/>
      <c r="M341" s="16"/>
      <c r="N341" s="16"/>
      <c r="O341" s="16"/>
      <c r="P341" s="189">
        <f>IFERROR(VLOOKUP(B341,'JTD Paste Data'!A:B,2,FALSE),"0")</f>
        <v>1473704.66</v>
      </c>
      <c r="Q341" s="189">
        <f t="shared" si="546"/>
        <v>1473704.66</v>
      </c>
      <c r="R341" s="189">
        <f>IFERROR(VLOOKUP(B341,'JTD Paste Data'!A:C,3,FALSE),"0")</f>
        <v>1212343.48</v>
      </c>
      <c r="S341" s="189">
        <f t="shared" si="547"/>
        <v>1212343.48</v>
      </c>
      <c r="T341" s="189">
        <f t="shared" ref="T341:T344" si="558">SUM(Q341-S341)</f>
        <v>261361.17999999993</v>
      </c>
      <c r="U341" s="193">
        <f t="shared" ref="U341:U344" si="559">IFERROR(T341/Q341,0)</f>
        <v>0.17734976830432223</v>
      </c>
    </row>
    <row r="342" spans="1:21" x14ac:dyDescent="0.25">
      <c r="A342" s="54" t="str">
        <f>VLOOKUP(B342,'SAP Contracts'!A:J,10,FALSE)</f>
        <v>Frontier - FTTH Morgan Hill</v>
      </c>
      <c r="B342" s="54">
        <f>VLOOKUP(C342,'Active North Sky Projects'!C:D,2,FALSE)</f>
        <v>21596</v>
      </c>
      <c r="C342" s="120" t="s">
        <v>464</v>
      </c>
      <c r="D342" s="225">
        <f>IFERROR(VLOOKUP(B342,'MTD Hours Paste Data'!A:C,3,FALSE),"")</f>
        <v>536.74</v>
      </c>
      <c r="E342" s="64">
        <f>IFERROR(VLOOKUP(B342,'ACDOCA - Paste Data'!B:G,6,FALSE),0)</f>
        <v>112305.60000000001</v>
      </c>
      <c r="F342" s="64">
        <f t="shared" si="542"/>
        <v>112305.60000000001</v>
      </c>
      <c r="G342" s="64">
        <f>IFERROR(VLOOKUP(B342,'ACDOCA - Paste Data'!B:H,7,FALSE),0)</f>
        <v>192086.72</v>
      </c>
      <c r="H342" s="64">
        <f t="shared" si="543"/>
        <v>192086.72</v>
      </c>
      <c r="I342" s="64">
        <f t="shared" si="544"/>
        <v>-79781.119999999995</v>
      </c>
      <c r="J342" s="65">
        <f t="shared" si="545"/>
        <v>-0.71039307033665278</v>
      </c>
      <c r="K342" s="198">
        <f>IFERROR(VLOOKUP(B342,'WIP - Paste Data'!B:E,4,FALSE),"")</f>
        <v>566977.87</v>
      </c>
      <c r="L342" s="16"/>
      <c r="M342" s="64"/>
      <c r="N342" s="66"/>
      <c r="O342" s="66"/>
      <c r="P342" s="189">
        <f>IFERROR(VLOOKUP(B342,'JTD Paste Data'!A:B,2,FALSE),"0")</f>
        <v>3307333.9699999997</v>
      </c>
      <c r="Q342" s="189">
        <f t="shared" si="546"/>
        <v>3307333.9699999997</v>
      </c>
      <c r="R342" s="189">
        <f>IFERROR(VLOOKUP(B342,'JTD Paste Data'!A:C,3,FALSE),"0")</f>
        <v>3205474.18</v>
      </c>
      <c r="S342" s="189">
        <f t="shared" si="547"/>
        <v>3205474.18</v>
      </c>
      <c r="T342" s="189">
        <f t="shared" si="558"/>
        <v>101859.78999999957</v>
      </c>
      <c r="U342" s="193">
        <f t="shared" si="559"/>
        <v>3.0798156740124909E-2</v>
      </c>
    </row>
    <row r="343" spans="1:21" x14ac:dyDescent="0.25">
      <c r="A343" s="54" t="str">
        <f>VLOOKUP(B343,'SAP Contracts'!A:J,10,FALSE)</f>
        <v>Frontier - Maint SSP South Bay (2022-25)</v>
      </c>
      <c r="B343" s="54">
        <f>VLOOKUP(C343,'Active North Sky Projects'!C:D,2,FALSE)</f>
        <v>21681</v>
      </c>
      <c r="C343" s="121" t="s">
        <v>465</v>
      </c>
      <c r="D343" s="225" t="str">
        <f>IFERROR(VLOOKUP(B343,'MTD Hours Paste Data'!A:C,3,FALSE),"")</f>
        <v/>
      </c>
      <c r="E343" s="64">
        <f>IFERROR(VLOOKUP(B343,'ACDOCA - Paste Data'!B:G,6,FALSE),0)</f>
        <v>0</v>
      </c>
      <c r="F343" s="64">
        <f t="shared" si="542"/>
        <v>0</v>
      </c>
      <c r="G343" s="64">
        <f>IFERROR(VLOOKUP(B343,'ACDOCA - Paste Data'!B:H,7,FALSE),0)</f>
        <v>0</v>
      </c>
      <c r="H343" s="64">
        <f t="shared" si="543"/>
        <v>0</v>
      </c>
      <c r="I343" s="64">
        <f t="shared" si="544"/>
        <v>0</v>
      </c>
      <c r="J343" s="65">
        <f t="shared" si="545"/>
        <v>0</v>
      </c>
      <c r="K343" s="198" t="str">
        <f>IFERROR(VLOOKUP(B343,'WIP - Paste Data'!B:E,4,FALSE),"")</f>
        <v/>
      </c>
      <c r="L343" s="16"/>
      <c r="M343" s="64"/>
      <c r="N343" s="66"/>
      <c r="O343" s="66"/>
      <c r="P343" s="189" t="str">
        <f>IFERROR(VLOOKUP(B343,'JTD Paste Data'!A:B,2,FALSE),"0")</f>
        <v>0</v>
      </c>
      <c r="Q343" s="189">
        <f t="shared" si="546"/>
        <v>0</v>
      </c>
      <c r="R343" s="189" t="str">
        <f>IFERROR(VLOOKUP(B343,'JTD Paste Data'!A:C,3,FALSE),"0")</f>
        <v>0</v>
      </c>
      <c r="S343" s="189">
        <f t="shared" si="547"/>
        <v>0</v>
      </c>
      <c r="T343" s="189">
        <f t="shared" si="558"/>
        <v>0</v>
      </c>
      <c r="U343" s="193">
        <f t="shared" si="559"/>
        <v>0</v>
      </c>
    </row>
    <row r="344" spans="1:21" x14ac:dyDescent="0.25">
      <c r="A344" s="54" t="str">
        <f>VLOOKUP(B344,'SAP Contracts'!A:J,10,FALSE)</f>
        <v>Frontier - Maint SSP South Bay (2025-27)</v>
      </c>
      <c r="B344" s="54">
        <f>VLOOKUP(C344,'Active North Sky Projects'!C:D,2,FALSE)</f>
        <v>21541</v>
      </c>
      <c r="C344" s="120" t="s">
        <v>575</v>
      </c>
      <c r="D344" s="225">
        <f>IFERROR(VLOOKUP(B344,'MTD Hours Paste Data'!A:C,3,FALSE),"")</f>
        <v>488.34</v>
      </c>
      <c r="E344" s="64">
        <f>IFERROR(VLOOKUP(B344,'ACDOCA - Paste Data'!B:G,6,FALSE),0)</f>
        <v>27255.42</v>
      </c>
      <c r="F344" s="64">
        <f t="shared" si="542"/>
        <v>27255.42</v>
      </c>
      <c r="G344" s="64">
        <f>IFERROR(VLOOKUP(B344,'ACDOCA - Paste Data'!B:H,7,FALSE),0)</f>
        <v>63345.37</v>
      </c>
      <c r="H344" s="64">
        <f t="shared" si="543"/>
        <v>63345.37</v>
      </c>
      <c r="I344" s="64">
        <f t="shared" si="544"/>
        <v>-36089.950000000004</v>
      </c>
      <c r="J344" s="65">
        <f t="shared" si="545"/>
        <v>-1.3241384649365155</v>
      </c>
      <c r="K344" s="198">
        <f>IFERROR(VLOOKUP(B344,'WIP - Paste Data'!B:E,4,FALSE),"")</f>
        <v>402478.12</v>
      </c>
      <c r="L344" s="64"/>
      <c r="M344" s="16"/>
      <c r="N344" s="16"/>
      <c r="O344" s="16"/>
      <c r="P344" s="189">
        <f>IFERROR(VLOOKUP(B344,'JTD Paste Data'!A:B,2,FALSE),"0")</f>
        <v>1928606.92</v>
      </c>
      <c r="Q344" s="189">
        <f t="shared" si="546"/>
        <v>1928606.92</v>
      </c>
      <c r="R344" s="189">
        <f>IFERROR(VLOOKUP(B344,'JTD Paste Data'!A:C,3,FALSE),"0")</f>
        <v>1725811.07</v>
      </c>
      <c r="S344" s="189">
        <f t="shared" si="547"/>
        <v>1725811.07</v>
      </c>
      <c r="T344" s="189">
        <f t="shared" si="558"/>
        <v>202795.84999999986</v>
      </c>
      <c r="U344" s="193">
        <f t="shared" si="559"/>
        <v>0.1051514686051214</v>
      </c>
    </row>
    <row r="345" spans="1:21" ht="15.75" thickBot="1" x14ac:dyDescent="0.3">
      <c r="A345" s="75" t="s">
        <v>2984</v>
      </c>
      <c r="B345" s="68" t="s">
        <v>1166</v>
      </c>
      <c r="C345" s="68"/>
      <c r="D345" s="226"/>
      <c r="E345" s="68">
        <f>SUM(E338:E344)</f>
        <v>139561.02000000002</v>
      </c>
      <c r="F345" s="68">
        <f>SUM(F338:F344)</f>
        <v>139561.02000000002</v>
      </c>
      <c r="G345" s="68">
        <f>SUM(G338:G344)</f>
        <v>259498.91999999998</v>
      </c>
      <c r="H345" s="68">
        <f>SUM(H338:H344)</f>
        <v>259498.91999999998</v>
      </c>
      <c r="I345" s="68">
        <f>F345-H345</f>
        <v>-119937.89999999997</v>
      </c>
      <c r="J345" s="69">
        <f>I345/F345</f>
        <v>-0.85939397691418384</v>
      </c>
      <c r="K345" s="206">
        <f>SUM(K338:K344)</f>
        <v>1759960.17</v>
      </c>
      <c r="L345" s="68">
        <f>SUM(L338:L344)</f>
        <v>0</v>
      </c>
      <c r="M345" s="68">
        <f>SUM(M338:M344)</f>
        <v>0</v>
      </c>
      <c r="N345" s="68"/>
      <c r="O345" s="68"/>
      <c r="P345" s="68">
        <f>SUM(P338:P344)</f>
        <v>6911676.9899999993</v>
      </c>
      <c r="Q345" s="68">
        <f>SUM(Q338:Q344)</f>
        <v>6911676.9899999993</v>
      </c>
      <c r="R345" s="68">
        <f>SUM(R338:R344)</f>
        <v>6317383.9500000002</v>
      </c>
      <c r="S345" s="68">
        <f>SUM(S338:S344)</f>
        <v>6317383.9500000002</v>
      </c>
      <c r="T345" s="68">
        <f>SUM(T338:T344)</f>
        <v>594293.03999999934</v>
      </c>
      <c r="U345" s="69">
        <f>IFERROR(T345/Q345,0)</f>
        <v>8.5983914013898294E-2</v>
      </c>
    </row>
    <row r="346" spans="1:21" ht="14.25" x14ac:dyDescent="0.25">
      <c r="A346" s="119" t="s">
        <v>876</v>
      </c>
      <c r="B346" s="119"/>
      <c r="C346" s="119"/>
      <c r="D346" s="239"/>
      <c r="E346" s="16"/>
      <c r="F346" s="16"/>
      <c r="G346" s="16"/>
      <c r="H346" s="16"/>
      <c r="I346" s="16"/>
      <c r="J346" s="16"/>
      <c r="K346" s="203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 spans="1:21" x14ac:dyDescent="0.25">
      <c r="A347" s="54" t="str">
        <f>VLOOKUP(B347,'SAP Contracts'!A:J,10,FALSE)</f>
        <v>ATT -  A02QY7S - Reno NV</v>
      </c>
      <c r="B347" s="54">
        <f>VLOOKUP(C347,'Active North Sky Projects'!C:D,2,FALSE)</f>
        <v>21071</v>
      </c>
      <c r="C347" s="117" t="s">
        <v>981</v>
      </c>
      <c r="D347" s="225">
        <f>IFERROR(VLOOKUP(B347,'MTD Hours Paste Data'!A:C,3,FALSE),"")</f>
        <v>0</v>
      </c>
      <c r="E347" s="64">
        <f>IFERROR(VLOOKUP(B347,'ACDOCA - Paste Data'!B:G,6,FALSE),0)</f>
        <v>20689.38</v>
      </c>
      <c r="F347" s="64">
        <f t="shared" ref="F347:F363" si="560">E347 +L347</f>
        <v>20689.38</v>
      </c>
      <c r="G347" s="64">
        <f>IFERROR(VLOOKUP(B347,'ACDOCA - Paste Data'!B:H,7,FALSE),0)</f>
        <v>14490.16</v>
      </c>
      <c r="H347" s="64">
        <f t="shared" ref="H347:H363" si="561">G347+M347</f>
        <v>14490.16</v>
      </c>
      <c r="I347" s="64">
        <f t="shared" ref="I347:I363" si="562">F347-H347</f>
        <v>6199.2200000000012</v>
      </c>
      <c r="J347" s="65">
        <f t="shared" ref="J347:J363" si="563">IFERROR(I347/F347,0)</f>
        <v>0.29963295178492544</v>
      </c>
      <c r="K347" s="198">
        <f>IFERROR(VLOOKUP(B347,'WIP - Paste Data'!B:E,4,FALSE),"")</f>
        <v>502068.99000000005</v>
      </c>
      <c r="L347" s="64"/>
      <c r="M347" s="64"/>
      <c r="N347" s="66"/>
      <c r="O347" s="66"/>
      <c r="P347" s="189">
        <f>IFERROR(VLOOKUP(B347,'JTD Paste Data'!A:B,2,FALSE),"0")</f>
        <v>502068.99</v>
      </c>
      <c r="Q347" s="189">
        <f t="shared" ref="Q347:Q361" si="564">SUM(P347+L347)</f>
        <v>502068.99</v>
      </c>
      <c r="R347" s="189">
        <f>IFERROR(VLOOKUP(B347,'JTD Paste Data'!A:C,3,FALSE),"0")</f>
        <v>438720.8</v>
      </c>
      <c r="S347" s="189">
        <f t="shared" ref="S347:S361" si="565">SUM(R347+M347)</f>
        <v>438720.8</v>
      </c>
      <c r="T347" s="189">
        <f t="shared" ref="T347" si="566">SUM(Q347-S347)</f>
        <v>63348.19</v>
      </c>
      <c r="U347" s="193">
        <f t="shared" ref="U347" si="567">IFERROR(T347/Q347,0)</f>
        <v>0.12617427338023804</v>
      </c>
    </row>
    <row r="348" spans="1:21" x14ac:dyDescent="0.25">
      <c r="A348" s="54" t="str">
        <f>VLOOKUP(B348,'SAP Contracts'!A:J,10,FALSE)</f>
        <v>ATT - A02PJDR - Kings Row</v>
      </c>
      <c r="B348" s="54">
        <f>VLOOKUP(C348,'Active North Sky Projects'!C:D,2,FALSE)</f>
        <v>21077</v>
      </c>
      <c r="C348" s="117" t="s">
        <v>991</v>
      </c>
      <c r="D348" s="225">
        <f>IFERROR(VLOOKUP(B348,'MTD Hours Paste Data'!A:C,3,FALSE),"")</f>
        <v>679.11</v>
      </c>
      <c r="E348" s="64">
        <f>IFERROR(VLOOKUP(B348,'ACDOCA - Paste Data'!B:G,6,FALSE),0)</f>
        <v>107171.73</v>
      </c>
      <c r="F348" s="64">
        <f t="shared" si="560"/>
        <v>107171.73</v>
      </c>
      <c r="G348" s="64">
        <f>IFERROR(VLOOKUP(B348,'ACDOCA - Paste Data'!B:H,7,FALSE),0)</f>
        <v>118162.38</v>
      </c>
      <c r="H348" s="64">
        <f t="shared" si="561"/>
        <v>118162.38</v>
      </c>
      <c r="I348" s="64">
        <f t="shared" si="562"/>
        <v>-10990.650000000009</v>
      </c>
      <c r="J348" s="65">
        <f t="shared" ref="J348" si="568">IFERROR(I348/F348,0)</f>
        <v>-0.1025517643505429</v>
      </c>
      <c r="K348" s="198">
        <f>IFERROR(VLOOKUP(B348,'WIP - Paste Data'!B:E,4,FALSE),"")</f>
        <v>665309</v>
      </c>
      <c r="L348" s="64"/>
      <c r="M348" s="64"/>
      <c r="N348" s="66"/>
      <c r="O348" s="66"/>
      <c r="P348" s="189">
        <f>IFERROR(VLOOKUP(B348,'JTD Paste Data'!A:B,2,FALSE),"0")</f>
        <v>665309</v>
      </c>
      <c r="Q348" s="189">
        <f t="shared" si="564"/>
        <v>665309</v>
      </c>
      <c r="R348" s="189">
        <f>IFERROR(VLOOKUP(B348,'JTD Paste Data'!A:C,3,FALSE),"0")</f>
        <v>570382.30000000005</v>
      </c>
      <c r="S348" s="189">
        <f t="shared" si="565"/>
        <v>570382.30000000005</v>
      </c>
      <c r="T348" s="189">
        <f t="shared" ref="T348:T361" si="569">SUM(Q348-S348)</f>
        <v>94926.699999999953</v>
      </c>
      <c r="U348" s="193">
        <f t="shared" ref="U348:U361" si="570">IFERROR(T348/Q348,0)</f>
        <v>0.14268061908075788</v>
      </c>
    </row>
    <row r="349" spans="1:21" x14ac:dyDescent="0.25">
      <c r="A349" s="54" t="str">
        <f>VLOOKUP(B349,'SAP Contracts'!A:J,10,FALSE)</f>
        <v>ATT - A051KQ2 - Carson City NV</v>
      </c>
      <c r="B349" s="54">
        <f>VLOOKUP(C349,'Active North Sky Projects'!C:D,2,FALSE)</f>
        <v>21552</v>
      </c>
      <c r="C349" s="117" t="s">
        <v>982</v>
      </c>
      <c r="D349" s="225">
        <f>IFERROR(VLOOKUP(B349,'MTD Hours Paste Data'!A:C,3,FALSE),"")</f>
        <v>0</v>
      </c>
      <c r="E349" s="64">
        <f>IFERROR(VLOOKUP(B349,'ACDOCA - Paste Data'!B:G,6,FALSE),0)</f>
        <v>-120006</v>
      </c>
      <c r="F349" s="64">
        <f t="shared" si="560"/>
        <v>-120006</v>
      </c>
      <c r="G349" s="64">
        <f>IFERROR(VLOOKUP(B349,'ACDOCA - Paste Data'!B:H,7,FALSE),0)</f>
        <v>-19051.900000000001</v>
      </c>
      <c r="H349" s="64">
        <f t="shared" si="561"/>
        <v>-19051.900000000001</v>
      </c>
      <c r="I349" s="64">
        <f t="shared" si="562"/>
        <v>-100954.1</v>
      </c>
      <c r="J349" s="65">
        <f t="shared" si="563"/>
        <v>0.84124210456143866</v>
      </c>
      <c r="K349" s="198">
        <f>IFERROR(VLOOKUP(B349,'WIP - Paste Data'!B:E,4,FALSE),"")</f>
        <v>344007.76</v>
      </c>
      <c r="L349" s="64"/>
      <c r="M349" s="64"/>
      <c r="N349" s="66"/>
      <c r="O349" s="66"/>
      <c r="P349" s="189">
        <f>IFERROR(VLOOKUP(B349,'JTD Paste Data'!A:B,2,FALSE),"0")</f>
        <v>344007.76</v>
      </c>
      <c r="Q349" s="189">
        <f t="shared" si="564"/>
        <v>344007.76</v>
      </c>
      <c r="R349" s="189">
        <f>IFERROR(VLOOKUP(B349,'JTD Paste Data'!A:C,3,FALSE),"0")</f>
        <v>296557.18</v>
      </c>
      <c r="S349" s="189">
        <f t="shared" si="565"/>
        <v>296557.18</v>
      </c>
      <c r="T349" s="189">
        <f t="shared" si="569"/>
        <v>47450.580000000016</v>
      </c>
      <c r="U349" s="193">
        <f t="shared" si="570"/>
        <v>0.13793462100971216</v>
      </c>
    </row>
    <row r="350" spans="1:21" x14ac:dyDescent="0.25">
      <c r="A350" s="54" t="str">
        <f>VLOOKUP(B350,'SAP Contracts'!A:J,10,FALSE)</f>
        <v>ATT - A0558LC - Sparks NV</v>
      </c>
      <c r="B350" s="54">
        <f>VLOOKUP(C350,'Active North Sky Projects'!C:D,2,FALSE)</f>
        <v>21061</v>
      </c>
      <c r="C350" s="117" t="s">
        <v>939</v>
      </c>
      <c r="D350" s="225">
        <f>IFERROR(VLOOKUP(B350,'MTD Hours Paste Data'!A:C,3,FALSE),"")</f>
        <v>0</v>
      </c>
      <c r="E350" s="64">
        <f>IFERROR(VLOOKUP(B350,'ACDOCA - Paste Data'!B:G,6,FALSE),0)</f>
        <v>0</v>
      </c>
      <c r="F350" s="64">
        <f t="shared" si="560"/>
        <v>0</v>
      </c>
      <c r="G350" s="64">
        <f>IFERROR(VLOOKUP(B350,'ACDOCA - Paste Data'!B:H,7,FALSE),0)</f>
        <v>0</v>
      </c>
      <c r="H350" s="64">
        <f t="shared" si="561"/>
        <v>0</v>
      </c>
      <c r="I350" s="64">
        <f t="shared" si="562"/>
        <v>0</v>
      </c>
      <c r="J350" s="65">
        <f t="shared" si="563"/>
        <v>0</v>
      </c>
      <c r="K350" s="198">
        <f>IFERROR(VLOOKUP(B350,'WIP - Paste Data'!B:E,4,FALSE),"")</f>
        <v>568646.43000000005</v>
      </c>
      <c r="L350" s="64"/>
      <c r="M350" s="64"/>
      <c r="N350" s="66"/>
      <c r="O350" s="66"/>
      <c r="P350" s="189">
        <f>IFERROR(VLOOKUP(B350,'JTD Paste Data'!A:B,2,FALSE),"0")</f>
        <v>568646.43000000005</v>
      </c>
      <c r="Q350" s="189">
        <f t="shared" si="564"/>
        <v>568646.43000000005</v>
      </c>
      <c r="R350" s="189">
        <f>IFERROR(VLOOKUP(B350,'JTD Paste Data'!A:C,3,FALSE),"0")</f>
        <v>648982.12</v>
      </c>
      <c r="S350" s="189">
        <f t="shared" si="565"/>
        <v>648982.12</v>
      </c>
      <c r="T350" s="189">
        <f t="shared" si="569"/>
        <v>-80335.689999999944</v>
      </c>
      <c r="U350" s="193">
        <f t="shared" si="570"/>
        <v>-0.14127529122094362</v>
      </c>
    </row>
    <row r="351" spans="1:21" x14ac:dyDescent="0.25">
      <c r="A351" s="54" t="str">
        <f>VLOOKUP(B351,'SAP Contracts'!A:J,10,FALSE)</f>
        <v>ATT - A058NZT - Reno NV</v>
      </c>
      <c r="B351" s="54">
        <v>21889</v>
      </c>
      <c r="C351" s="117" t="s">
        <v>1306</v>
      </c>
      <c r="D351" s="225" t="str">
        <f>IFERROR(VLOOKUP(B351,'MTD Hours Paste Data'!A:C,3,FALSE),"")</f>
        <v/>
      </c>
      <c r="E351" s="64">
        <f>IFERROR(VLOOKUP(B351,'ACDOCA - Paste Data'!B:G,6,FALSE),0)</f>
        <v>0</v>
      </c>
      <c r="F351" s="64">
        <f t="shared" ref="F351" si="571">E351 +L351</f>
        <v>0</v>
      </c>
      <c r="G351" s="64">
        <f>IFERROR(VLOOKUP(B351,'ACDOCA - Paste Data'!B:H,7,FALSE),0)</f>
        <v>22935.18</v>
      </c>
      <c r="H351" s="64">
        <f t="shared" ref="H351" si="572">G351+M351</f>
        <v>22935.18</v>
      </c>
      <c r="I351" s="64">
        <f t="shared" ref="I351" si="573">F351-H351</f>
        <v>-22935.18</v>
      </c>
      <c r="J351" s="65">
        <f t="shared" ref="J351" si="574">IFERROR(I351/F351,0)</f>
        <v>0</v>
      </c>
      <c r="K351" s="198">
        <f>IFERROR(VLOOKUP(B351,'WIP - Paste Data'!B:E,4,FALSE),"")</f>
        <v>37101.75</v>
      </c>
      <c r="L351" s="64"/>
      <c r="M351" s="64"/>
      <c r="N351" s="66"/>
      <c r="O351" s="66"/>
      <c r="P351" s="189">
        <f>IFERROR(VLOOKUP(B351,'JTD Paste Data'!A:B,2,FALSE),"0")</f>
        <v>37101.75</v>
      </c>
      <c r="Q351" s="189">
        <f t="shared" si="564"/>
        <v>37101.75</v>
      </c>
      <c r="R351" s="189">
        <f>IFERROR(VLOOKUP(B351,'JTD Paste Data'!A:C,3,FALSE),"0")</f>
        <v>51524.06</v>
      </c>
      <c r="S351" s="189">
        <f t="shared" si="565"/>
        <v>51524.06</v>
      </c>
      <c r="T351" s="189">
        <f t="shared" si="569"/>
        <v>-14422.309999999998</v>
      </c>
      <c r="U351" s="193">
        <f t="shared" si="570"/>
        <v>-0.38872317343521523</v>
      </c>
    </row>
    <row r="352" spans="1:21" x14ac:dyDescent="0.25">
      <c r="A352" s="54" t="s">
        <v>2779</v>
      </c>
      <c r="B352" s="54">
        <v>21946</v>
      </c>
      <c r="C352" s="117" t="s">
        <v>2715</v>
      </c>
      <c r="D352" s="225" t="str">
        <f>IFERROR(VLOOKUP(B352,'MTD Hours Paste Data'!A:C,3,FALSE),"")</f>
        <v/>
      </c>
      <c r="E352" s="64">
        <f>IFERROR(VLOOKUP(B352,'ACDOCA - Paste Data'!B:G,6,FALSE),0)</f>
        <v>0</v>
      </c>
      <c r="F352" s="64">
        <f t="shared" ref="F352" si="575">E352 +L352</f>
        <v>0</v>
      </c>
      <c r="G352" s="64">
        <f>IFERROR(VLOOKUP(B352,'ACDOCA - Paste Data'!B:H,7,FALSE),0)</f>
        <v>-305.45</v>
      </c>
      <c r="H352" s="64">
        <f t="shared" ref="H352" si="576">G352+M352</f>
        <v>-305.45</v>
      </c>
      <c r="I352" s="64">
        <f t="shared" ref="I352" si="577">F352-H352</f>
        <v>305.45</v>
      </c>
      <c r="J352" s="65">
        <f t="shared" ref="J352" si="578">IFERROR(I352/F352,0)</f>
        <v>0</v>
      </c>
      <c r="K352" s="198">
        <f>IFERROR(VLOOKUP(B352,'WIP - Paste Data'!B:E,4,FALSE),"")</f>
        <v>78444.56</v>
      </c>
      <c r="L352" s="64"/>
      <c r="M352" s="64"/>
      <c r="N352" s="66"/>
      <c r="O352" s="66"/>
      <c r="P352" s="189">
        <f>IFERROR(VLOOKUP(B352,'JTD Paste Data'!A:B,2,FALSE),"0")</f>
        <v>78444.56</v>
      </c>
      <c r="Q352" s="189">
        <f t="shared" ref="Q352" si="579">SUM(P352+L352)</f>
        <v>78444.56</v>
      </c>
      <c r="R352" s="189">
        <f>IFERROR(VLOOKUP(B352,'JTD Paste Data'!A:C,3,FALSE),"0")</f>
        <v>52348.65</v>
      </c>
      <c r="S352" s="189">
        <f t="shared" ref="S352" si="580">SUM(R352+M352)</f>
        <v>52348.65</v>
      </c>
      <c r="T352" s="189">
        <f t="shared" ref="T352" si="581">SUM(Q352-S352)</f>
        <v>26095.909999999996</v>
      </c>
      <c r="U352" s="193">
        <f t="shared" ref="U352" si="582">IFERROR(T352/Q352,0)</f>
        <v>0.33266691788442687</v>
      </c>
    </row>
    <row r="353" spans="1:21" x14ac:dyDescent="0.25">
      <c r="A353" s="54" t="s">
        <v>2953</v>
      </c>
      <c r="B353" s="54">
        <v>22076</v>
      </c>
      <c r="C353" s="117" t="s">
        <v>2715</v>
      </c>
      <c r="D353" s="225" t="str">
        <f>IFERROR(VLOOKUP(B353,'MTD Hours Paste Data'!A:C,3,FALSE),"")</f>
        <v/>
      </c>
      <c r="E353" s="64">
        <f>IFERROR(VLOOKUP(B353,'ACDOCA - Paste Data'!B:G,6,FALSE),0)</f>
        <v>206709.24</v>
      </c>
      <c r="F353" s="64">
        <f t="shared" ref="F353" si="583">E353 +L353</f>
        <v>206709.24</v>
      </c>
      <c r="G353" s="64">
        <f>IFERROR(VLOOKUP(B353,'ACDOCA - Paste Data'!B:H,7,FALSE),0)</f>
        <v>139300.81</v>
      </c>
      <c r="H353" s="64">
        <f t="shared" ref="H353" si="584">G353+M353</f>
        <v>139300.81</v>
      </c>
      <c r="I353" s="64">
        <f t="shared" ref="I353" si="585">F353-H353</f>
        <v>67408.429999999993</v>
      </c>
      <c r="J353" s="65">
        <f t="shared" ref="J353" si="586">IFERROR(I353/F353,0)</f>
        <v>0.3261026454356854</v>
      </c>
      <c r="K353" s="198">
        <f>IFERROR(VLOOKUP(B353,'WIP - Paste Data'!B:E,4,FALSE),"")</f>
        <v>206709.24</v>
      </c>
      <c r="L353" s="64"/>
      <c r="M353" s="64"/>
      <c r="N353" s="66"/>
      <c r="O353" s="66"/>
      <c r="P353" s="189">
        <f>IFERROR(VLOOKUP(B353,'JTD Paste Data'!A:B,2,FALSE),"0")</f>
        <v>206709.24</v>
      </c>
      <c r="Q353" s="189">
        <f t="shared" ref="Q353" si="587">SUM(P353+L353)</f>
        <v>206709.24</v>
      </c>
      <c r="R353" s="189">
        <f>IFERROR(VLOOKUP(B353,'JTD Paste Data'!A:C,3,FALSE),"0")</f>
        <v>139300.89000000001</v>
      </c>
      <c r="S353" s="189">
        <f t="shared" ref="S353" si="588">SUM(R353+M353)</f>
        <v>139300.89000000001</v>
      </c>
      <c r="T353" s="189">
        <f t="shared" ref="T353" si="589">SUM(Q353-S353)</f>
        <v>67408.349999999977</v>
      </c>
      <c r="U353" s="193">
        <f t="shared" ref="U353" si="590">IFERROR(T353/Q353,0)</f>
        <v>0.3261022584186366</v>
      </c>
    </row>
    <row r="354" spans="1:21" x14ac:dyDescent="0.25">
      <c r="A354" s="54" t="s">
        <v>2987</v>
      </c>
      <c r="B354" s="54">
        <v>22075</v>
      </c>
      <c r="C354" s="117" t="s">
        <v>2715</v>
      </c>
      <c r="D354" s="225" t="str">
        <f>IFERROR(VLOOKUP(B354,'MTD Hours Paste Data'!A:C,3,FALSE),"")</f>
        <v/>
      </c>
      <c r="E354" s="64">
        <f>IFERROR(VLOOKUP(B354,'ACDOCA - Paste Data'!B:G,6,FALSE),0)</f>
        <v>15386.7</v>
      </c>
      <c r="F354" s="64">
        <f t="shared" ref="F354" si="591">E354 +L354</f>
        <v>15386.7</v>
      </c>
      <c r="G354" s="64">
        <f>IFERROR(VLOOKUP(B354,'ACDOCA - Paste Data'!B:H,7,FALSE),0)</f>
        <v>14518.87</v>
      </c>
      <c r="H354" s="64">
        <f t="shared" ref="H354" si="592">G354+M354</f>
        <v>14518.87</v>
      </c>
      <c r="I354" s="64">
        <f t="shared" ref="I354" si="593">F354-H354</f>
        <v>867.82999999999993</v>
      </c>
      <c r="J354" s="65">
        <f t="shared" ref="J354" si="594">IFERROR(I354/F354,0)</f>
        <v>5.6401307622817101E-2</v>
      </c>
      <c r="K354" s="198">
        <f>IFERROR(VLOOKUP(B354,'WIP - Paste Data'!B:E,4,FALSE),"")</f>
        <v>15386.7</v>
      </c>
      <c r="L354" s="64"/>
      <c r="M354" s="64"/>
      <c r="N354" s="66"/>
      <c r="O354" s="66"/>
      <c r="P354" s="189">
        <f>IFERROR(VLOOKUP(B354,'JTD Paste Data'!A:B,2,FALSE),"0")</f>
        <v>15386.7</v>
      </c>
      <c r="Q354" s="189">
        <f t="shared" ref="Q354" si="595">SUM(P354+L354)</f>
        <v>15386.7</v>
      </c>
      <c r="R354" s="189">
        <f>IFERROR(VLOOKUP(B354,'JTD Paste Data'!A:C,3,FALSE),"0")</f>
        <v>14518.87</v>
      </c>
      <c r="S354" s="189">
        <f t="shared" ref="S354" si="596">SUM(R354+M354)</f>
        <v>14518.87</v>
      </c>
      <c r="T354" s="189">
        <f t="shared" ref="T354" si="597">SUM(Q354-S354)</f>
        <v>867.82999999999993</v>
      </c>
      <c r="U354" s="193">
        <f t="shared" ref="U354" si="598">IFERROR(T354/Q354,0)</f>
        <v>5.6401307622817101E-2</v>
      </c>
    </row>
    <row r="355" spans="1:21" x14ac:dyDescent="0.25">
      <c r="A355" s="54" t="str">
        <f>VLOOKUP(B355,'SAP Contracts'!A:J,10,FALSE)</f>
        <v>AWS - Reno Data Center - Campus</v>
      </c>
      <c r="B355" s="54">
        <f>VLOOKUP(C355,'Active North Sky Projects'!C:D,2,FALSE)</f>
        <v>21549</v>
      </c>
      <c r="C355" s="117" t="s">
        <v>980</v>
      </c>
      <c r="D355" s="225">
        <f>IFERROR(VLOOKUP(B355,'MTD Hours Paste Data'!A:C,3,FALSE),"")</f>
        <v>840.9</v>
      </c>
      <c r="E355" s="64">
        <f>IFERROR(VLOOKUP(B355,'ACDOCA - Paste Data'!B:G,6,FALSE),0)</f>
        <v>33790.28</v>
      </c>
      <c r="F355" s="64">
        <f t="shared" si="560"/>
        <v>33790.28</v>
      </c>
      <c r="G355" s="64">
        <f>IFERROR(VLOOKUP(B355,'ACDOCA - Paste Data'!B:H,7,FALSE),0)</f>
        <v>113165.04</v>
      </c>
      <c r="H355" s="64">
        <f t="shared" si="561"/>
        <v>113165.04</v>
      </c>
      <c r="I355" s="64">
        <f t="shared" si="562"/>
        <v>-79374.759999999995</v>
      </c>
      <c r="J355" s="65">
        <f t="shared" si="563"/>
        <v>-2.349041203565049</v>
      </c>
      <c r="K355" s="198">
        <f>IFERROR(VLOOKUP(B355,'WIP - Paste Data'!B:E,4,FALSE),"")</f>
        <v>489447.16000000003</v>
      </c>
      <c r="L355" s="64"/>
      <c r="M355" s="64"/>
      <c r="N355" s="66"/>
      <c r="O355" s="66"/>
      <c r="P355" s="189">
        <f>IFERROR(VLOOKUP(B355,'JTD Paste Data'!A:B,2,FALSE),"0")</f>
        <v>489447.16</v>
      </c>
      <c r="Q355" s="189">
        <f t="shared" si="564"/>
        <v>489447.16</v>
      </c>
      <c r="R355" s="189">
        <f>IFERROR(VLOOKUP(B355,'JTD Paste Data'!A:C,3,FALSE),"0")</f>
        <v>597698.12</v>
      </c>
      <c r="S355" s="189">
        <f t="shared" si="565"/>
        <v>597698.12</v>
      </c>
      <c r="T355" s="189">
        <f t="shared" si="569"/>
        <v>-108250.96000000002</v>
      </c>
      <c r="U355" s="193">
        <f t="shared" si="570"/>
        <v>-0.22116986029707483</v>
      </c>
    </row>
    <row r="356" spans="1:21" x14ac:dyDescent="0.25">
      <c r="A356" s="54" t="s">
        <v>2748</v>
      </c>
      <c r="B356" s="54">
        <v>21279</v>
      </c>
      <c r="C356" s="117" t="s">
        <v>1199</v>
      </c>
      <c r="D356" s="225" t="str">
        <f>IFERROR(VLOOKUP(B356,'MTD Hours Paste Data'!A:C,3,FALSE),"")</f>
        <v/>
      </c>
      <c r="E356" s="64">
        <f>IFERROR(VLOOKUP(B356,'ACDOCA - Paste Data'!B:G,6,FALSE),0)</f>
        <v>0</v>
      </c>
      <c r="F356" s="64">
        <f t="shared" ref="F356" si="599">E356 +L356</f>
        <v>0</v>
      </c>
      <c r="G356" s="64">
        <f>IFERROR(VLOOKUP(B356,'ACDOCA - Paste Data'!B:H,7,FALSE),0)</f>
        <v>0</v>
      </c>
      <c r="H356" s="64">
        <f t="shared" ref="H356" si="600">G356+M356</f>
        <v>0</v>
      </c>
      <c r="I356" s="64">
        <f t="shared" ref="I356" si="601">F356-H356</f>
        <v>0</v>
      </c>
      <c r="J356" s="65">
        <f t="shared" ref="J356" si="602">IFERROR(I356/F356,0)</f>
        <v>0</v>
      </c>
      <c r="K356" s="198" t="str">
        <f>IFERROR(VLOOKUP(B356,'WIP - Paste Data'!B:E,4,FALSE),"")</f>
        <v/>
      </c>
      <c r="L356" s="64"/>
      <c r="M356" s="64"/>
      <c r="N356" s="66"/>
      <c r="O356" s="66"/>
      <c r="P356" s="189">
        <f>IFERROR(VLOOKUP(B356,'JTD Paste Data'!A:B,2,FALSE),"0")</f>
        <v>0</v>
      </c>
      <c r="Q356" s="189">
        <f t="shared" ref="Q356" si="603">SUM(P356+L356)</f>
        <v>0</v>
      </c>
      <c r="R356" s="189">
        <f>IFERROR(VLOOKUP(B356,'JTD Paste Data'!A:C,3,FALSE),"0")</f>
        <v>2257.7399999999998</v>
      </c>
      <c r="S356" s="189">
        <f t="shared" ref="S356" si="604">SUM(R356+M356)</f>
        <v>2257.7399999999998</v>
      </c>
      <c r="T356" s="189">
        <f t="shared" si="569"/>
        <v>-2257.7399999999998</v>
      </c>
      <c r="U356" s="193">
        <f t="shared" si="570"/>
        <v>0</v>
      </c>
    </row>
    <row r="357" spans="1:21" x14ac:dyDescent="0.25">
      <c r="A357" s="54" t="str">
        <f>VLOOKUP(B357,'SAP Contracts'!A:J,10,FALSE)</f>
        <v>AWS - Reno Data Center - OSP</v>
      </c>
      <c r="B357" s="54">
        <f>VLOOKUP(C357,'Active North Sky Projects'!C:D,2,FALSE)</f>
        <v>21280</v>
      </c>
      <c r="C357" s="117" t="s">
        <v>965</v>
      </c>
      <c r="D357" s="225">
        <f>IFERROR(VLOOKUP(B357,'MTD Hours Paste Data'!A:C,3,FALSE),"")</f>
        <v>413.59</v>
      </c>
      <c r="E357" s="64">
        <f>IFERROR(VLOOKUP(B357,'ACDOCA - Paste Data'!B:G,6,FALSE),0)</f>
        <v>82709.94</v>
      </c>
      <c r="F357" s="64">
        <f t="shared" si="560"/>
        <v>82709.94</v>
      </c>
      <c r="G357" s="64">
        <f>IFERROR(VLOOKUP(B357,'ACDOCA - Paste Data'!B:H,7,FALSE),0)</f>
        <v>177509.71</v>
      </c>
      <c r="H357" s="64">
        <f t="shared" si="561"/>
        <v>177509.71</v>
      </c>
      <c r="I357" s="64">
        <f t="shared" si="562"/>
        <v>-94799.76999999999</v>
      </c>
      <c r="J357" s="65">
        <f t="shared" si="563"/>
        <v>-1.1461714275212869</v>
      </c>
      <c r="K357" s="198">
        <f>IFERROR(VLOOKUP(B357,'WIP - Paste Data'!B:E,4,FALSE),"")</f>
        <v>82709.94</v>
      </c>
      <c r="L357" s="64"/>
      <c r="M357" s="64"/>
      <c r="N357" s="66"/>
      <c r="O357" s="66"/>
      <c r="P357" s="189">
        <f>IFERROR(VLOOKUP(B357,'JTD Paste Data'!A:B,2,FALSE),"0")</f>
        <v>2113450.5499999998</v>
      </c>
      <c r="Q357" s="189">
        <f t="shared" si="564"/>
        <v>2113450.5499999998</v>
      </c>
      <c r="R357" s="189">
        <f>IFERROR(VLOOKUP(B357,'JTD Paste Data'!A:C,3,FALSE),"0")</f>
        <v>1805284.99</v>
      </c>
      <c r="S357" s="189">
        <f t="shared" si="565"/>
        <v>1805284.99</v>
      </c>
      <c r="T357" s="189">
        <f t="shared" si="569"/>
        <v>308165.55999999982</v>
      </c>
      <c r="U357" s="193">
        <f t="shared" si="570"/>
        <v>0.14581157813226331</v>
      </c>
    </row>
    <row r="358" spans="1:21" x14ac:dyDescent="0.25">
      <c r="A358" s="54" t="s">
        <v>2731</v>
      </c>
      <c r="B358" s="54">
        <v>21948</v>
      </c>
      <c r="C358" s="117" t="s">
        <v>2715</v>
      </c>
      <c r="D358" s="225" t="str">
        <f>IFERROR(VLOOKUP(B358,'MTD Hours Paste Data'!A:C,3,FALSE),"")</f>
        <v/>
      </c>
      <c r="E358" s="64">
        <f>IFERROR(VLOOKUP(B358,'ACDOCA - Paste Data'!B:G,6,FALSE),0)</f>
        <v>24787.759999999998</v>
      </c>
      <c r="F358" s="64">
        <f t="shared" ref="F358" si="605">E358 +L358</f>
        <v>24787.759999999998</v>
      </c>
      <c r="G358" s="64">
        <f>IFERROR(VLOOKUP(B358,'ACDOCA - Paste Data'!B:H,7,FALSE),0)</f>
        <v>2823.31</v>
      </c>
      <c r="H358" s="64">
        <f t="shared" ref="H358" si="606">G358+M358</f>
        <v>2823.31</v>
      </c>
      <c r="I358" s="64">
        <f t="shared" ref="I358" si="607">F358-H358</f>
        <v>21964.449999999997</v>
      </c>
      <c r="J358" s="65">
        <f t="shared" ref="J358" si="608">IFERROR(I358/F358,0)</f>
        <v>0.88610063999328692</v>
      </c>
      <c r="K358" s="198">
        <f>IFERROR(VLOOKUP(B358,'WIP - Paste Data'!B:E,4,FALSE),"")</f>
        <v>49310.119999999995</v>
      </c>
      <c r="L358" s="64"/>
      <c r="M358" s="64"/>
      <c r="N358" s="66"/>
      <c r="O358" s="66"/>
      <c r="P358" s="189">
        <f>IFERROR(VLOOKUP(B358,'JTD Paste Data'!A:B,2,FALSE),"0")</f>
        <v>49310.12</v>
      </c>
      <c r="Q358" s="189">
        <f t="shared" si="564"/>
        <v>49310.12</v>
      </c>
      <c r="R358" s="189">
        <f>IFERROR(VLOOKUP(B358,'JTD Paste Data'!A:C,3,FALSE),"0")</f>
        <v>12459.13</v>
      </c>
      <c r="S358" s="189">
        <f t="shared" si="565"/>
        <v>12459.13</v>
      </c>
      <c r="T358" s="189">
        <f t="shared" si="569"/>
        <v>36850.990000000005</v>
      </c>
      <c r="U358" s="193">
        <f t="shared" si="570"/>
        <v>0.74733117664284743</v>
      </c>
    </row>
    <row r="359" spans="1:21" x14ac:dyDescent="0.25">
      <c r="A359" s="54" t="str">
        <f>VLOOKUP(B359,'SAP Contracts'!A:J,10,FALSE)</f>
        <v>NFS - Wasatch Electric - Moana Ln - Reno</v>
      </c>
      <c r="B359" s="54">
        <f>VLOOKUP(C359,'Active North Sky Projects'!C:D,2,FALSE)</f>
        <v>21306</v>
      </c>
      <c r="C359" s="117" t="s">
        <v>941</v>
      </c>
      <c r="D359" s="225" t="str">
        <f>IFERROR(VLOOKUP(B359,'MTD Hours Paste Data'!A:C,3,FALSE),"")</f>
        <v/>
      </c>
      <c r="E359" s="64">
        <f>IFERROR(VLOOKUP(B359,'ACDOCA - Paste Data'!B:G,6,FALSE),0)</f>
        <v>0</v>
      </c>
      <c r="F359" s="64">
        <f t="shared" si="560"/>
        <v>0</v>
      </c>
      <c r="G359" s="64">
        <f>IFERROR(VLOOKUP(B359,'ACDOCA - Paste Data'!B:H,7,FALSE),0)</f>
        <v>0</v>
      </c>
      <c r="H359" s="64">
        <f t="shared" si="561"/>
        <v>0</v>
      </c>
      <c r="I359" s="64">
        <f t="shared" si="562"/>
        <v>0</v>
      </c>
      <c r="J359" s="65">
        <f t="shared" si="563"/>
        <v>0</v>
      </c>
      <c r="K359" s="198">
        <f>IFERROR(VLOOKUP(B359,'WIP - Paste Data'!B:E,4,FALSE),"")</f>
        <v>22093</v>
      </c>
      <c r="L359" s="64"/>
      <c r="M359" s="64"/>
      <c r="N359" s="66"/>
      <c r="O359" s="66"/>
      <c r="P359" s="189">
        <f>IFERROR(VLOOKUP(B359,'JTD Paste Data'!A:B,2,FALSE),"0")</f>
        <v>12540</v>
      </c>
      <c r="Q359" s="189">
        <f t="shared" si="564"/>
        <v>12540</v>
      </c>
      <c r="R359" s="189">
        <f>IFERROR(VLOOKUP(B359,'JTD Paste Data'!A:C,3,FALSE),"0")</f>
        <v>17156.8</v>
      </c>
      <c r="S359" s="189">
        <f t="shared" si="565"/>
        <v>17156.8</v>
      </c>
      <c r="T359" s="189">
        <f t="shared" si="569"/>
        <v>-4616.7999999999993</v>
      </c>
      <c r="U359" s="193">
        <f t="shared" si="570"/>
        <v>-0.36816586921850075</v>
      </c>
    </row>
    <row r="360" spans="1:21" ht="14.25" x14ac:dyDescent="0.25">
      <c r="A360" s="54" t="str">
        <f>VLOOKUP(B360,'SAP Contracts'!A:J,10,FALSE)</f>
        <v>VZ-Verizon Business - 98743F - Mill St</v>
      </c>
      <c r="B360" s="54">
        <f>VLOOKUP(C360,'Active North Sky Projects'!C:D,2,FALSE)</f>
        <v>21281</v>
      </c>
      <c r="C360" s="120" t="s">
        <v>642</v>
      </c>
      <c r="D360" s="225">
        <f>IFERROR(VLOOKUP(B360,'MTD Hours Paste Data'!A:C,3,FALSE),"")</f>
        <v>0</v>
      </c>
      <c r="E360" s="64">
        <f>IFERROR(VLOOKUP(B360,'ACDOCA - Paste Data'!B:G,6,FALSE),0)</f>
        <v>0</v>
      </c>
      <c r="F360" s="64">
        <f t="shared" si="560"/>
        <v>0</v>
      </c>
      <c r="G360" s="64">
        <f>IFERROR(VLOOKUP(B360,'ACDOCA - Paste Data'!B:H,7,FALSE),0)</f>
        <v>0</v>
      </c>
      <c r="H360" s="64">
        <f t="shared" si="561"/>
        <v>0</v>
      </c>
      <c r="I360" s="64">
        <f t="shared" si="562"/>
        <v>0</v>
      </c>
      <c r="J360" s="65">
        <f t="shared" si="563"/>
        <v>0</v>
      </c>
      <c r="K360" s="198" t="str">
        <f>IFERROR(VLOOKUP(B360,'WIP - Paste Data'!B:E,4,FALSE),"")</f>
        <v/>
      </c>
      <c r="L360" s="40"/>
      <c r="M360" s="16"/>
      <c r="N360" s="16"/>
      <c r="O360" s="16"/>
      <c r="P360" s="189">
        <f>IFERROR(VLOOKUP(B360,'JTD Paste Data'!A:B,2,FALSE),"0")</f>
        <v>2437.5</v>
      </c>
      <c r="Q360" s="189">
        <f t="shared" si="564"/>
        <v>2437.5</v>
      </c>
      <c r="R360" s="189">
        <f>IFERROR(VLOOKUP(B360,'JTD Paste Data'!A:C,3,FALSE),"0")</f>
        <v>3519.86</v>
      </c>
      <c r="S360" s="189">
        <f t="shared" si="565"/>
        <v>3519.86</v>
      </c>
      <c r="T360" s="189">
        <f t="shared" si="569"/>
        <v>-1082.3600000000001</v>
      </c>
      <c r="U360" s="193">
        <f t="shared" si="570"/>
        <v>-0.44404512820512826</v>
      </c>
    </row>
    <row r="361" spans="1:21" collapsed="1" x14ac:dyDescent="0.25">
      <c r="A361" s="54" t="str">
        <f>VLOOKUP(B361,'SAP Contracts'!A:J,10,FALSE)</f>
        <v>VZ-Verizon Business - MARC - Reno</v>
      </c>
      <c r="B361" s="54">
        <f>VLOOKUP(C361,'Active North Sky Projects'!C:D,2,FALSE)</f>
        <v>21510</v>
      </c>
      <c r="C361" s="117" t="s">
        <v>646</v>
      </c>
      <c r="D361" s="225">
        <f>IFERROR(VLOOKUP(B361,'MTD Hours Paste Data'!A:C,3,FALSE),"")</f>
        <v>22.93</v>
      </c>
      <c r="E361" s="64">
        <f>IFERROR(VLOOKUP(B361,'ACDOCA - Paste Data'!B:G,6,FALSE),0)</f>
        <v>3929.2</v>
      </c>
      <c r="F361" s="64">
        <f t="shared" si="560"/>
        <v>3929.2</v>
      </c>
      <c r="G361" s="64">
        <f>IFERROR(VLOOKUP(B361,'ACDOCA - Paste Data'!B:H,7,FALSE),0)</f>
        <v>2699.81</v>
      </c>
      <c r="H361" s="64">
        <f t="shared" si="561"/>
        <v>2699.81</v>
      </c>
      <c r="I361" s="64">
        <f t="shared" si="562"/>
        <v>1229.3899999999999</v>
      </c>
      <c r="J361" s="65">
        <f t="shared" si="563"/>
        <v>0.31288557467168887</v>
      </c>
      <c r="K361" s="198">
        <f>IFERROR(VLOOKUP(B361,'WIP - Paste Data'!B:E,4,FALSE),"")</f>
        <v>301902.69</v>
      </c>
      <c r="L361" s="64"/>
      <c r="M361" s="64"/>
      <c r="N361" s="66"/>
      <c r="O361" s="66"/>
      <c r="P361" s="189">
        <f>IFERROR(VLOOKUP(B361,'JTD Paste Data'!A:B,2,FALSE),"0")</f>
        <v>505900.26</v>
      </c>
      <c r="Q361" s="189">
        <f t="shared" si="564"/>
        <v>505900.26</v>
      </c>
      <c r="R361" s="189">
        <f>IFERROR(VLOOKUP(B361,'JTD Paste Data'!A:C,3,FALSE),"0")</f>
        <v>405659.41</v>
      </c>
      <c r="S361" s="189">
        <f t="shared" si="565"/>
        <v>405659.41</v>
      </c>
      <c r="T361" s="189">
        <f t="shared" si="569"/>
        <v>100240.85000000003</v>
      </c>
      <c r="U361" s="193">
        <f t="shared" si="570"/>
        <v>0.19814350362263114</v>
      </c>
    </row>
    <row r="362" spans="1:21" hidden="1" outlineLevel="1" x14ac:dyDescent="0.25">
      <c r="B362" s="121"/>
      <c r="C362" s="121"/>
      <c r="D362" s="240"/>
      <c r="E362" s="64">
        <f>IFERROR(VLOOKUP(B362,'ACDOCA - Paste Data'!B:G,6,FALSE),0)</f>
        <v>0</v>
      </c>
      <c r="F362" s="64">
        <f t="shared" si="560"/>
        <v>0</v>
      </c>
      <c r="G362" s="64">
        <f>IFERROR(VLOOKUP(B362,'ACDOCA - Paste Data'!B:H,7,FALSE),0)</f>
        <v>0</v>
      </c>
      <c r="H362" s="64">
        <f t="shared" si="561"/>
        <v>0</v>
      </c>
      <c r="I362" s="64">
        <f t="shared" si="562"/>
        <v>0</v>
      </c>
      <c r="J362" s="65">
        <f t="shared" si="563"/>
        <v>0</v>
      </c>
      <c r="K362" s="198" t="str">
        <f>IFERROR(VLOOKUP(B362,'WIP - Paste Data'!B:E,4,FALSE),"")</f>
        <v/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 spans="1:21" ht="14.25" hidden="1" outlineLevel="1" x14ac:dyDescent="0.25">
      <c r="A363" s="133"/>
      <c r="B363" s="133"/>
      <c r="C363" s="133"/>
      <c r="D363" s="241"/>
      <c r="E363" s="64">
        <f>IFERROR(VLOOKUP(B363,'ACDOCA - Paste Data'!B:G,6,FALSE),0)</f>
        <v>0</v>
      </c>
      <c r="F363" s="64">
        <f t="shared" si="560"/>
        <v>0</v>
      </c>
      <c r="G363" s="64">
        <f>IFERROR(VLOOKUP(B363,'ACDOCA - Paste Data'!B:H,7,FALSE),0)</f>
        <v>0</v>
      </c>
      <c r="H363" s="64">
        <f t="shared" si="561"/>
        <v>0</v>
      </c>
      <c r="I363" s="64">
        <f t="shared" si="562"/>
        <v>0</v>
      </c>
      <c r="J363" s="65">
        <f t="shared" si="563"/>
        <v>0</v>
      </c>
      <c r="K363" s="198" t="str">
        <f>IFERROR(VLOOKUP(B363,'WIP - Paste Data'!B:E,4,FALSE),"")</f>
        <v/>
      </c>
      <c r="L363" s="134"/>
      <c r="M363" s="16"/>
      <c r="N363" s="16"/>
      <c r="O363" s="16"/>
      <c r="P363" s="16"/>
      <c r="Q363" s="16"/>
      <c r="R363" s="16"/>
      <c r="S363" s="16"/>
      <c r="T363" s="16"/>
      <c r="U363" s="16"/>
    </row>
    <row r="364" spans="1:21" ht="15.75" thickBot="1" x14ac:dyDescent="0.3">
      <c r="A364" s="75" t="s">
        <v>877</v>
      </c>
      <c r="B364" s="68" t="s">
        <v>1167</v>
      </c>
      <c r="C364" s="68"/>
      <c r="D364" s="226"/>
      <c r="E364" s="68">
        <f>SUM(E347:E362)</f>
        <v>375168.23</v>
      </c>
      <c r="F364" s="68">
        <f>SUM(F347:F362)</f>
        <v>375168.23</v>
      </c>
      <c r="G364" s="68">
        <f>SUM(G347:G362)</f>
        <v>586247.92000000004</v>
      </c>
      <c r="H364" s="68">
        <f>SUM(H347:H362)</f>
        <v>586247.92000000004</v>
      </c>
      <c r="I364" s="68">
        <f>F364-H364</f>
        <v>-211079.69000000006</v>
      </c>
      <c r="J364" s="69">
        <f>IFERROR(I364/F364,0)</f>
        <v>-0.56262677146196538</v>
      </c>
      <c r="K364" s="206">
        <f>SUM(K347:K362)</f>
        <v>3363137.3400000008</v>
      </c>
      <c r="L364" s="68">
        <f>SUM(L347:L362)</f>
        <v>0</v>
      </c>
      <c r="M364" s="68">
        <f>SUM(M347:M362)</f>
        <v>0</v>
      </c>
      <c r="N364" s="68"/>
      <c r="O364" s="68"/>
      <c r="P364" s="68">
        <f>SUM(P347:P363)</f>
        <v>5590760.0200000005</v>
      </c>
      <c r="Q364" s="68">
        <f>SUM(Q347:Q363)</f>
        <v>5590760.0200000005</v>
      </c>
      <c r="R364" s="68">
        <f>SUM(R347:R363)</f>
        <v>5056370.9200000009</v>
      </c>
      <c r="S364" s="68">
        <f>SUM(S347:S363)</f>
        <v>5056370.9200000009</v>
      </c>
      <c r="T364" s="68">
        <f>SUM(T347:T363)</f>
        <v>534389.09999999986</v>
      </c>
      <c r="U364" s="69">
        <f>IFERROR(T364/Q364,0)</f>
        <v>9.5584338817676501E-2</v>
      </c>
    </row>
    <row r="365" spans="1:21" ht="15" x14ac:dyDescent="0.25">
      <c r="A365" s="17"/>
      <c r="B365" s="16"/>
      <c r="C365" s="16"/>
      <c r="D365" s="229"/>
      <c r="E365" s="18"/>
      <c r="F365" s="31"/>
      <c r="G365" s="32"/>
      <c r="H365" s="32"/>
      <c r="I365" s="31"/>
      <c r="J365" s="16"/>
      <c r="K365" s="203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 spans="1:21" ht="15" x14ac:dyDescent="0.25">
      <c r="A366" s="33" t="s">
        <v>1060</v>
      </c>
      <c r="B366" s="135"/>
      <c r="C366" s="135"/>
      <c r="D366" s="242"/>
      <c r="E366" s="29">
        <f>+E270+E336+E345+E364</f>
        <v>2184197.6100000003</v>
      </c>
      <c r="F366" s="29">
        <f t="shared" ref="F366:K366" si="609">+F270+F336+F345+F364</f>
        <v>2184197.6100000003</v>
      </c>
      <c r="G366" s="29">
        <f t="shared" si="609"/>
        <v>2271307.3699999996</v>
      </c>
      <c r="H366" s="29">
        <f t="shared" si="609"/>
        <v>2271307.3699999996</v>
      </c>
      <c r="I366" s="29">
        <f t="shared" si="609"/>
        <v>-87109.759999999835</v>
      </c>
      <c r="J366" s="79">
        <f>IFERROR(I366/F366,0)</f>
        <v>-3.9881812708328995E-2</v>
      </c>
      <c r="K366" s="29">
        <f t="shared" si="609"/>
        <v>12214409.120000001</v>
      </c>
      <c r="L366" s="18"/>
      <c r="M366" s="18"/>
      <c r="N366" s="16"/>
      <c r="O366" s="16"/>
      <c r="P366" s="16"/>
      <c r="Q366" s="16"/>
      <c r="R366" s="16"/>
      <c r="S366" s="16"/>
      <c r="T366" s="16"/>
      <c r="U366" s="16"/>
    </row>
    <row r="367" spans="1:21" ht="15" x14ac:dyDescent="0.25">
      <c r="A367" s="17" t="s">
        <v>2978</v>
      </c>
      <c r="B367" s="16"/>
      <c r="C367" s="16"/>
      <c r="D367" s="229"/>
      <c r="E367" s="18"/>
      <c r="F367" s="19">
        <v>5561000</v>
      </c>
      <c r="G367" s="16"/>
      <c r="H367" s="16"/>
      <c r="I367" s="36">
        <v>827960</v>
      </c>
      <c r="J367" s="28">
        <f>IFERROR(I367/F367,0)</f>
        <v>0.14888689084696996</v>
      </c>
      <c r="K367" s="202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 spans="1:21" ht="17.25" customHeight="1" x14ac:dyDescent="0.25">
      <c r="A368" s="125" t="s">
        <v>4759</v>
      </c>
      <c r="B368" s="16"/>
      <c r="C368" s="16"/>
      <c r="D368" s="229"/>
      <c r="E368" s="18"/>
      <c r="F368" s="31">
        <f>IFERROR(F366/F367,0)</f>
        <v>0.39277065455853272</v>
      </c>
      <c r="G368" s="32"/>
      <c r="H368" s="32"/>
      <c r="I368" s="31">
        <f>IFERROR(I366/I367,0)</f>
        <v>-0.10521010676844272</v>
      </c>
      <c r="J368" s="16"/>
      <c r="K368" s="203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 spans="1:21" ht="15" x14ac:dyDescent="0.25">
      <c r="A369" s="17"/>
      <c r="B369" s="16"/>
      <c r="C369" s="16"/>
      <c r="D369" s="229"/>
      <c r="E369" s="18"/>
      <c r="F369" s="31"/>
      <c r="G369" s="32"/>
      <c r="H369" s="32"/>
      <c r="I369" s="31"/>
      <c r="J369" s="16"/>
      <c r="K369" s="203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 spans="1:21" s="57" customFormat="1" ht="14.25" x14ac:dyDescent="0.25">
      <c r="A370" s="110" t="s">
        <v>1062</v>
      </c>
      <c r="B370" s="110"/>
      <c r="C370" s="110"/>
      <c r="D370" s="236"/>
      <c r="E370" s="131"/>
      <c r="F370" s="131"/>
      <c r="G370" s="132"/>
      <c r="H370" s="132"/>
      <c r="I370" s="132"/>
      <c r="J370" s="132"/>
      <c r="K370" s="209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</row>
    <row r="371" spans="1:21" ht="14.25" x14ac:dyDescent="0.25">
      <c r="A371" s="119" t="s">
        <v>429</v>
      </c>
      <c r="B371" s="119"/>
      <c r="C371" s="119"/>
      <c r="D371" s="239"/>
      <c r="E371" s="16"/>
      <c r="F371" s="16"/>
      <c r="G371" s="16"/>
      <c r="H371" s="16"/>
      <c r="I371" s="16"/>
      <c r="J371" s="16"/>
      <c r="K371" s="203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 spans="1:21" x14ac:dyDescent="0.25">
      <c r="A372" s="54" t="str">
        <f>VLOOKUP(B372,'SAP Contracts'!A:J,10,FALSE)</f>
        <v>Consolidated - Florin Rd - Sacramento</v>
      </c>
      <c r="B372" s="54">
        <f>VLOOKUP(C372,'Active North Sky Projects'!C:D,2,FALSE)</f>
        <v>21548</v>
      </c>
      <c r="C372" s="120" t="s">
        <v>878</v>
      </c>
      <c r="D372" s="225">
        <f>IFERROR(VLOOKUP(B372,'MTD Hours Paste Data'!A:C,3,FALSE),"")</f>
        <v>0</v>
      </c>
      <c r="E372" s="64">
        <f>IFERROR(VLOOKUP(B372,'ACDOCA - Paste Data'!B:G,6,FALSE),0)</f>
        <v>0</v>
      </c>
      <c r="F372" s="64">
        <f t="shared" ref="F372:F386" si="610">E372 +L372</f>
        <v>0</v>
      </c>
      <c r="G372" s="64">
        <f>IFERROR(VLOOKUP(B372,'ACDOCA - Paste Data'!B:H,7,FALSE),0)</f>
        <v>0</v>
      </c>
      <c r="H372" s="64">
        <f t="shared" ref="H372:H386" si="611">G372+M372</f>
        <v>0</v>
      </c>
      <c r="I372" s="64">
        <f t="shared" ref="I372:I386" si="612">F372-H372</f>
        <v>0</v>
      </c>
      <c r="J372" s="65">
        <f t="shared" ref="J372:J385" si="613">IFERROR(I372/F372,0)</f>
        <v>0</v>
      </c>
      <c r="K372" s="198" t="str">
        <f>IFERROR(VLOOKUP(B372,'WIP - Paste Data'!B:E,4,FALSE),"")</f>
        <v/>
      </c>
      <c r="L372" s="16"/>
      <c r="M372" s="16"/>
      <c r="N372" s="16"/>
      <c r="O372" s="16"/>
      <c r="P372" s="189">
        <f>IFERROR(VLOOKUP(B372,'JTD Paste Data'!A:B,2,FALSE),"0")</f>
        <v>13574.8</v>
      </c>
      <c r="Q372" s="189">
        <f t="shared" ref="Q372:Q385" si="614">SUM(P372+L372)</f>
        <v>13574.8</v>
      </c>
      <c r="R372" s="189">
        <f>IFERROR(VLOOKUP(B372,'JTD Paste Data'!A:C,3,FALSE),"0")</f>
        <v>13083.369999999999</v>
      </c>
      <c r="S372" s="189">
        <f t="shared" ref="S372:S385" si="615">SUM(R372+M372)</f>
        <v>13083.369999999999</v>
      </c>
      <c r="T372" s="189">
        <f t="shared" ref="T372" si="616">SUM(Q372-S372)</f>
        <v>491.43000000000029</v>
      </c>
      <c r="U372" s="193">
        <f t="shared" ref="U372" si="617">IFERROR(T372/Q372,0)</f>
        <v>3.6201638329846506E-2</v>
      </c>
    </row>
    <row r="373" spans="1:21" x14ac:dyDescent="0.25">
      <c r="A373" s="54" t="str">
        <f>VLOOKUP(B373,'SAP Contracts'!A:J,10,FALSE)</f>
        <v>Consolidated Communications - 8320 Belve</v>
      </c>
      <c r="B373" s="54">
        <f>VLOOKUP(C373,'Active North Sky Projects'!C:D,2,FALSE)</f>
        <v>21440</v>
      </c>
      <c r="C373" s="120" t="s">
        <v>930</v>
      </c>
      <c r="D373" s="225">
        <f>IFERROR(VLOOKUP(B373,'MTD Hours Paste Data'!A:C,3,FALSE),"")</f>
        <v>0</v>
      </c>
      <c r="E373" s="64">
        <f>IFERROR(VLOOKUP(B373,'ACDOCA - Paste Data'!B:G,6,FALSE),0)</f>
        <v>0</v>
      </c>
      <c r="F373" s="64">
        <f t="shared" si="610"/>
        <v>0</v>
      </c>
      <c r="G373" s="64">
        <f>IFERROR(VLOOKUP(B373,'ACDOCA - Paste Data'!B:H,7,FALSE),0)</f>
        <v>0</v>
      </c>
      <c r="H373" s="64">
        <f t="shared" si="611"/>
        <v>0</v>
      </c>
      <c r="I373" s="64">
        <f t="shared" si="612"/>
        <v>0</v>
      </c>
      <c r="J373" s="65">
        <f t="shared" si="613"/>
        <v>0</v>
      </c>
      <c r="K373" s="198" t="str">
        <f>IFERROR(VLOOKUP(B373,'WIP - Paste Data'!B:E,4,FALSE),"")</f>
        <v/>
      </c>
      <c r="L373" s="16"/>
      <c r="M373" s="16"/>
      <c r="N373" s="16"/>
      <c r="O373" s="16"/>
      <c r="P373" s="189">
        <f>IFERROR(VLOOKUP(B373,'JTD Paste Data'!A:B,2,FALSE),"0")</f>
        <v>23720</v>
      </c>
      <c r="Q373" s="189">
        <f t="shared" si="614"/>
        <v>23720</v>
      </c>
      <c r="R373" s="189">
        <f>IFERROR(VLOOKUP(B373,'JTD Paste Data'!A:C,3,FALSE),"0")</f>
        <v>20173.27</v>
      </c>
      <c r="S373" s="189">
        <f t="shared" si="615"/>
        <v>20173.27</v>
      </c>
      <c r="T373" s="189">
        <f t="shared" ref="T373:T385" si="618">SUM(Q373-S373)</f>
        <v>3546.7299999999996</v>
      </c>
      <c r="U373" s="193">
        <f t="shared" ref="U373:U385" si="619">IFERROR(T373/Q373,0)</f>
        <v>0.14952487352445193</v>
      </c>
    </row>
    <row r="374" spans="1:21" x14ac:dyDescent="0.25">
      <c r="A374" s="54" t="str">
        <f>VLOOKUP(B374,'SAP Contracts'!A:J,10,FALSE)</f>
        <v>Sprint - Rancho Cordova Sunrise Blvd</v>
      </c>
      <c r="B374" s="54">
        <f>VLOOKUP(C374,'Active North Sky Projects'!C:D,2,FALSE)</f>
        <v>21493</v>
      </c>
      <c r="C374" s="120" t="s">
        <v>1106</v>
      </c>
      <c r="D374" s="225" t="str">
        <f>IFERROR(VLOOKUP(B374,'MTD Hours Paste Data'!A:C,3,FALSE),"")</f>
        <v/>
      </c>
      <c r="E374" s="64">
        <f>IFERROR(VLOOKUP(B374,'ACDOCA - Paste Data'!B:G,6,FALSE),0)</f>
        <v>0</v>
      </c>
      <c r="F374" s="64">
        <f t="shared" si="610"/>
        <v>0</v>
      </c>
      <c r="G374" s="64">
        <f>IFERROR(VLOOKUP(B374,'ACDOCA - Paste Data'!B:H,7,FALSE),0)</f>
        <v>0</v>
      </c>
      <c r="H374" s="64">
        <f t="shared" si="611"/>
        <v>0</v>
      </c>
      <c r="I374" s="64">
        <f t="shared" si="612"/>
        <v>0</v>
      </c>
      <c r="J374" s="65">
        <f t="shared" ref="J374" si="620">IFERROR(I374/F374,0)</f>
        <v>0</v>
      </c>
      <c r="K374" s="198">
        <f>IFERROR(VLOOKUP(B374,'WIP - Paste Data'!B:E,4,FALSE),"")</f>
        <v>5030</v>
      </c>
      <c r="L374" s="16"/>
      <c r="M374" s="16"/>
      <c r="N374" s="16"/>
      <c r="O374" s="16"/>
      <c r="P374" s="189">
        <f>IFERROR(VLOOKUP(B374,'JTD Paste Data'!A:B,2,FALSE),"0")</f>
        <v>5030</v>
      </c>
      <c r="Q374" s="189">
        <f t="shared" si="614"/>
        <v>5030</v>
      </c>
      <c r="R374" s="189">
        <f>IFERROR(VLOOKUP(B374,'JTD Paste Data'!A:C,3,FALSE),"0")</f>
        <v>6391.11</v>
      </c>
      <c r="S374" s="189">
        <f t="shared" si="615"/>
        <v>6391.11</v>
      </c>
      <c r="T374" s="189">
        <f t="shared" si="618"/>
        <v>-1361.1099999999997</v>
      </c>
      <c r="U374" s="193">
        <f t="shared" si="619"/>
        <v>-0.2705984095427435</v>
      </c>
    </row>
    <row r="375" spans="1:21" x14ac:dyDescent="0.25">
      <c r="A375" s="54" t="s">
        <v>2991</v>
      </c>
      <c r="B375" s="54">
        <v>22917</v>
      </c>
      <c r="C375" s="120" t="s">
        <v>2715</v>
      </c>
      <c r="D375" s="225" t="str">
        <f>IFERROR(VLOOKUP(B375,'MTD Hours Paste Data'!A:C,3,FALSE),"")</f>
        <v/>
      </c>
      <c r="E375" s="64">
        <f>IFERROR(VLOOKUP(B375,'ACDOCA - Paste Data'!B:G,6,FALSE),0)</f>
        <v>23629</v>
      </c>
      <c r="F375" s="64">
        <f t="shared" ref="F375" si="621">E375 +L375</f>
        <v>23629</v>
      </c>
      <c r="G375" s="64">
        <f>IFERROR(VLOOKUP(B375,'ACDOCA - Paste Data'!B:H,7,FALSE),0)</f>
        <v>6189.03</v>
      </c>
      <c r="H375" s="64">
        <f t="shared" ref="H375" si="622">G375+M375</f>
        <v>6189.03</v>
      </c>
      <c r="I375" s="64">
        <f t="shared" ref="I375" si="623">F375-H375</f>
        <v>17439.97</v>
      </c>
      <c r="J375" s="65">
        <f t="shared" ref="J375" si="624">IFERROR(I375/F375,0)</f>
        <v>0.73807482331033902</v>
      </c>
      <c r="K375" s="198">
        <f>IFERROR(VLOOKUP(B375,'WIP - Paste Data'!B:E,4,FALSE),"")</f>
        <v>23629</v>
      </c>
      <c r="L375" s="16"/>
      <c r="M375" s="16"/>
      <c r="N375" s="16"/>
      <c r="O375" s="16"/>
      <c r="P375" s="189">
        <f>IFERROR(VLOOKUP(B375,'JTD Paste Data'!A:B,2,FALSE),"0")</f>
        <v>23629</v>
      </c>
      <c r="Q375" s="189">
        <f t="shared" ref="Q375" si="625">SUM(P375+L375)</f>
        <v>23629</v>
      </c>
      <c r="R375" s="189">
        <f>IFERROR(VLOOKUP(B375,'JTD Paste Data'!A:C,3,FALSE),"0")</f>
        <v>6189.03</v>
      </c>
      <c r="S375" s="189">
        <f t="shared" ref="S375" si="626">SUM(R375+M375)</f>
        <v>6189.03</v>
      </c>
      <c r="T375" s="189">
        <f t="shared" ref="T375" si="627">SUM(Q375-S375)</f>
        <v>17439.97</v>
      </c>
      <c r="U375" s="193">
        <f t="shared" ref="U375" si="628">IFERROR(T375/Q375,0)</f>
        <v>0.73807482331033902</v>
      </c>
    </row>
    <row r="376" spans="1:21" x14ac:dyDescent="0.25">
      <c r="A376" s="54" t="str">
        <f>VLOOKUP(B376,'SAP Contracts'!A:J,10,FALSE)</f>
        <v>Consolidated Communications - Natomas to</v>
      </c>
      <c r="B376" s="54">
        <f>VLOOKUP(C376,'Active North Sky Projects'!C:D,2,FALSE)</f>
        <v>21262</v>
      </c>
      <c r="C376" s="120" t="s">
        <v>872</v>
      </c>
      <c r="D376" s="225" t="str">
        <f>IFERROR(VLOOKUP(B376,'MTD Hours Paste Data'!A:C,3,FALSE),"")</f>
        <v/>
      </c>
      <c r="E376" s="64">
        <f>IFERROR(VLOOKUP(B376,'ACDOCA - Paste Data'!B:G,6,FALSE),0)</f>
        <v>0</v>
      </c>
      <c r="F376" s="64">
        <f t="shared" si="610"/>
        <v>0</v>
      </c>
      <c r="G376" s="64">
        <f>IFERROR(VLOOKUP(B376,'ACDOCA - Paste Data'!B:H,7,FALSE),0)</f>
        <v>0</v>
      </c>
      <c r="H376" s="64">
        <f t="shared" si="611"/>
        <v>0</v>
      </c>
      <c r="I376" s="64">
        <f t="shared" si="612"/>
        <v>0</v>
      </c>
      <c r="J376" s="65">
        <f t="shared" si="613"/>
        <v>0</v>
      </c>
      <c r="K376" s="198" t="str">
        <f>IFERROR(VLOOKUP(B376,'WIP - Paste Data'!B:E,4,FALSE),"")</f>
        <v/>
      </c>
      <c r="L376" s="16"/>
      <c r="M376" s="16"/>
      <c r="N376" s="16"/>
      <c r="O376" s="16"/>
      <c r="P376" s="189">
        <f>IFERROR(VLOOKUP(B376,'JTD Paste Data'!A:B,2,FALSE),"0")</f>
        <v>210295.02</v>
      </c>
      <c r="Q376" s="189">
        <f t="shared" si="614"/>
        <v>210295.02</v>
      </c>
      <c r="R376" s="189">
        <f>IFERROR(VLOOKUP(B376,'JTD Paste Data'!A:C,3,FALSE),"0")</f>
        <v>101510.11</v>
      </c>
      <c r="S376" s="189">
        <f t="shared" si="615"/>
        <v>101510.11</v>
      </c>
      <c r="T376" s="189">
        <f t="shared" si="618"/>
        <v>108784.90999999999</v>
      </c>
      <c r="U376" s="193">
        <f t="shared" si="619"/>
        <v>0.51729665305436145</v>
      </c>
    </row>
    <row r="377" spans="1:21" x14ac:dyDescent="0.25">
      <c r="A377" s="54" t="str">
        <f>VLOOKUP(B377,'SAP Contracts'!A:J,10,FALSE)</f>
        <v>Consolidated Communications MSA</v>
      </c>
      <c r="B377" s="54">
        <f>VLOOKUP(C377,'Active North Sky Projects'!C:D,2,FALSE)</f>
        <v>21569</v>
      </c>
      <c r="C377" s="120" t="s">
        <v>616</v>
      </c>
      <c r="D377" s="225">
        <f>IFERROR(VLOOKUP(B377,'MTD Hours Paste Data'!A:C,3,FALSE),"")</f>
        <v>0</v>
      </c>
      <c r="E377" s="64">
        <f>IFERROR(VLOOKUP(B377,'ACDOCA - Paste Data'!B:G,6,FALSE),0)</f>
        <v>0</v>
      </c>
      <c r="F377" s="64">
        <f>E377 +L377</f>
        <v>0</v>
      </c>
      <c r="G377" s="64">
        <f>IFERROR(VLOOKUP(B377,'ACDOCA - Paste Data'!B:H,7,FALSE),0)</f>
        <v>0</v>
      </c>
      <c r="H377" s="64">
        <f>G377+M377</f>
        <v>0</v>
      </c>
      <c r="I377" s="64">
        <f>F377-H377</f>
        <v>0</v>
      </c>
      <c r="J377" s="65">
        <f>IFERROR(I377/F377,0)</f>
        <v>0</v>
      </c>
      <c r="K377" s="198" t="str">
        <f>IFERROR(VLOOKUP(B377,'WIP - Paste Data'!B:E,4,FALSE),"")</f>
        <v/>
      </c>
      <c r="L377" s="16"/>
      <c r="M377" s="16"/>
      <c r="N377" s="16"/>
      <c r="O377" s="16"/>
      <c r="P377" s="189">
        <f>IFERROR(VLOOKUP(B377,'JTD Paste Data'!A:B,2,FALSE),"0")</f>
        <v>83886</v>
      </c>
      <c r="Q377" s="189">
        <f t="shared" si="614"/>
        <v>83886</v>
      </c>
      <c r="R377" s="189">
        <f>IFERROR(VLOOKUP(B377,'JTD Paste Data'!A:C,3,FALSE),"0")</f>
        <v>56569.229999999996</v>
      </c>
      <c r="S377" s="189">
        <f t="shared" si="615"/>
        <v>56569.229999999996</v>
      </c>
      <c r="T377" s="189">
        <f t="shared" si="618"/>
        <v>27316.770000000004</v>
      </c>
      <c r="U377" s="193">
        <f t="shared" si="619"/>
        <v>0.32564158500822549</v>
      </c>
    </row>
    <row r="378" spans="1:21" x14ac:dyDescent="0.25">
      <c r="A378" s="54" t="str">
        <f>VLOOKUP(B378,'SAP Contracts'!A:J,10,FALSE)</f>
        <v>Consolidated Communications - Zinfandel</v>
      </c>
      <c r="B378" s="54">
        <v>21899</v>
      </c>
      <c r="C378" s="120">
        <v>1056305</v>
      </c>
      <c r="D378" s="225" t="str">
        <f>IFERROR(VLOOKUP(B378,'MTD Hours Paste Data'!A:C,3,FALSE),"")</f>
        <v/>
      </c>
      <c r="E378" s="64">
        <f>IFERROR(VLOOKUP(B378,'ACDOCA - Paste Data'!B:G,6,FALSE),0)</f>
        <v>0</v>
      </c>
      <c r="F378" s="64">
        <f>E378 +L378</f>
        <v>0</v>
      </c>
      <c r="G378" s="64">
        <f>IFERROR(VLOOKUP(B378,'ACDOCA - Paste Data'!B:H,7,FALSE),0)</f>
        <v>0</v>
      </c>
      <c r="H378" s="64">
        <f>G378+M378</f>
        <v>0</v>
      </c>
      <c r="I378" s="64">
        <f>F378-H378</f>
        <v>0</v>
      </c>
      <c r="J378" s="65">
        <f>IFERROR(I378/F378,0)</f>
        <v>0</v>
      </c>
      <c r="K378" s="198" t="str">
        <f>IFERROR(VLOOKUP(B378,'WIP - Paste Data'!B:E,4,FALSE),"")</f>
        <v/>
      </c>
      <c r="L378" s="16"/>
      <c r="M378" s="16"/>
      <c r="N378" s="16"/>
      <c r="O378" s="16"/>
      <c r="P378" s="189">
        <f>IFERROR(VLOOKUP(B378,'JTD Paste Data'!A:B,2,FALSE),"0")</f>
        <v>5896.82</v>
      </c>
      <c r="Q378" s="189">
        <f t="shared" si="614"/>
        <v>5896.82</v>
      </c>
      <c r="R378" s="189">
        <f>IFERROR(VLOOKUP(B378,'JTD Paste Data'!A:C,3,FALSE),"0")</f>
        <v>2607.89</v>
      </c>
      <c r="S378" s="189">
        <f t="shared" si="615"/>
        <v>2607.89</v>
      </c>
      <c r="T378" s="189">
        <f t="shared" si="618"/>
        <v>3288.93</v>
      </c>
      <c r="U378" s="193">
        <f t="shared" si="619"/>
        <v>0.55774637855657794</v>
      </c>
    </row>
    <row r="379" spans="1:21" x14ac:dyDescent="0.25">
      <c r="A379" s="54" t="s">
        <v>1401</v>
      </c>
      <c r="B379" s="54">
        <v>21450</v>
      </c>
      <c r="C379" s="120">
        <v>1056269</v>
      </c>
      <c r="D379" s="225">
        <f>IFERROR(VLOOKUP(B379,'MTD Hours Paste Data'!A:C,3,FALSE),"")</f>
        <v>43.94</v>
      </c>
      <c r="E379" s="64">
        <f>IFERROR(VLOOKUP(B379,'ACDOCA - Paste Data'!B:G,6,FALSE),0)</f>
        <v>0</v>
      </c>
      <c r="F379" s="64">
        <f>E379 +L379</f>
        <v>0</v>
      </c>
      <c r="G379" s="64">
        <f>IFERROR(VLOOKUP(B379,'ACDOCA - Paste Data'!B:H,7,FALSE),0)</f>
        <v>3452.26</v>
      </c>
      <c r="H379" s="64">
        <f>G379+M379</f>
        <v>3452.26</v>
      </c>
      <c r="I379" s="64">
        <f>F379-H379</f>
        <v>-3452.26</v>
      </c>
      <c r="J379" s="65">
        <f>IFERROR(I379/F379,0)</f>
        <v>0</v>
      </c>
      <c r="K379" s="198">
        <f>IFERROR(VLOOKUP(B379,'WIP - Paste Data'!B:E,4,FALSE),"")</f>
        <v>26082</v>
      </c>
      <c r="L379" s="16"/>
      <c r="M379" s="16"/>
      <c r="N379" s="16"/>
      <c r="O379" s="16"/>
      <c r="P379" s="189">
        <f>IFERROR(VLOOKUP(B379,'JTD Paste Data'!A:B,2,FALSE),"0")</f>
        <v>26082</v>
      </c>
      <c r="Q379" s="189">
        <f t="shared" si="614"/>
        <v>26082</v>
      </c>
      <c r="R379" s="189">
        <f>IFERROR(VLOOKUP(B379,'JTD Paste Data'!A:C,3,FALSE),"0")</f>
        <v>37738.04</v>
      </c>
      <c r="S379" s="189">
        <f t="shared" si="615"/>
        <v>37738.04</v>
      </c>
      <c r="T379" s="189">
        <f t="shared" si="618"/>
        <v>-11656.04</v>
      </c>
      <c r="U379" s="193">
        <f t="shared" si="619"/>
        <v>-0.44689977762441535</v>
      </c>
    </row>
    <row r="380" spans="1:21" x14ac:dyDescent="0.25">
      <c r="A380" s="54" t="str">
        <f>VLOOKUP(B380,'SAP Contracts'!A:J,10,FALSE)</f>
        <v>Frontier - FTTH Elk Grove</v>
      </c>
      <c r="B380" s="54">
        <f>VLOOKUP(C380,'Active North Sky Projects'!C:D,2,FALSE)</f>
        <v>21583</v>
      </c>
      <c r="C380" s="120" t="s">
        <v>453</v>
      </c>
      <c r="D380" s="225">
        <f>IFERROR(VLOOKUP(B380,'MTD Hours Paste Data'!A:C,3,FALSE),"")</f>
        <v>1819.95</v>
      </c>
      <c r="E380" s="64">
        <f>IFERROR(VLOOKUP(B380,'ACDOCA - Paste Data'!B:G,6,FALSE),0)</f>
        <v>457705.09</v>
      </c>
      <c r="F380" s="64">
        <f t="shared" si="610"/>
        <v>457705.09</v>
      </c>
      <c r="G380" s="64">
        <f>IFERROR(VLOOKUP(B380,'ACDOCA - Paste Data'!B:H,7,FALSE),0)</f>
        <v>389998.22</v>
      </c>
      <c r="H380" s="64">
        <f t="shared" si="611"/>
        <v>389998.22</v>
      </c>
      <c r="I380" s="64">
        <f t="shared" si="612"/>
        <v>67706.870000000054</v>
      </c>
      <c r="J380" s="65">
        <f t="shared" si="613"/>
        <v>0.14792684520943397</v>
      </c>
      <c r="K380" s="198">
        <f>IFERROR(VLOOKUP(B380,'WIP - Paste Data'!B:E,4,FALSE),"")</f>
        <v>1858658.5399999998</v>
      </c>
      <c r="L380" s="16"/>
      <c r="M380" s="16"/>
      <c r="N380" s="16"/>
      <c r="O380" s="16"/>
      <c r="P380" s="189">
        <f>IFERROR(VLOOKUP(B380,'JTD Paste Data'!A:B,2,FALSE),"0")</f>
        <v>9755772.9400000013</v>
      </c>
      <c r="Q380" s="189">
        <f t="shared" si="614"/>
        <v>9755772.9400000013</v>
      </c>
      <c r="R380" s="189">
        <f>IFERROR(VLOOKUP(B380,'JTD Paste Data'!A:C,3,FALSE),"0")</f>
        <v>8376140.2999999998</v>
      </c>
      <c r="S380" s="189">
        <f t="shared" si="615"/>
        <v>8376140.2999999998</v>
      </c>
      <c r="T380" s="189">
        <f t="shared" si="618"/>
        <v>1379632.6400000015</v>
      </c>
      <c r="U380" s="193">
        <f t="shared" si="619"/>
        <v>0.14141705106146119</v>
      </c>
    </row>
    <row r="381" spans="1:21" x14ac:dyDescent="0.25">
      <c r="A381" s="54" t="str">
        <f>VLOOKUP(B381,'SAP Contracts'!A:J,10,FALSE)</f>
        <v>Frontier - FTTH Northern CA Communities</v>
      </c>
      <c r="B381" s="54">
        <f>VLOOKUP(C381,'Active North Sky Projects'!C:D,2,FALSE)</f>
        <v>21178</v>
      </c>
      <c r="C381" s="120" t="s">
        <v>452</v>
      </c>
      <c r="D381" s="225">
        <f>IFERROR(VLOOKUP(B381,'MTD Hours Paste Data'!A:C,3,FALSE),"")</f>
        <v>2.13</v>
      </c>
      <c r="E381" s="64">
        <f>IFERROR(VLOOKUP(B381,'ACDOCA - Paste Data'!B:G,6,FALSE),0)</f>
        <v>175370.22</v>
      </c>
      <c r="F381" s="64">
        <f t="shared" si="610"/>
        <v>175370.22</v>
      </c>
      <c r="G381" s="64">
        <f>IFERROR(VLOOKUP(B381,'ACDOCA - Paste Data'!B:H,7,FALSE),0)</f>
        <v>110893.91</v>
      </c>
      <c r="H381" s="64">
        <f t="shared" si="611"/>
        <v>110893.91</v>
      </c>
      <c r="I381" s="64">
        <f t="shared" si="612"/>
        <v>64476.31</v>
      </c>
      <c r="J381" s="65">
        <f t="shared" si="613"/>
        <v>0.36765826033633303</v>
      </c>
      <c r="K381" s="198">
        <f>IFERROR(VLOOKUP(B381,'WIP - Paste Data'!B:E,4,FALSE),"")</f>
        <v>568665.09</v>
      </c>
      <c r="L381" s="16"/>
      <c r="M381" s="16"/>
      <c r="N381" s="16"/>
      <c r="O381" s="16"/>
      <c r="P381" s="189">
        <f>IFERROR(VLOOKUP(B381,'JTD Paste Data'!A:B,2,FALSE),"0")</f>
        <v>1621634.73</v>
      </c>
      <c r="Q381" s="189">
        <f t="shared" si="614"/>
        <v>1621634.73</v>
      </c>
      <c r="R381" s="189">
        <f>IFERROR(VLOOKUP(B381,'JTD Paste Data'!A:C,3,FALSE),"0")</f>
        <v>1307309.26</v>
      </c>
      <c r="S381" s="189">
        <f t="shared" si="615"/>
        <v>1307309.26</v>
      </c>
      <c r="T381" s="189">
        <f t="shared" si="618"/>
        <v>314325.46999999997</v>
      </c>
      <c r="U381" s="193">
        <f t="shared" si="619"/>
        <v>0.19383247298853792</v>
      </c>
    </row>
    <row r="382" spans="1:21" ht="14.25" x14ac:dyDescent="0.25">
      <c r="A382" s="54" t="str">
        <f>VLOOKUP(B382,'SAP Contracts'!A:J,10,FALSE)</f>
        <v>Frontier - FTTH Redding</v>
      </c>
      <c r="B382" s="54">
        <f>VLOOKUP(C382,'Active North Sky Projects'!C:D,2,FALSE)</f>
        <v>21614</v>
      </c>
      <c r="C382" s="120" t="s">
        <v>641</v>
      </c>
      <c r="D382" s="225">
        <f>IFERROR(VLOOKUP(B382,'MTD Hours Paste Data'!A:C,3,FALSE),"")</f>
        <v>815.91</v>
      </c>
      <c r="E382" s="64">
        <f>IFERROR(VLOOKUP(B382,'ACDOCA - Paste Data'!B:G,6,FALSE),0)</f>
        <v>366825.98</v>
      </c>
      <c r="F382" s="64">
        <f t="shared" si="610"/>
        <v>366825.98</v>
      </c>
      <c r="G382" s="64">
        <f>IFERROR(VLOOKUP(B382,'ACDOCA - Paste Data'!B:H,7,FALSE),0)</f>
        <v>362268.66</v>
      </c>
      <c r="H382" s="64">
        <f t="shared" si="611"/>
        <v>362268.66</v>
      </c>
      <c r="I382" s="64">
        <f t="shared" si="612"/>
        <v>4557.320000000007</v>
      </c>
      <c r="J382" s="65">
        <f t="shared" si="613"/>
        <v>1.2423656579613055E-2</v>
      </c>
      <c r="K382" s="198">
        <f>IFERROR(VLOOKUP(B382,'WIP - Paste Data'!B:E,4,FALSE),"")</f>
        <v>3078359.15</v>
      </c>
      <c r="L382" s="40"/>
      <c r="M382" s="16"/>
      <c r="N382" s="16"/>
      <c r="O382" s="16"/>
      <c r="P382" s="189">
        <f>IFERROR(VLOOKUP(B382,'JTD Paste Data'!A:B,2,FALSE),"0")</f>
        <v>11954771.16</v>
      </c>
      <c r="Q382" s="189">
        <f t="shared" si="614"/>
        <v>11954771.16</v>
      </c>
      <c r="R382" s="189">
        <f>IFERROR(VLOOKUP(B382,'JTD Paste Data'!A:C,3,FALSE),"0")</f>
        <v>8260884.9000000004</v>
      </c>
      <c r="S382" s="189">
        <f t="shared" si="615"/>
        <v>8260884.9000000004</v>
      </c>
      <c r="T382" s="189">
        <f t="shared" si="618"/>
        <v>3693886.26</v>
      </c>
      <c r="U382" s="193">
        <f t="shared" si="619"/>
        <v>0.30898845411274267</v>
      </c>
    </row>
    <row r="383" spans="1:21" ht="14.25" x14ac:dyDescent="0.25">
      <c r="A383" s="54" t="s">
        <v>2993</v>
      </c>
      <c r="B383" s="54">
        <v>22056</v>
      </c>
      <c r="C383" s="120" t="s">
        <v>2715</v>
      </c>
      <c r="D383" s="225" t="str">
        <f>IFERROR(VLOOKUP(B383,'MTD Hours Paste Data'!A:C,3,FALSE),"")</f>
        <v/>
      </c>
      <c r="E383" s="64">
        <f>IFERROR(VLOOKUP(B383,'ACDOCA - Paste Data'!B:G,6,FALSE),0)</f>
        <v>8840</v>
      </c>
      <c r="F383" s="64">
        <f t="shared" ref="F383" si="629">E383 +L383</f>
        <v>8840</v>
      </c>
      <c r="G383" s="64">
        <f>IFERROR(VLOOKUP(B383,'ACDOCA - Paste Data'!B:H,7,FALSE),0)</f>
        <v>10291.629999999999</v>
      </c>
      <c r="H383" s="64">
        <f t="shared" ref="H383" si="630">G383+M383</f>
        <v>10291.629999999999</v>
      </c>
      <c r="I383" s="64">
        <f t="shared" ref="I383" si="631">F383-H383</f>
        <v>-1451.6299999999992</v>
      </c>
      <c r="J383" s="65">
        <f t="shared" ref="J383" si="632">IFERROR(I383/F383,0)</f>
        <v>-0.16421153846153838</v>
      </c>
      <c r="K383" s="198">
        <f>IFERROR(VLOOKUP(B383,'WIP - Paste Data'!B:E,4,FALSE),"")</f>
        <v>8840</v>
      </c>
      <c r="L383" s="40"/>
      <c r="M383" s="16"/>
      <c r="N383" s="16"/>
      <c r="O383" s="16"/>
      <c r="P383" s="189">
        <f>IFERROR(VLOOKUP(B383,'JTD Paste Data'!A:B,2,FALSE),"0")</f>
        <v>8840</v>
      </c>
      <c r="Q383" s="189">
        <f t="shared" ref="Q383" si="633">SUM(P383+L383)</f>
        <v>8840</v>
      </c>
      <c r="R383" s="189">
        <f>IFERROR(VLOOKUP(B383,'JTD Paste Data'!A:C,3,FALSE),"0")</f>
        <v>10291.629999999999</v>
      </c>
      <c r="S383" s="189">
        <f t="shared" ref="S383" si="634">SUM(R383+M383)</f>
        <v>10291.629999999999</v>
      </c>
      <c r="T383" s="189">
        <f t="shared" ref="T383" si="635">SUM(Q383-S383)</f>
        <v>-1451.6299999999992</v>
      </c>
      <c r="U383" s="193">
        <f t="shared" ref="U383" si="636">IFERROR(T383/Q383,0)</f>
        <v>-0.16421153846153838</v>
      </c>
    </row>
    <row r="384" spans="1:21" ht="14.25" x14ac:dyDescent="0.25">
      <c r="A384" s="54" t="str">
        <f>VLOOKUP(B384,'SAP Contracts'!A:J,10,FALSE)</f>
        <v>Sprint - Baseline Costco Relocation</v>
      </c>
      <c r="B384" s="54">
        <f>VLOOKUP(C384,'Active North Sky Projects'!C:D,2,FALSE)</f>
        <v>21444</v>
      </c>
      <c r="C384" s="120" t="s">
        <v>847</v>
      </c>
      <c r="D384" s="225">
        <f>IFERROR(VLOOKUP(B384,'MTD Hours Paste Data'!A:C,3,FALSE),"")</f>
        <v>0</v>
      </c>
      <c r="E384" s="64">
        <f>IFERROR(VLOOKUP(B384,'ACDOCA - Paste Data'!B:G,6,FALSE),0)</f>
        <v>0</v>
      </c>
      <c r="F384" s="64">
        <f t="shared" si="610"/>
        <v>0</v>
      </c>
      <c r="G384" s="64">
        <f>IFERROR(VLOOKUP(B384,'ACDOCA - Paste Data'!B:H,7,FALSE),0)</f>
        <v>0</v>
      </c>
      <c r="H384" s="64">
        <f t="shared" si="611"/>
        <v>0</v>
      </c>
      <c r="I384" s="64">
        <f t="shared" si="612"/>
        <v>0</v>
      </c>
      <c r="J384" s="65">
        <f t="shared" si="613"/>
        <v>0</v>
      </c>
      <c r="K384" s="198" t="str">
        <f>IFERROR(VLOOKUP(B384,'WIP - Paste Data'!B:E,4,FALSE),"")</f>
        <v/>
      </c>
      <c r="L384" s="40"/>
      <c r="M384" s="16"/>
      <c r="N384" s="16"/>
      <c r="O384" s="16"/>
      <c r="P384" s="189">
        <f>IFERROR(VLOOKUP(B384,'JTD Paste Data'!A:B,2,FALSE),"0")</f>
        <v>47075</v>
      </c>
      <c r="Q384" s="189">
        <f t="shared" si="614"/>
        <v>47075</v>
      </c>
      <c r="R384" s="189">
        <f>IFERROR(VLOOKUP(B384,'JTD Paste Data'!A:C,3,FALSE),"0")</f>
        <v>29571.449999999997</v>
      </c>
      <c r="S384" s="189">
        <f t="shared" si="615"/>
        <v>29571.449999999997</v>
      </c>
      <c r="T384" s="189">
        <f t="shared" si="618"/>
        <v>17503.550000000003</v>
      </c>
      <c r="U384" s="193">
        <f t="shared" si="619"/>
        <v>0.37182262347318118</v>
      </c>
    </row>
    <row r="385" spans="1:21" x14ac:dyDescent="0.25">
      <c r="A385" s="54" t="str">
        <f>VLOOKUP(B385,'SAP Contracts'!A:J,10,FALSE)</f>
        <v>Zayo - ILA Build - Truckee</v>
      </c>
      <c r="B385" s="54">
        <f>VLOOKUP(C385,'Active North Sky Projects'!C:D,2,FALSE)</f>
        <v>21496</v>
      </c>
      <c r="C385" s="120" t="s">
        <v>788</v>
      </c>
      <c r="D385" s="225">
        <f>IFERROR(VLOOKUP(B385,'MTD Hours Paste Data'!A:C,3,FALSE),"")</f>
        <v>263.11</v>
      </c>
      <c r="E385" s="64">
        <f>IFERROR(VLOOKUP(B385,'ACDOCA - Paste Data'!B:G,6,FALSE),0)</f>
        <v>30785</v>
      </c>
      <c r="F385" s="64">
        <f t="shared" si="610"/>
        <v>30785</v>
      </c>
      <c r="G385" s="64">
        <f>IFERROR(VLOOKUP(B385,'ACDOCA - Paste Data'!B:H,7,FALSE),0)</f>
        <v>41746.53</v>
      </c>
      <c r="H385" s="64">
        <f t="shared" si="611"/>
        <v>41746.53</v>
      </c>
      <c r="I385" s="64">
        <f t="shared" si="612"/>
        <v>-10961.529999999999</v>
      </c>
      <c r="J385" s="65">
        <f t="shared" si="613"/>
        <v>-0.35606724053922362</v>
      </c>
      <c r="K385" s="198">
        <f>IFERROR(VLOOKUP(B385,'WIP - Paste Data'!B:E,4,FALSE),"")</f>
        <v>30785</v>
      </c>
      <c r="L385" s="16"/>
      <c r="M385" s="16"/>
      <c r="N385" s="16"/>
      <c r="O385" s="16"/>
      <c r="P385" s="189">
        <f>IFERROR(VLOOKUP(B385,'JTD Paste Data'!A:B,2,FALSE),"0")</f>
        <v>30785</v>
      </c>
      <c r="Q385" s="189">
        <f t="shared" si="614"/>
        <v>30785</v>
      </c>
      <c r="R385" s="189">
        <f>IFERROR(VLOOKUP(B385,'JTD Paste Data'!A:C,3,FALSE),"0")</f>
        <v>42289.86</v>
      </c>
      <c r="S385" s="189">
        <f t="shared" si="615"/>
        <v>42289.86</v>
      </c>
      <c r="T385" s="189">
        <f t="shared" si="618"/>
        <v>-11504.86</v>
      </c>
      <c r="U385" s="193">
        <f t="shared" si="619"/>
        <v>-0.37371642033457853</v>
      </c>
    </row>
    <row r="386" spans="1:21" outlineLevel="1" x14ac:dyDescent="0.25">
      <c r="B386" s="120"/>
      <c r="C386" s="120"/>
      <c r="D386" s="243"/>
      <c r="E386" s="64">
        <f>IFERROR(VLOOKUP(B386,'ACDOCA - Paste Data'!B:G,6,FALSE),0)</f>
        <v>0</v>
      </c>
      <c r="F386" s="64">
        <f t="shared" si="610"/>
        <v>0</v>
      </c>
      <c r="G386" s="64">
        <f>IFERROR(VLOOKUP(B386,'ACDOCA - Paste Data'!B:H,7,FALSE),0)</f>
        <v>0</v>
      </c>
      <c r="H386" s="64">
        <f t="shared" si="611"/>
        <v>0</v>
      </c>
      <c r="I386" s="64">
        <f t="shared" si="612"/>
        <v>0</v>
      </c>
      <c r="J386" s="65">
        <f>IFERROR(I386/F386,0)</f>
        <v>0</v>
      </c>
      <c r="K386" s="198" t="str">
        <f>IFERROR(VLOOKUP(B386,'WIP - Paste Data'!B:E,4,FALSE),"")</f>
        <v/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spans="1:21" ht="15.75" thickBot="1" x14ac:dyDescent="0.3">
      <c r="A387" s="75" t="s">
        <v>431</v>
      </c>
      <c r="B387" s="68" t="s">
        <v>1168</v>
      </c>
      <c r="C387" s="68"/>
      <c r="D387" s="226"/>
      <c r="E387" s="68">
        <f>SUM(E371:E385)</f>
        <v>1063155.29</v>
      </c>
      <c r="F387" s="68">
        <f>SUM(F371:F385)</f>
        <v>1063155.29</v>
      </c>
      <c r="G387" s="68">
        <f>SUM(G371:G385)</f>
        <v>924840.23999999987</v>
      </c>
      <c r="H387" s="68">
        <f>SUM(H371:H385)</f>
        <v>924840.23999999987</v>
      </c>
      <c r="I387" s="68">
        <f>F387-H387</f>
        <v>138315.05000000016</v>
      </c>
      <c r="J387" s="69">
        <f>IFERROR(I387/F387,0)</f>
        <v>0.13009863309808689</v>
      </c>
      <c r="K387" s="206">
        <f>SUM(K371:K385)</f>
        <v>5600048.7799999993</v>
      </c>
      <c r="L387" s="68">
        <f>SUM(L371:L385)</f>
        <v>0</v>
      </c>
      <c r="M387" s="68">
        <f>SUM(M371:M385)</f>
        <v>0</v>
      </c>
      <c r="N387" s="68"/>
      <c r="O387" s="68"/>
      <c r="P387" s="68">
        <f>SUM(P372:P386)</f>
        <v>23810992.470000003</v>
      </c>
      <c r="Q387" s="68">
        <f>SUM(Q372:Q386)</f>
        <v>23810992.470000003</v>
      </c>
      <c r="R387" s="68">
        <f>SUM(R372:R386)</f>
        <v>18270749.449999996</v>
      </c>
      <c r="S387" s="68">
        <f>SUM(S372:S386)</f>
        <v>18270749.449999996</v>
      </c>
      <c r="T387" s="68">
        <f>SUM(T372:T386)</f>
        <v>5540243.0200000005</v>
      </c>
      <c r="U387" s="69">
        <f>IFERROR(T387/Q387,0)</f>
        <v>0.23267585452308531</v>
      </c>
    </row>
    <row r="388" spans="1:21" ht="14.25" x14ac:dyDescent="0.25">
      <c r="A388" s="119" t="s">
        <v>433</v>
      </c>
      <c r="B388" s="119"/>
      <c r="C388" s="119"/>
      <c r="D388" s="239"/>
      <c r="E388" s="18"/>
      <c r="F388" s="31"/>
      <c r="G388" s="32"/>
      <c r="H388" s="32"/>
      <c r="I388" s="31"/>
      <c r="J388" s="16"/>
      <c r="K388" s="203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 spans="1:21" x14ac:dyDescent="0.25">
      <c r="A389" s="54" t="str">
        <f>VLOOKUP(B389,'SAP Contracts'!A:J,10,FALSE)</f>
        <v>ATT - A0578EH - Tulare MH T331 Cable Dam</v>
      </c>
      <c r="B389" s="54">
        <f>VLOOKUP(C389,'Active North Sky Projects'!C:D,2,FALSE)</f>
        <v>21888</v>
      </c>
      <c r="C389" s="120" t="s">
        <v>1095</v>
      </c>
      <c r="D389" s="225" t="str">
        <f>IFERROR(VLOOKUP(B389,'MTD Hours Paste Data'!A:C,3,FALSE),"")</f>
        <v/>
      </c>
      <c r="E389" s="64">
        <f>IFERROR(VLOOKUP(B389,'ACDOCA - Paste Data'!B:G,6,FALSE),0)</f>
        <v>0</v>
      </c>
      <c r="F389" s="64">
        <f t="shared" ref="F389:F409" si="637">E389 +L389</f>
        <v>0</v>
      </c>
      <c r="G389" s="64">
        <f>IFERROR(VLOOKUP(B389,'ACDOCA - Paste Data'!B:H,7,FALSE),0)</f>
        <v>0</v>
      </c>
      <c r="H389" s="64">
        <f t="shared" ref="H389:H409" si="638">G389+M389</f>
        <v>0</v>
      </c>
      <c r="I389" s="64">
        <f t="shared" ref="I389:I409" si="639">F389-H389</f>
        <v>0</v>
      </c>
      <c r="J389" s="65">
        <f t="shared" ref="J389:J410" si="640">IFERROR(I389/F389,0)</f>
        <v>0</v>
      </c>
      <c r="K389" s="198" t="str">
        <f>IFERROR(VLOOKUP(B389,'WIP - Paste Data'!B:E,4,FALSE),"")</f>
        <v/>
      </c>
      <c r="L389" s="16"/>
      <c r="M389" s="16"/>
      <c r="N389" s="16"/>
      <c r="O389" s="16"/>
      <c r="P389" s="189">
        <f>IFERROR(VLOOKUP(B389,'JTD Paste Data'!A:B,2,FALSE),"0")</f>
        <v>10365</v>
      </c>
      <c r="Q389" s="189">
        <f t="shared" ref="Q389" si="641">SUM(P389+L389)</f>
        <v>10365</v>
      </c>
      <c r="R389" s="189">
        <f>IFERROR(VLOOKUP(B389,'JTD Paste Data'!A:C,3,FALSE),"0")</f>
        <v>7511.89</v>
      </c>
      <c r="S389" s="189">
        <f t="shared" ref="S389" si="642">SUM(R389+M389)</f>
        <v>7511.89</v>
      </c>
      <c r="T389" s="189">
        <f t="shared" ref="T389" si="643">SUM(Q389-S389)</f>
        <v>2853.1099999999997</v>
      </c>
      <c r="U389" s="193">
        <f t="shared" ref="U389" si="644">IFERROR(T389/Q389,0)</f>
        <v>0.2752638687891944</v>
      </c>
    </row>
    <row r="390" spans="1:21" x14ac:dyDescent="0.25">
      <c r="A390" s="54" t="str">
        <f>VLOOKUP(B390,'SAP Contracts'!A:J,10,FALSE)</f>
        <v>ATT - A056VEP - Franklin Bridge Splicing</v>
      </c>
      <c r="B390" s="54">
        <v>21879</v>
      </c>
      <c r="C390" s="117" t="s">
        <v>1286</v>
      </c>
      <c r="D390" s="225" t="str">
        <f>IFERROR(VLOOKUP(B390,'MTD Hours Paste Data'!A:C,3,FALSE),"")</f>
        <v/>
      </c>
      <c r="E390" s="64">
        <f>IFERROR(VLOOKUP(B390,'ACDOCA - Paste Data'!B:G,6,FALSE),0)</f>
        <v>0</v>
      </c>
      <c r="F390" s="64">
        <f t="shared" si="637"/>
        <v>0</v>
      </c>
      <c r="G390" s="64">
        <f>IFERROR(VLOOKUP(B390,'ACDOCA - Paste Data'!B:H,7,FALSE),0)</f>
        <v>0</v>
      </c>
      <c r="H390" s="64">
        <f t="shared" si="638"/>
        <v>0</v>
      </c>
      <c r="I390" s="64">
        <f t="shared" si="639"/>
        <v>0</v>
      </c>
      <c r="J390" s="65">
        <f t="shared" si="640"/>
        <v>0</v>
      </c>
      <c r="K390" s="198" t="str">
        <f>IFERROR(VLOOKUP(B390,'WIP - Paste Data'!B:E,4,FALSE),"")</f>
        <v/>
      </c>
      <c r="L390" s="64"/>
      <c r="M390" s="64"/>
      <c r="N390" s="66"/>
      <c r="O390" s="66"/>
      <c r="P390" s="189">
        <f>IFERROR(VLOOKUP(B390,'JTD Paste Data'!A:B,2,FALSE),"0")</f>
        <v>15935</v>
      </c>
      <c r="Q390" s="189">
        <f t="shared" ref="Q390:Q408" si="645">SUM(P390+L390)</f>
        <v>15935</v>
      </c>
      <c r="R390" s="189">
        <f>IFERROR(VLOOKUP(B390,'JTD Paste Data'!A:C,3,FALSE),"0")</f>
        <v>10757.85</v>
      </c>
      <c r="S390" s="189">
        <f t="shared" ref="S390:S408" si="646">SUM(R390+M390)</f>
        <v>10757.85</v>
      </c>
      <c r="T390" s="189">
        <f t="shared" ref="T390:T408" si="647">SUM(Q390-S390)</f>
        <v>5177.1499999999996</v>
      </c>
      <c r="U390" s="193">
        <f t="shared" ref="U390:U408" si="648">IFERROR(T390/Q390,0)</f>
        <v>0.32489174772513335</v>
      </c>
    </row>
    <row r="391" spans="1:21" x14ac:dyDescent="0.25">
      <c r="A391" s="54" t="str">
        <f>VLOOKUP(B391,'SAP Contracts'!A:J,10,FALSE)</f>
        <v>ATT - A058YLP FTTH - Ceres</v>
      </c>
      <c r="B391" s="54">
        <v>21893</v>
      </c>
      <c r="C391" s="117" t="s">
        <v>1284</v>
      </c>
      <c r="D391" s="225" t="str">
        <f>IFERROR(VLOOKUP(B391,'MTD Hours Paste Data'!A:C,3,FALSE),"")</f>
        <v/>
      </c>
      <c r="E391" s="64">
        <f>IFERROR(VLOOKUP(B391,'ACDOCA - Paste Data'!B:G,6,FALSE),0)</f>
        <v>0</v>
      </c>
      <c r="F391" s="64">
        <f t="shared" si="637"/>
        <v>0</v>
      </c>
      <c r="G391" s="64">
        <f>IFERROR(VLOOKUP(B391,'ACDOCA - Paste Data'!B:H,7,FALSE),0)</f>
        <v>986.46</v>
      </c>
      <c r="H391" s="64">
        <f t="shared" si="638"/>
        <v>986.46</v>
      </c>
      <c r="I391" s="64">
        <f t="shared" si="639"/>
        <v>-986.46</v>
      </c>
      <c r="J391" s="65">
        <f t="shared" si="640"/>
        <v>0</v>
      </c>
      <c r="K391" s="198">
        <f>IFERROR(VLOOKUP(B391,'WIP - Paste Data'!B:E,4,FALSE),"")</f>
        <v>522950.61</v>
      </c>
      <c r="L391" s="64"/>
      <c r="M391" s="64"/>
      <c r="N391" s="66"/>
      <c r="O391" s="66"/>
      <c r="P391" s="189">
        <f>IFERROR(VLOOKUP(B391,'JTD Paste Data'!A:B,2,FALSE),"0")</f>
        <v>522950.61</v>
      </c>
      <c r="Q391" s="189">
        <f t="shared" si="645"/>
        <v>522950.61</v>
      </c>
      <c r="R391" s="189">
        <f>IFERROR(VLOOKUP(B391,'JTD Paste Data'!A:C,3,FALSE),"0")</f>
        <v>654873.86</v>
      </c>
      <c r="S391" s="189">
        <f t="shared" si="646"/>
        <v>654873.86</v>
      </c>
      <c r="T391" s="189">
        <f t="shared" si="647"/>
        <v>-131923.25</v>
      </c>
      <c r="U391" s="193">
        <f t="shared" si="648"/>
        <v>-0.25226713092465847</v>
      </c>
    </row>
    <row r="392" spans="1:21" x14ac:dyDescent="0.25">
      <c r="A392" s="54" t="s">
        <v>2738</v>
      </c>
      <c r="B392" s="54">
        <v>21945</v>
      </c>
      <c r="C392" s="117" t="s">
        <v>2715</v>
      </c>
      <c r="D392" s="225" t="str">
        <f>IFERROR(VLOOKUP(B392,'MTD Hours Paste Data'!A:C,3,FALSE),"")</f>
        <v/>
      </c>
      <c r="E392" s="64">
        <f>IFERROR(VLOOKUP(B392,'ACDOCA - Paste Data'!B:G,6,FALSE),0)</f>
        <v>7794.24</v>
      </c>
      <c r="F392" s="64">
        <f t="shared" ref="F392" si="649">E392 +L392</f>
        <v>7794.24</v>
      </c>
      <c r="G392" s="64">
        <f>IFERROR(VLOOKUP(B392,'ACDOCA - Paste Data'!B:H,7,FALSE),0)</f>
        <v>1594.39</v>
      </c>
      <c r="H392" s="64">
        <f t="shared" ref="H392" si="650">G392+M392</f>
        <v>1594.39</v>
      </c>
      <c r="I392" s="64">
        <f t="shared" ref="I392" si="651">F392-H392</f>
        <v>6199.8499999999995</v>
      </c>
      <c r="J392" s="65">
        <f t="shared" ref="J392" si="652">IFERROR(I392/F392,0)</f>
        <v>0.7954399659235537</v>
      </c>
      <c r="K392" s="198">
        <f>IFERROR(VLOOKUP(B392,'WIP - Paste Data'!B:E,4,FALSE),"")</f>
        <v>708723.3899999999</v>
      </c>
      <c r="L392" s="64"/>
      <c r="M392" s="64"/>
      <c r="N392" s="66"/>
      <c r="O392" s="66"/>
      <c r="P392" s="189">
        <f>IFERROR(VLOOKUP(B392,'JTD Paste Data'!A:B,2,FALSE),"0")</f>
        <v>708723.39</v>
      </c>
      <c r="Q392" s="189">
        <f t="shared" si="645"/>
        <v>708723.39</v>
      </c>
      <c r="R392" s="189">
        <f>IFERROR(VLOOKUP(B392,'JTD Paste Data'!A:C,3,FALSE),"0")</f>
        <v>674648.87</v>
      </c>
      <c r="S392" s="189">
        <f t="shared" si="646"/>
        <v>674648.87</v>
      </c>
      <c r="T392" s="189">
        <f t="shared" si="647"/>
        <v>34074.520000000019</v>
      </c>
      <c r="U392" s="193">
        <f t="shared" si="648"/>
        <v>4.80787292768763E-2</v>
      </c>
    </row>
    <row r="393" spans="1:21" x14ac:dyDescent="0.25">
      <c r="A393" s="54" t="str">
        <f>VLOOKUP(B393,'SAP Contracts'!A:J,10,FALSE)</f>
        <v>Crown Castle - Network West Area Pricing</v>
      </c>
      <c r="B393" s="54">
        <f>VLOOKUP(C393,'Active North Sky Projects'!C:D,2,FALSE)</f>
        <v>21201</v>
      </c>
      <c r="C393" s="120" t="s">
        <v>757</v>
      </c>
      <c r="D393" s="225" t="str">
        <f>IFERROR(VLOOKUP(B393,'MTD Hours Paste Data'!A:C,3,FALSE),"")</f>
        <v/>
      </c>
      <c r="E393" s="64">
        <f>IFERROR(VLOOKUP(B393,'ACDOCA - Paste Data'!B:G,6,FALSE),0)</f>
        <v>0</v>
      </c>
      <c r="F393" s="64">
        <f t="shared" si="637"/>
        <v>0</v>
      </c>
      <c r="G393" s="64">
        <f>IFERROR(VLOOKUP(B393,'ACDOCA - Paste Data'!B:H,7,FALSE),0)</f>
        <v>0</v>
      </c>
      <c r="H393" s="64">
        <f t="shared" si="638"/>
        <v>0</v>
      </c>
      <c r="I393" s="64">
        <f t="shared" si="639"/>
        <v>0</v>
      </c>
      <c r="J393" s="65">
        <f t="shared" si="640"/>
        <v>0</v>
      </c>
      <c r="K393" s="198" t="str">
        <f>IFERROR(VLOOKUP(B393,'WIP - Paste Data'!B:E,4,FALSE),"")</f>
        <v/>
      </c>
      <c r="L393" s="16"/>
      <c r="M393" s="16"/>
      <c r="N393" s="16"/>
      <c r="O393" s="16"/>
      <c r="P393" s="189" t="str">
        <f>IFERROR(VLOOKUP(B393,'JTD Paste Data'!A:B,2,FALSE),"0")</f>
        <v>0</v>
      </c>
      <c r="Q393" s="189">
        <f t="shared" si="645"/>
        <v>0</v>
      </c>
      <c r="R393" s="189" t="str">
        <f>IFERROR(VLOOKUP(B393,'JTD Paste Data'!A:C,3,FALSE),"0")</f>
        <v>0</v>
      </c>
      <c r="S393" s="189">
        <f t="shared" si="646"/>
        <v>0</v>
      </c>
      <c r="T393" s="189">
        <f t="shared" si="647"/>
        <v>0</v>
      </c>
      <c r="U393" s="193">
        <f t="shared" si="648"/>
        <v>0</v>
      </c>
    </row>
    <row r="394" spans="1:21" x14ac:dyDescent="0.25">
      <c r="A394" s="54" t="str">
        <f>VLOOKUP(B394,'SAP Contracts'!A:J,10,FALSE)</f>
        <v>Frontier - FTTH Susanville</v>
      </c>
      <c r="B394" s="54">
        <f>VLOOKUP(C394,'Active North Sky Projects'!C:D,2,FALSE)</f>
        <v>21620</v>
      </c>
      <c r="C394" s="120" t="s">
        <v>467</v>
      </c>
      <c r="D394" s="225">
        <f>IFERROR(VLOOKUP(B394,'MTD Hours Paste Data'!A:C,3,FALSE),"")</f>
        <v>918.58</v>
      </c>
      <c r="E394" s="64">
        <f>IFERROR(VLOOKUP(B394,'ACDOCA - Paste Data'!B:G,6,FALSE),0)</f>
        <v>175623.75</v>
      </c>
      <c r="F394" s="64">
        <f t="shared" si="637"/>
        <v>175623.75</v>
      </c>
      <c r="G394" s="64">
        <f>IFERROR(VLOOKUP(B394,'ACDOCA - Paste Data'!B:H,7,FALSE),0)</f>
        <v>109676.75</v>
      </c>
      <c r="H394" s="64">
        <f t="shared" si="638"/>
        <v>109676.75</v>
      </c>
      <c r="I394" s="64">
        <f t="shared" si="639"/>
        <v>65947</v>
      </c>
      <c r="J394" s="65">
        <f t="shared" si="640"/>
        <v>0.37550160499362983</v>
      </c>
      <c r="K394" s="198">
        <f>IFERROR(VLOOKUP(B394,'WIP - Paste Data'!B:E,4,FALSE),"")</f>
        <v>274844.25</v>
      </c>
      <c r="L394" s="16"/>
      <c r="M394" s="16"/>
      <c r="N394" s="16"/>
      <c r="O394" s="16"/>
      <c r="P394" s="189">
        <f>IFERROR(VLOOKUP(B394,'JTD Paste Data'!A:B,2,FALSE),"0")</f>
        <v>2813400.33</v>
      </c>
      <c r="Q394" s="189">
        <f t="shared" si="645"/>
        <v>2813400.33</v>
      </c>
      <c r="R394" s="189">
        <f>IFERROR(VLOOKUP(B394,'JTD Paste Data'!A:C,3,FALSE),"0")</f>
        <v>2227600.48</v>
      </c>
      <c r="S394" s="189">
        <f t="shared" si="646"/>
        <v>2227600.48</v>
      </c>
      <c r="T394" s="189">
        <f t="shared" si="647"/>
        <v>585799.85000000009</v>
      </c>
      <c r="U394" s="193">
        <f t="shared" si="648"/>
        <v>0.20821773700438859</v>
      </c>
    </row>
    <row r="395" spans="1:21" x14ac:dyDescent="0.25">
      <c r="A395" s="54" t="str">
        <f>VLOOKUP(B395,'SAP Contracts'!A:J,10,FALSE)</f>
        <v>Frontier- FTTH Valley</v>
      </c>
      <c r="B395" s="54">
        <f>VLOOKUP(C395,'Active North Sky Projects'!C:D,2,FALSE)</f>
        <v>21624</v>
      </c>
      <c r="C395" s="120" t="s">
        <v>466</v>
      </c>
      <c r="D395" s="225">
        <f>IFERROR(VLOOKUP(B395,'MTD Hours Paste Data'!A:C,3,FALSE),"")</f>
        <v>366.71</v>
      </c>
      <c r="E395" s="64">
        <f>IFERROR(VLOOKUP(B395,'ACDOCA - Paste Data'!B:G,6,FALSE),0)</f>
        <v>147078.07999999999</v>
      </c>
      <c r="F395" s="64">
        <f t="shared" si="637"/>
        <v>147078.07999999999</v>
      </c>
      <c r="G395" s="64">
        <f>IFERROR(VLOOKUP(B395,'ACDOCA - Paste Data'!B:H,7,FALSE),0)</f>
        <v>143435.20000000001</v>
      </c>
      <c r="H395" s="64">
        <f t="shared" si="638"/>
        <v>143435.20000000001</v>
      </c>
      <c r="I395" s="64">
        <f t="shared" si="639"/>
        <v>3642.8799999999756</v>
      </c>
      <c r="J395" s="65">
        <f t="shared" si="640"/>
        <v>2.4768340734390711E-2</v>
      </c>
      <c r="K395" s="198">
        <f>IFERROR(VLOOKUP(B395,'WIP - Paste Data'!B:E,4,FALSE),"")</f>
        <v>1344843.09</v>
      </c>
      <c r="L395" s="16"/>
      <c r="M395" s="16"/>
      <c r="N395" s="16"/>
      <c r="O395" s="16"/>
      <c r="P395" s="189">
        <f>IFERROR(VLOOKUP(B395,'JTD Paste Data'!A:B,2,FALSE),"0")</f>
        <v>9865761.4700000007</v>
      </c>
      <c r="Q395" s="189">
        <f t="shared" si="645"/>
        <v>9865761.4700000007</v>
      </c>
      <c r="R395" s="189">
        <f>IFERROR(VLOOKUP(B395,'JTD Paste Data'!A:C,3,FALSE),"0")</f>
        <v>8078254.8300000001</v>
      </c>
      <c r="S395" s="189">
        <f t="shared" si="646"/>
        <v>8078254.8300000001</v>
      </c>
      <c r="T395" s="189">
        <f t="shared" si="647"/>
        <v>1787506.6400000006</v>
      </c>
      <c r="U395" s="193">
        <f t="shared" si="648"/>
        <v>0.18118283575327515</v>
      </c>
    </row>
    <row r="396" spans="1:21" x14ac:dyDescent="0.25">
      <c r="A396" s="54" t="str">
        <f>VLOOKUP(B396,'SAP Contracts'!A:J,10,FALSE)</f>
        <v>Frontier-FTTH-Bishop, Mammoth, June Lake</v>
      </c>
      <c r="B396" s="54">
        <v>21895</v>
      </c>
      <c r="C396" s="120">
        <v>1252079</v>
      </c>
      <c r="D396" s="225" t="str">
        <f>IFERROR(VLOOKUP(B396,'MTD Hours Paste Data'!A:C,3,FALSE),"")</f>
        <v/>
      </c>
      <c r="E396" s="64">
        <f>IFERROR(VLOOKUP(B396,'ACDOCA - Paste Data'!B:G,6,FALSE),0)</f>
        <v>72445.31</v>
      </c>
      <c r="F396" s="64">
        <f t="shared" ref="F396" si="653">E396 +L396</f>
        <v>72445.31</v>
      </c>
      <c r="G396" s="64">
        <f>IFERROR(VLOOKUP(B396,'ACDOCA - Paste Data'!B:H,7,FALSE),0)</f>
        <v>57830.85</v>
      </c>
      <c r="H396" s="64">
        <f t="shared" ref="H396" si="654">G396+M396</f>
        <v>57830.85</v>
      </c>
      <c r="I396" s="64">
        <f t="shared" ref="I396" si="655">F396-H396</f>
        <v>14614.46</v>
      </c>
      <c r="J396" s="65">
        <f t="shared" ref="J396" si="656">IFERROR(I396/F396,0)</f>
        <v>0.20173093330679376</v>
      </c>
      <c r="K396" s="198">
        <f>IFERROR(VLOOKUP(B396,'WIP - Paste Data'!B:E,4,FALSE),"")</f>
        <v>72445.31</v>
      </c>
      <c r="L396" s="16"/>
      <c r="M396" s="16"/>
      <c r="N396" s="16"/>
      <c r="O396" s="16"/>
      <c r="P396" s="189">
        <f>IFERROR(VLOOKUP(B396,'JTD Paste Data'!A:B,2,FALSE),"0")</f>
        <v>72445.31</v>
      </c>
      <c r="Q396" s="189">
        <f t="shared" ref="Q396" si="657">SUM(P396+L396)</f>
        <v>72445.31</v>
      </c>
      <c r="R396" s="189">
        <f>IFERROR(VLOOKUP(B396,'JTD Paste Data'!A:C,3,FALSE),"0")</f>
        <v>58252.09</v>
      </c>
      <c r="S396" s="189">
        <f t="shared" ref="S396" si="658">SUM(R396+M396)</f>
        <v>58252.09</v>
      </c>
      <c r="T396" s="189">
        <f t="shared" ref="T396" si="659">SUM(Q396-S396)</f>
        <v>14193.220000000001</v>
      </c>
      <c r="U396" s="193">
        <f t="shared" ref="U396" si="660">IFERROR(T396/Q396,0)</f>
        <v>0.19591634020200896</v>
      </c>
    </row>
    <row r="397" spans="1:21" x14ac:dyDescent="0.25">
      <c r="A397" s="54" t="str">
        <f>VLOOKUP(B397,'SAP Contracts'!A:J,10,FALSE)</f>
        <v>Lumen - Road 66 - Splicing</v>
      </c>
      <c r="B397" s="54">
        <f>VLOOKUP(C397,'Active North Sky Projects'!C:D,2,FALSE)</f>
        <v>21454</v>
      </c>
      <c r="C397" s="120" t="s">
        <v>798</v>
      </c>
      <c r="D397" s="225">
        <f>IFERROR(VLOOKUP(B397,'MTD Hours Paste Data'!A:C,3,FALSE),"")</f>
        <v>0</v>
      </c>
      <c r="E397" s="64">
        <f>IFERROR(VLOOKUP(B397,'ACDOCA - Paste Data'!B:G,6,FALSE),0)</f>
        <v>0</v>
      </c>
      <c r="F397" s="64">
        <f t="shared" si="637"/>
        <v>0</v>
      </c>
      <c r="G397" s="64">
        <f>IFERROR(VLOOKUP(B397,'ACDOCA - Paste Data'!B:H,7,FALSE),0)</f>
        <v>0</v>
      </c>
      <c r="H397" s="64">
        <f t="shared" si="638"/>
        <v>0</v>
      </c>
      <c r="I397" s="64">
        <f t="shared" si="639"/>
        <v>0</v>
      </c>
      <c r="J397" s="65">
        <f t="shared" si="640"/>
        <v>0</v>
      </c>
      <c r="K397" s="198">
        <f>IFERROR(VLOOKUP(B397,'WIP - Paste Data'!B:E,4,FALSE),"")</f>
        <v>32383.18</v>
      </c>
      <c r="L397" s="16"/>
      <c r="M397" s="16"/>
      <c r="N397" s="16"/>
      <c r="O397" s="16"/>
      <c r="P397" s="189">
        <f>IFERROR(VLOOKUP(B397,'JTD Paste Data'!A:B,2,FALSE),"0")</f>
        <v>105093.45999999999</v>
      </c>
      <c r="Q397" s="189">
        <f t="shared" si="645"/>
        <v>105093.45999999999</v>
      </c>
      <c r="R397" s="189">
        <f>IFERROR(VLOOKUP(B397,'JTD Paste Data'!A:C,3,FALSE),"0")</f>
        <v>66846.95</v>
      </c>
      <c r="S397" s="189">
        <f t="shared" si="646"/>
        <v>66846.95</v>
      </c>
      <c r="T397" s="189">
        <f t="shared" si="647"/>
        <v>38246.509999999995</v>
      </c>
      <c r="U397" s="193">
        <f t="shared" si="648"/>
        <v>0.36392854512545308</v>
      </c>
    </row>
    <row r="398" spans="1:21" x14ac:dyDescent="0.25">
      <c r="A398" s="54" t="str">
        <f>VLOOKUP(B398,'SAP Contracts'!A:J,10,FALSE)</f>
        <v>Lumen - Valley CoCal (2025-26)</v>
      </c>
      <c r="B398" s="54">
        <f>VLOOKUP(C398,'Active North Sky Projects'!C:D,2,FALSE)</f>
        <v>21276</v>
      </c>
      <c r="C398" s="120" t="s">
        <v>1015</v>
      </c>
      <c r="D398" s="225">
        <f>IFERROR(VLOOKUP(B398,'MTD Hours Paste Data'!A:C,3,FALSE),"")</f>
        <v>90.82</v>
      </c>
      <c r="E398" s="64">
        <f>IFERROR(VLOOKUP(B398,'ACDOCA - Paste Data'!B:G,6,FALSE),0)</f>
        <v>11881.46</v>
      </c>
      <c r="F398" s="64">
        <f t="shared" si="637"/>
        <v>11881.46</v>
      </c>
      <c r="G398" s="64">
        <f>IFERROR(VLOOKUP(B398,'ACDOCA - Paste Data'!B:H,7,FALSE),0)</f>
        <v>10335.719999999999</v>
      </c>
      <c r="H398" s="64">
        <f t="shared" si="638"/>
        <v>10335.719999999999</v>
      </c>
      <c r="I398" s="64">
        <f t="shared" si="639"/>
        <v>1545.7399999999998</v>
      </c>
      <c r="J398" s="65">
        <f t="shared" si="640"/>
        <v>0.13009680628474951</v>
      </c>
      <c r="K398" s="198">
        <f>IFERROR(VLOOKUP(B398,'WIP - Paste Data'!B:E,4,FALSE),"")</f>
        <v>302802.54000000004</v>
      </c>
      <c r="L398" s="16"/>
      <c r="M398" s="16"/>
      <c r="N398" s="16"/>
      <c r="O398" s="16"/>
      <c r="P398" s="189">
        <f>IFERROR(VLOOKUP(B398,'JTD Paste Data'!A:B,2,FALSE),"0")</f>
        <v>364659.19</v>
      </c>
      <c r="Q398" s="189">
        <f t="shared" si="645"/>
        <v>364659.19</v>
      </c>
      <c r="R398" s="189">
        <f>IFERROR(VLOOKUP(B398,'JTD Paste Data'!A:C,3,FALSE),"0")</f>
        <v>332660.58</v>
      </c>
      <c r="S398" s="189">
        <f t="shared" si="646"/>
        <v>332660.58</v>
      </c>
      <c r="T398" s="189">
        <f t="shared" si="647"/>
        <v>31998.609999999986</v>
      </c>
      <c r="U398" s="193">
        <f t="shared" si="648"/>
        <v>8.7749358517469386E-2</v>
      </c>
    </row>
    <row r="399" spans="1:21" x14ac:dyDescent="0.25">
      <c r="A399" s="54" t="s">
        <v>1902</v>
      </c>
      <c r="B399" s="54">
        <v>21849</v>
      </c>
      <c r="C399" s="120">
        <v>1056300</v>
      </c>
      <c r="D399" s="225" t="str">
        <f>IFERROR(VLOOKUP(B399,'MTD Hours Paste Data'!A:C,3,FALSE),"")</f>
        <v/>
      </c>
      <c r="E399" s="64">
        <f>IFERROR(VLOOKUP(B399,'ACDOCA - Paste Data'!B:G,6,FALSE),0)</f>
        <v>0</v>
      </c>
      <c r="F399" s="64">
        <f t="shared" ref="F399" si="661">E399 +L399</f>
        <v>0</v>
      </c>
      <c r="G399" s="64">
        <f>IFERROR(VLOOKUP(B399,'ACDOCA - Paste Data'!B:H,7,FALSE),0)</f>
        <v>480.05</v>
      </c>
      <c r="H399" s="64">
        <f t="shared" ref="H399" si="662">G399+M399</f>
        <v>480.05</v>
      </c>
      <c r="I399" s="64">
        <f t="shared" ref="I399" si="663">F399-H399</f>
        <v>-480.05</v>
      </c>
      <c r="J399" s="65">
        <f t="shared" ref="J399" si="664">IFERROR(I399/F399,0)</f>
        <v>0</v>
      </c>
      <c r="K399" s="198">
        <f>IFERROR(VLOOKUP(B399,'WIP - Paste Data'!B:E,4,FALSE),"")</f>
        <v>15901.16</v>
      </c>
      <c r="L399" s="16"/>
      <c r="M399" s="16"/>
      <c r="N399" s="16"/>
      <c r="O399" s="16"/>
      <c r="P399" s="189">
        <f>IFERROR(VLOOKUP(B399,'JTD Paste Data'!A:B,2,FALSE),"0")</f>
        <v>15901.16</v>
      </c>
      <c r="Q399" s="189">
        <f t="shared" ref="Q399" si="665">SUM(P399+L399)</f>
        <v>15901.16</v>
      </c>
      <c r="R399" s="189">
        <f>IFERROR(VLOOKUP(B399,'JTD Paste Data'!A:C,3,FALSE),"0")</f>
        <v>23703.78</v>
      </c>
      <c r="S399" s="189">
        <f t="shared" ref="S399" si="666">SUM(R399+M399)</f>
        <v>23703.78</v>
      </c>
      <c r="T399" s="189">
        <f t="shared" ref="T399" si="667">SUM(Q399-S399)</f>
        <v>-7802.619999999999</v>
      </c>
      <c r="U399" s="193">
        <f t="shared" ref="U399" si="668">IFERROR(T399/Q399,0)</f>
        <v>-0.49069501847663938</v>
      </c>
    </row>
    <row r="400" spans="1:21" x14ac:dyDescent="0.25">
      <c r="A400" s="54" t="str">
        <f>VLOOKUP(B400,'SAP Contracts'!A:J,10,FALSE)</f>
        <v>Sprint - Alpine Rd Cable Damage</v>
      </c>
      <c r="B400" s="54">
        <f>VLOOKUP(C400,'Active North Sky Projects'!C:D,2,FALSE)</f>
        <v>21550</v>
      </c>
      <c r="C400" s="120" t="s">
        <v>1052</v>
      </c>
      <c r="D400" s="225">
        <f>IFERROR(VLOOKUP(B400,'MTD Hours Paste Data'!A:C,3,FALSE),"")</f>
        <v>0</v>
      </c>
      <c r="E400" s="64">
        <f>IFERROR(VLOOKUP(B400,'ACDOCA - Paste Data'!B:G,6,FALSE),0)</f>
        <v>0</v>
      </c>
      <c r="F400" s="64">
        <f t="shared" si="637"/>
        <v>0</v>
      </c>
      <c r="G400" s="64">
        <f>IFERROR(VLOOKUP(B400,'ACDOCA - Paste Data'!B:H,7,FALSE),0)</f>
        <v>0</v>
      </c>
      <c r="H400" s="64">
        <f t="shared" si="638"/>
        <v>0</v>
      </c>
      <c r="I400" s="64">
        <f t="shared" si="639"/>
        <v>0</v>
      </c>
      <c r="J400" s="65">
        <f t="shared" si="640"/>
        <v>0</v>
      </c>
      <c r="K400" s="198">
        <f>IFERROR(VLOOKUP(B400,'WIP - Paste Data'!B:E,4,FALSE),"")</f>
        <v>28475</v>
      </c>
      <c r="L400" s="16"/>
      <c r="M400" s="16"/>
      <c r="N400" s="16"/>
      <c r="O400" s="16"/>
      <c r="P400" s="189">
        <f>IFERROR(VLOOKUP(B400,'JTD Paste Data'!A:B,2,FALSE),"0")</f>
        <v>28475</v>
      </c>
      <c r="Q400" s="189">
        <f t="shared" si="645"/>
        <v>28475</v>
      </c>
      <c r="R400" s="189">
        <f>IFERROR(VLOOKUP(B400,'JTD Paste Data'!A:C,3,FALSE),"0")</f>
        <v>12454.77</v>
      </c>
      <c r="S400" s="189">
        <f t="shared" si="646"/>
        <v>12454.77</v>
      </c>
      <c r="T400" s="189">
        <f t="shared" si="647"/>
        <v>16020.23</v>
      </c>
      <c r="U400" s="193">
        <f t="shared" si="648"/>
        <v>0.56260684811237927</v>
      </c>
    </row>
    <row r="401" spans="1:21" x14ac:dyDescent="0.25">
      <c r="A401" s="54" t="str">
        <f>VLOOKUP(B401,'SAP Contracts'!A:J,10,FALSE)</f>
        <v>Succeed Inc - Splicing - Lincoln Crossin</v>
      </c>
      <c r="B401" s="54">
        <f>VLOOKUP(C401,'Active North Sky Projects'!C:D,2,FALSE)</f>
        <v>21103</v>
      </c>
      <c r="C401" s="120" t="s">
        <v>1035</v>
      </c>
      <c r="D401" s="225" t="str">
        <f>IFERROR(VLOOKUP(B401,'MTD Hours Paste Data'!A:C,3,FALSE),"")</f>
        <v/>
      </c>
      <c r="E401" s="64">
        <f>IFERROR(VLOOKUP(B401,'ACDOCA - Paste Data'!B:G,6,FALSE),0)</f>
        <v>0</v>
      </c>
      <c r="F401" s="64">
        <f t="shared" si="637"/>
        <v>0</v>
      </c>
      <c r="G401" s="64">
        <f>IFERROR(VLOOKUP(B401,'ACDOCA - Paste Data'!B:H,7,FALSE),0)</f>
        <v>0</v>
      </c>
      <c r="H401" s="64">
        <f t="shared" si="638"/>
        <v>0</v>
      </c>
      <c r="I401" s="64">
        <f t="shared" si="639"/>
        <v>0</v>
      </c>
      <c r="J401" s="65">
        <f t="shared" si="640"/>
        <v>0</v>
      </c>
      <c r="K401" s="198" t="str">
        <f>IFERROR(VLOOKUP(B401,'WIP - Paste Data'!B:E,4,FALSE),"")</f>
        <v/>
      </c>
      <c r="L401" s="16"/>
      <c r="M401" s="16"/>
      <c r="N401" s="16"/>
      <c r="O401" s="16"/>
      <c r="P401" s="189">
        <f>IFERROR(VLOOKUP(B401,'JTD Paste Data'!A:B,2,FALSE),"0")</f>
        <v>8240</v>
      </c>
      <c r="Q401" s="189">
        <f t="shared" si="645"/>
        <v>8240</v>
      </c>
      <c r="R401" s="189">
        <f>IFERROR(VLOOKUP(B401,'JTD Paste Data'!A:C,3,FALSE),"0")</f>
        <v>4129.1400000000003</v>
      </c>
      <c r="S401" s="189">
        <f t="shared" si="646"/>
        <v>4129.1400000000003</v>
      </c>
      <c r="T401" s="189">
        <f t="shared" si="647"/>
        <v>4110.8599999999997</v>
      </c>
      <c r="U401" s="193">
        <f t="shared" si="648"/>
        <v>0.49889077669902909</v>
      </c>
    </row>
    <row r="402" spans="1:21" x14ac:dyDescent="0.25">
      <c r="A402" s="54" t="str">
        <f>VLOOKUP(B402,'SAP Contracts'!A:J,10,FALSE)</f>
        <v>Unwired Broadband - Coalinga</v>
      </c>
      <c r="B402" s="54">
        <f>VLOOKUP(C402,'Active North Sky Projects'!C:D,2,FALSE)</f>
        <v>21920</v>
      </c>
      <c r="C402" s="120" t="s">
        <v>1110</v>
      </c>
      <c r="D402" s="225" t="str">
        <f>IFERROR(VLOOKUP(B402,'MTD Hours Paste Data'!A:C,3,FALSE),"")</f>
        <v/>
      </c>
      <c r="E402" s="64">
        <f>IFERROR(VLOOKUP(B402,'ACDOCA - Paste Data'!B:G,6,FALSE),0)</f>
        <v>0</v>
      </c>
      <c r="F402" s="64">
        <f t="shared" si="637"/>
        <v>0</v>
      </c>
      <c r="G402" s="64">
        <f>IFERROR(VLOOKUP(B402,'ACDOCA - Paste Data'!B:H,7,FALSE),0)</f>
        <v>0</v>
      </c>
      <c r="H402" s="64">
        <f t="shared" si="638"/>
        <v>0</v>
      </c>
      <c r="I402" s="64">
        <f t="shared" si="639"/>
        <v>0</v>
      </c>
      <c r="J402" s="65">
        <f t="shared" si="640"/>
        <v>0</v>
      </c>
      <c r="K402" s="198" t="str">
        <f>IFERROR(VLOOKUP(B402,'WIP - Paste Data'!B:E,4,FALSE),"")</f>
        <v/>
      </c>
      <c r="L402" s="16"/>
      <c r="M402" s="16"/>
      <c r="N402" s="16"/>
      <c r="O402" s="16"/>
      <c r="P402" s="189">
        <f>IFERROR(VLOOKUP(B402,'JTD Paste Data'!A:B,2,FALSE),"0")</f>
        <v>7905</v>
      </c>
      <c r="Q402" s="189">
        <f t="shared" si="645"/>
        <v>7905</v>
      </c>
      <c r="R402" s="189">
        <f>IFERROR(VLOOKUP(B402,'JTD Paste Data'!A:C,3,FALSE),"0")</f>
        <v>5423.01</v>
      </c>
      <c r="S402" s="189">
        <f t="shared" si="646"/>
        <v>5423.01</v>
      </c>
      <c r="T402" s="189">
        <f t="shared" si="647"/>
        <v>2481.9899999999998</v>
      </c>
      <c r="U402" s="193">
        <f t="shared" si="648"/>
        <v>0.31397722960151803</v>
      </c>
    </row>
    <row r="403" spans="1:21" x14ac:dyDescent="0.25">
      <c r="A403" s="54" t="str">
        <f>VLOOKUP(B403,'SAP Contracts'!A:J,10,FALSE)</f>
        <v>Unwired Broadband - Gustine</v>
      </c>
      <c r="B403" s="54">
        <f>VLOOKUP(C403,'Active North Sky Projects'!C:D,2,FALSE)</f>
        <v>21921</v>
      </c>
      <c r="C403" s="120" t="s">
        <v>1112</v>
      </c>
      <c r="D403" s="225" t="str">
        <f>IFERROR(VLOOKUP(B403,'MTD Hours Paste Data'!A:C,3,FALSE),"")</f>
        <v/>
      </c>
      <c r="E403" s="64">
        <f>IFERROR(VLOOKUP(B403,'ACDOCA - Paste Data'!B:G,6,FALSE),0)</f>
        <v>0</v>
      </c>
      <c r="F403" s="64">
        <f t="shared" si="637"/>
        <v>0</v>
      </c>
      <c r="G403" s="64">
        <f>IFERROR(VLOOKUP(B403,'ACDOCA - Paste Data'!B:H,7,FALSE),0)</f>
        <v>0</v>
      </c>
      <c r="H403" s="64">
        <f t="shared" si="638"/>
        <v>0</v>
      </c>
      <c r="I403" s="64">
        <f t="shared" si="639"/>
        <v>0</v>
      </c>
      <c r="J403" s="65">
        <f t="shared" si="640"/>
        <v>0</v>
      </c>
      <c r="K403" s="198" t="str">
        <f>IFERROR(VLOOKUP(B403,'WIP - Paste Data'!B:E,4,FALSE),"")</f>
        <v/>
      </c>
      <c r="L403" s="16"/>
      <c r="M403" s="16"/>
      <c r="N403" s="16"/>
      <c r="O403" s="16"/>
      <c r="P403" s="189">
        <f>IFERROR(VLOOKUP(B403,'JTD Paste Data'!A:B,2,FALSE),"0")</f>
        <v>890</v>
      </c>
      <c r="Q403" s="189">
        <f t="shared" si="645"/>
        <v>890</v>
      </c>
      <c r="R403" s="189">
        <f>IFERROR(VLOOKUP(B403,'JTD Paste Data'!A:C,3,FALSE),"0")</f>
        <v>1675.43</v>
      </c>
      <c r="S403" s="189">
        <f t="shared" si="646"/>
        <v>1675.43</v>
      </c>
      <c r="T403" s="189">
        <f t="shared" si="647"/>
        <v>-785.43000000000006</v>
      </c>
      <c r="U403" s="193">
        <f t="shared" si="648"/>
        <v>-0.88250561797752813</v>
      </c>
    </row>
    <row r="404" spans="1:21" x14ac:dyDescent="0.25">
      <c r="A404" s="54" t="s">
        <v>2780</v>
      </c>
      <c r="B404" s="54">
        <v>21989</v>
      </c>
      <c r="C404" s="120" t="s">
        <v>2715</v>
      </c>
      <c r="D404" s="225" t="str">
        <f>IFERROR(VLOOKUP(B404,'MTD Hours Paste Data'!A:C,3,FALSE),"")</f>
        <v/>
      </c>
      <c r="E404" s="64">
        <f>IFERROR(VLOOKUP(B404,'ACDOCA - Paste Data'!B:G,6,FALSE),0)</f>
        <v>0</v>
      </c>
      <c r="F404" s="64">
        <f t="shared" ref="F404" si="669">E404 +L404</f>
        <v>0</v>
      </c>
      <c r="G404" s="64">
        <f>IFERROR(VLOOKUP(B404,'ACDOCA - Paste Data'!B:H,7,FALSE),0)</f>
        <v>0</v>
      </c>
      <c r="H404" s="64">
        <f t="shared" ref="H404" si="670">G404+M404</f>
        <v>0</v>
      </c>
      <c r="I404" s="64">
        <f t="shared" ref="I404" si="671">F404-H404</f>
        <v>0</v>
      </c>
      <c r="J404" s="65">
        <f t="shared" ref="J404" si="672">IFERROR(I404/F404,0)</f>
        <v>0</v>
      </c>
      <c r="K404" s="198">
        <f>IFERROR(VLOOKUP(B404,'WIP - Paste Data'!B:E,4,FALSE),"")</f>
        <v>4475</v>
      </c>
      <c r="L404" s="16"/>
      <c r="M404" s="16"/>
      <c r="N404" s="16"/>
      <c r="O404" s="16"/>
      <c r="P404" s="189">
        <f>IFERROR(VLOOKUP(B404,'JTD Paste Data'!A:B,2,FALSE),"0")</f>
        <v>4475</v>
      </c>
      <c r="Q404" s="189">
        <f t="shared" ref="Q404" si="673">SUM(P404+L404)</f>
        <v>4475</v>
      </c>
      <c r="R404" s="189">
        <f>IFERROR(VLOOKUP(B404,'JTD Paste Data'!A:C,3,FALSE),"0")</f>
        <v>4850.79</v>
      </c>
      <c r="S404" s="189">
        <f t="shared" ref="S404" si="674">SUM(R404+M404)</f>
        <v>4850.79</v>
      </c>
      <c r="T404" s="189">
        <f t="shared" ref="T404" si="675">SUM(Q404-S404)</f>
        <v>-375.78999999999996</v>
      </c>
      <c r="U404" s="193">
        <f t="shared" ref="U404" si="676">IFERROR(T404/Q404,0)</f>
        <v>-8.3975418994413395E-2</v>
      </c>
    </row>
    <row r="405" spans="1:21" x14ac:dyDescent="0.25">
      <c r="A405" s="54" t="str">
        <f>VLOOKUP(B405,'SAP Contracts'!A:J,10,FALSE)</f>
        <v>Volcano - West Ferndale FTTH-Pioneer</v>
      </c>
      <c r="B405" s="54">
        <f>VLOOKUP(C405,'Active North Sky Projects'!C:D,2,FALSE)</f>
        <v>21581</v>
      </c>
      <c r="C405" s="120" t="s">
        <v>572</v>
      </c>
      <c r="D405" s="225">
        <f>IFERROR(VLOOKUP(B405,'MTD Hours Paste Data'!A:C,3,FALSE),"")</f>
        <v>16.84</v>
      </c>
      <c r="E405" s="64">
        <f>IFERROR(VLOOKUP(B405,'ACDOCA - Paste Data'!B:G,6,FALSE),0)</f>
        <v>4260.6000000000004</v>
      </c>
      <c r="F405" s="64">
        <f t="shared" si="637"/>
        <v>4260.6000000000004</v>
      </c>
      <c r="G405" s="64">
        <f>IFERROR(VLOOKUP(B405,'ACDOCA - Paste Data'!B:H,7,FALSE),0)</f>
        <v>2097.41</v>
      </c>
      <c r="H405" s="64">
        <f t="shared" si="638"/>
        <v>2097.41</v>
      </c>
      <c r="I405" s="64">
        <f t="shared" si="639"/>
        <v>2163.1900000000005</v>
      </c>
      <c r="J405" s="65">
        <f t="shared" si="640"/>
        <v>0.50771957001361323</v>
      </c>
      <c r="K405" s="198">
        <f>IFERROR(VLOOKUP(B405,'WIP - Paste Data'!B:E,4,FALSE),"")</f>
        <v>4260.6000000000004</v>
      </c>
      <c r="L405" s="16"/>
      <c r="M405" s="16"/>
      <c r="N405" s="16"/>
      <c r="O405" s="16"/>
      <c r="P405" s="189">
        <f>IFERROR(VLOOKUP(B405,'JTD Paste Data'!A:B,2,FALSE),"0")</f>
        <v>321125.3</v>
      </c>
      <c r="Q405" s="189">
        <f t="shared" si="645"/>
        <v>321125.3</v>
      </c>
      <c r="R405" s="189">
        <f>IFERROR(VLOOKUP(B405,'JTD Paste Data'!A:C,3,FALSE),"0")</f>
        <v>271150.06999999995</v>
      </c>
      <c r="S405" s="189">
        <f t="shared" si="646"/>
        <v>271150.06999999995</v>
      </c>
      <c r="T405" s="189">
        <f t="shared" si="647"/>
        <v>49975.23000000004</v>
      </c>
      <c r="U405" s="193">
        <f t="shared" si="648"/>
        <v>0.15562532755905573</v>
      </c>
    </row>
    <row r="406" spans="1:21" x14ac:dyDescent="0.25">
      <c r="A406" s="54" t="str">
        <f>VLOOKUP(B406,'SAP Contracts'!A:J,10,FALSE)</f>
        <v>Volcano Telephone - OXBO 1 - Splicing</v>
      </c>
      <c r="B406" s="54">
        <f>VLOOKUP(C406,'Active North Sky Projects'!C:D,2,FALSE)</f>
        <v>21060</v>
      </c>
      <c r="C406" s="120" t="s">
        <v>750</v>
      </c>
      <c r="D406" s="225">
        <f>IFERROR(VLOOKUP(B406,'MTD Hours Paste Data'!A:C,3,FALSE),"")</f>
        <v>0</v>
      </c>
      <c r="E406" s="64">
        <f>IFERROR(VLOOKUP(B406,'ACDOCA - Paste Data'!B:G,6,FALSE),0)</f>
        <v>-4652</v>
      </c>
      <c r="F406" s="64">
        <f t="shared" si="637"/>
        <v>-4652</v>
      </c>
      <c r="G406" s="64">
        <f>IFERROR(VLOOKUP(B406,'ACDOCA - Paste Data'!B:H,7,FALSE),0)</f>
        <v>-951.62</v>
      </c>
      <c r="H406" s="64">
        <f t="shared" si="638"/>
        <v>-951.62</v>
      </c>
      <c r="I406" s="64">
        <f t="shared" si="639"/>
        <v>-3700.38</v>
      </c>
      <c r="J406" s="65">
        <f t="shared" si="640"/>
        <v>0.79543852106620816</v>
      </c>
      <c r="K406" s="198">
        <f>IFERROR(VLOOKUP(B406,'WIP - Paste Data'!B:E,4,FALSE),"")</f>
        <v>37381</v>
      </c>
      <c r="L406" s="16"/>
      <c r="M406" s="16"/>
      <c r="N406" s="16"/>
      <c r="O406" s="16"/>
      <c r="P406" s="189">
        <f>IFERROR(VLOOKUP(B406,'JTD Paste Data'!A:B,2,FALSE),"0")</f>
        <v>37381</v>
      </c>
      <c r="Q406" s="189">
        <f t="shared" si="645"/>
        <v>37381</v>
      </c>
      <c r="R406" s="189">
        <f>IFERROR(VLOOKUP(B406,'JTD Paste Data'!A:C,3,FALSE),"0")</f>
        <v>31694.84</v>
      </c>
      <c r="S406" s="189">
        <f t="shared" si="646"/>
        <v>31694.84</v>
      </c>
      <c r="T406" s="189">
        <f t="shared" si="647"/>
        <v>5686.16</v>
      </c>
      <c r="U406" s="193">
        <f t="shared" si="648"/>
        <v>0.15211364061956609</v>
      </c>
    </row>
    <row r="407" spans="1:21" x14ac:dyDescent="0.25">
      <c r="A407" s="54" t="str">
        <f>VLOOKUP(B407,'SAP Contracts'!A:J,10,FALSE)</f>
        <v>Volcano Telephone - OXBO 2 - Splicing</v>
      </c>
      <c r="B407" s="54">
        <f>VLOOKUP(C407,'Active North Sky Projects'!C:D,2,FALSE)</f>
        <v>21483</v>
      </c>
      <c r="C407" s="120" t="s">
        <v>743</v>
      </c>
      <c r="D407" s="225">
        <f>IFERROR(VLOOKUP(B407,'MTD Hours Paste Data'!A:C,3,FALSE),"")</f>
        <v>0</v>
      </c>
      <c r="E407" s="64">
        <f>IFERROR(VLOOKUP(B407,'ACDOCA - Paste Data'!B:G,6,FALSE),0)</f>
        <v>-4000</v>
      </c>
      <c r="F407" s="64">
        <f t="shared" si="637"/>
        <v>-4000</v>
      </c>
      <c r="G407" s="64">
        <f>IFERROR(VLOOKUP(B407,'ACDOCA - Paste Data'!B:H,7,FALSE),0)</f>
        <v>-818.24</v>
      </c>
      <c r="H407" s="64">
        <f t="shared" si="638"/>
        <v>-818.24</v>
      </c>
      <c r="I407" s="64">
        <f t="shared" si="639"/>
        <v>-3181.76</v>
      </c>
      <c r="J407" s="65">
        <f t="shared" si="640"/>
        <v>0.79544000000000004</v>
      </c>
      <c r="K407" s="198">
        <f>IFERROR(VLOOKUP(B407,'WIP - Paste Data'!B:E,4,FALSE),"")</f>
        <v>19764</v>
      </c>
      <c r="L407" s="16"/>
      <c r="M407" s="16"/>
      <c r="N407" s="16"/>
      <c r="O407" s="16"/>
      <c r="P407" s="189">
        <f>IFERROR(VLOOKUP(B407,'JTD Paste Data'!A:B,2,FALSE),"0")</f>
        <v>19764</v>
      </c>
      <c r="Q407" s="189">
        <f t="shared" si="645"/>
        <v>19764</v>
      </c>
      <c r="R407" s="189">
        <f>IFERROR(VLOOKUP(B407,'JTD Paste Data'!A:C,3,FALSE),"0")</f>
        <v>29187.58</v>
      </c>
      <c r="S407" s="189">
        <f t="shared" si="646"/>
        <v>29187.58</v>
      </c>
      <c r="T407" s="189">
        <f t="shared" si="647"/>
        <v>-9423.5800000000017</v>
      </c>
      <c r="U407" s="193">
        <f t="shared" si="648"/>
        <v>-0.47680530257032999</v>
      </c>
    </row>
    <row r="408" spans="1:21" x14ac:dyDescent="0.25">
      <c r="A408" s="54" t="str">
        <f>VLOOKUP(B408,'SAP Contracts'!A:J,10,FALSE)</f>
        <v>VOLCANO-West Ferndale Phase 2 FTTH-Pione</v>
      </c>
      <c r="B408" s="54">
        <f>VLOOKUP(C408,'Active North Sky Projects'!C:D,2,FALSE)</f>
        <v>21556</v>
      </c>
      <c r="C408" s="120" t="s">
        <v>894</v>
      </c>
      <c r="D408" s="225">
        <f>IFERROR(VLOOKUP(B408,'MTD Hours Paste Data'!A:C,3,FALSE),"")</f>
        <v>263.43</v>
      </c>
      <c r="E408" s="64">
        <f>IFERROR(VLOOKUP(B408,'ACDOCA - Paste Data'!B:G,6,FALSE),0)</f>
        <v>16040</v>
      </c>
      <c r="F408" s="64">
        <f t="shared" si="637"/>
        <v>16040</v>
      </c>
      <c r="G408" s="64">
        <f>IFERROR(VLOOKUP(B408,'ACDOCA - Paste Data'!B:H,7,FALSE),0)</f>
        <v>24699.62</v>
      </c>
      <c r="H408" s="64">
        <f t="shared" si="638"/>
        <v>24699.62</v>
      </c>
      <c r="I408" s="64">
        <f t="shared" si="639"/>
        <v>-8659.619999999999</v>
      </c>
      <c r="J408" s="65">
        <f t="shared" si="640"/>
        <v>-0.53987655860349126</v>
      </c>
      <c r="K408" s="198">
        <f>IFERROR(VLOOKUP(B408,'WIP - Paste Data'!B:E,4,FALSE),"")</f>
        <v>287335</v>
      </c>
      <c r="L408" s="16"/>
      <c r="M408" s="16"/>
      <c r="N408" s="16"/>
      <c r="O408" s="16"/>
      <c r="P408" s="189">
        <f>IFERROR(VLOOKUP(B408,'JTD Paste Data'!A:B,2,FALSE),"0")</f>
        <v>287335</v>
      </c>
      <c r="Q408" s="189">
        <f t="shared" si="645"/>
        <v>287335</v>
      </c>
      <c r="R408" s="189">
        <f>IFERROR(VLOOKUP(B408,'JTD Paste Data'!A:C,3,FALSE),"0")</f>
        <v>343738.72</v>
      </c>
      <c r="S408" s="189">
        <f t="shared" si="646"/>
        <v>343738.72</v>
      </c>
      <c r="T408" s="189">
        <f t="shared" si="647"/>
        <v>-56403.719999999972</v>
      </c>
      <c r="U408" s="193">
        <f t="shared" si="648"/>
        <v>-0.19629951102371787</v>
      </c>
    </row>
    <row r="409" spans="1:21" outlineLevel="1" x14ac:dyDescent="0.25">
      <c r="B409" s="120"/>
      <c r="C409" s="120"/>
      <c r="D409" s="243"/>
      <c r="E409" s="64">
        <f>IFERROR(VLOOKUP(B409,'ACDOCA - Paste Data'!B:G,6,FALSE),0)</f>
        <v>0</v>
      </c>
      <c r="F409" s="64">
        <f t="shared" si="637"/>
        <v>0</v>
      </c>
      <c r="G409" s="64">
        <f>IFERROR(VLOOKUP(B409,'ACDOCA - Paste Data'!B:H,7,FALSE),0)</f>
        <v>0</v>
      </c>
      <c r="H409" s="64">
        <f t="shared" si="638"/>
        <v>0</v>
      </c>
      <c r="I409" s="64">
        <f t="shared" si="639"/>
        <v>0</v>
      </c>
      <c r="J409" s="65">
        <f t="shared" si="640"/>
        <v>0</v>
      </c>
      <c r="K409" s="198" t="str">
        <f>IFERROR(VLOOKUP(B409,'WIP - Paste Data'!B:E,4,FALSE),"")</f>
        <v/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 spans="1:21" ht="15.75" thickBot="1" x14ac:dyDescent="0.3">
      <c r="A410" s="75" t="s">
        <v>430</v>
      </c>
      <c r="B410" s="68" t="s">
        <v>1169</v>
      </c>
      <c r="C410" s="68"/>
      <c r="D410" s="226"/>
      <c r="E410" s="68">
        <f>SUM(E389:E408)</f>
        <v>426471.43999999994</v>
      </c>
      <c r="F410" s="68">
        <f>SUM(F389:F408)</f>
        <v>426471.43999999994</v>
      </c>
      <c r="G410" s="68">
        <f>SUM(G389:G408)</f>
        <v>349366.58999999997</v>
      </c>
      <c r="H410" s="68">
        <f>SUM(H389:H408)</f>
        <v>349366.58999999997</v>
      </c>
      <c r="I410" s="68">
        <f>F410-H410</f>
        <v>77104.849999999977</v>
      </c>
      <c r="J410" s="69">
        <f t="shared" si="640"/>
        <v>0.18079721821465933</v>
      </c>
      <c r="K410" s="206">
        <f>SUM(K389:K408)</f>
        <v>3656584.1300000004</v>
      </c>
      <c r="L410" s="68">
        <f>SUM(L389:L408)</f>
        <v>0</v>
      </c>
      <c r="M410" s="68">
        <f>SUM(M389:M408)</f>
        <v>0</v>
      </c>
      <c r="N410" s="68"/>
      <c r="O410" s="68"/>
      <c r="P410" s="68">
        <f>SUM(P389:P409)</f>
        <v>15210825.220000003</v>
      </c>
      <c r="Q410" s="68">
        <f>SUM(Q389:Q409)</f>
        <v>15210825.220000003</v>
      </c>
      <c r="R410" s="68">
        <f>SUM(R389:R409)</f>
        <v>12839415.529999999</v>
      </c>
      <c r="S410" s="68">
        <f>SUM(S389:S409)</f>
        <v>12839415.529999999</v>
      </c>
      <c r="T410" s="68">
        <f>SUM(T389:T409)</f>
        <v>2371409.6900000004</v>
      </c>
      <c r="U410" s="69">
        <f>IFERROR(T410/Q410,0)</f>
        <v>0.155902763702915</v>
      </c>
    </row>
    <row r="411" spans="1:21" ht="14.25" x14ac:dyDescent="0.25">
      <c r="A411" s="42"/>
      <c r="B411" s="119" t="s">
        <v>434</v>
      </c>
      <c r="C411" s="119" t="s">
        <v>434</v>
      </c>
      <c r="D411" s="239"/>
      <c r="E411" s="18"/>
      <c r="F411" s="18"/>
      <c r="G411" s="18"/>
      <c r="H411" s="18"/>
      <c r="I411" s="18"/>
      <c r="J411" s="16"/>
      <c r="K411" s="203"/>
      <c r="L411" s="18"/>
      <c r="M411" s="41"/>
      <c r="N411" s="16"/>
      <c r="O411" s="16"/>
      <c r="P411" s="16"/>
      <c r="Q411" s="16"/>
      <c r="R411" s="16"/>
      <c r="S411" s="16"/>
      <c r="T411" s="16"/>
      <c r="U411" s="16"/>
    </row>
    <row r="412" spans="1:21" x14ac:dyDescent="0.25">
      <c r="A412" s="54" t="str">
        <f>VLOOKUP(B412,'SAP Contracts'!A:J,10,FALSE)</f>
        <v>ATT - 2024 T&amp;M Rates-Valley</v>
      </c>
      <c r="B412" s="54">
        <f>VLOOKUP(C412,'Active North Sky Projects'!C:D,2,FALSE)</f>
        <v>21623</v>
      </c>
      <c r="C412" s="120" t="s">
        <v>741</v>
      </c>
      <c r="D412" s="225">
        <f>IFERROR(VLOOKUP(B412,'MTD Hours Paste Data'!A:C,3,FALSE),"")</f>
        <v>0</v>
      </c>
      <c r="E412" s="64">
        <f>IFERROR(VLOOKUP(B412,'ACDOCA - Paste Data'!B:G,6,FALSE),0)</f>
        <v>0</v>
      </c>
      <c r="F412" s="64">
        <f t="shared" ref="F412:F432" si="677">E412 +L412</f>
        <v>0</v>
      </c>
      <c r="G412" s="64">
        <f>IFERROR(VLOOKUP(B412,'ACDOCA - Paste Data'!B:H,7,FALSE),0)</f>
        <v>0</v>
      </c>
      <c r="H412" s="64">
        <f t="shared" ref="H412:H432" si="678">G412+M412</f>
        <v>0</v>
      </c>
      <c r="I412" s="64">
        <f t="shared" ref="I412:I432" si="679">F412-H412</f>
        <v>0</v>
      </c>
      <c r="J412" s="65">
        <f t="shared" ref="J412:J432" si="680">IFERROR(I412/F412,0)</f>
        <v>0</v>
      </c>
      <c r="K412" s="198" t="str">
        <f>IFERROR(VLOOKUP(B412,'WIP - Paste Data'!B:E,4,FALSE),"")</f>
        <v/>
      </c>
      <c r="L412" s="16"/>
      <c r="M412" s="16"/>
      <c r="N412" s="16"/>
      <c r="O412" s="16"/>
      <c r="P412" s="189">
        <f>IFERROR(VLOOKUP(B412,'JTD Paste Data'!A:B,2,FALSE),"0")</f>
        <v>11695</v>
      </c>
      <c r="Q412" s="189">
        <f t="shared" ref="Q412" si="681">SUM(P412+L412)</f>
        <v>11695</v>
      </c>
      <c r="R412" s="189">
        <f>IFERROR(VLOOKUP(B412,'JTD Paste Data'!A:C,3,FALSE),"0")</f>
        <v>5398.6</v>
      </c>
      <c r="S412" s="189">
        <f t="shared" ref="S412" si="682">SUM(R412+M412)</f>
        <v>5398.6</v>
      </c>
      <c r="T412" s="189">
        <f t="shared" ref="T412" si="683">SUM(Q412-S412)</f>
        <v>6296.4</v>
      </c>
      <c r="U412" s="193">
        <f t="shared" ref="U412" si="684">IFERROR(T412/Q412,0)</f>
        <v>0.53838392475416841</v>
      </c>
    </row>
    <row r="413" spans="1:21" x14ac:dyDescent="0.25">
      <c r="A413" s="54" t="str">
        <f>VLOOKUP(B413,'SAP Contracts'!A:J,10,FALSE)</f>
        <v>BNCSI - Pine Flat to Dam Aerial Feed</v>
      </c>
      <c r="B413" s="54">
        <f>VLOOKUP(C413,'Active North Sky Projects'!C:D,2,FALSE)</f>
        <v>21263</v>
      </c>
      <c r="C413" s="122" t="s">
        <v>796</v>
      </c>
      <c r="D413" s="225" t="str">
        <f>IFERROR(VLOOKUP(B413,'MTD Hours Paste Data'!A:C,3,FALSE),"")</f>
        <v/>
      </c>
      <c r="E413" s="64">
        <f>IFERROR(VLOOKUP(B413,'ACDOCA - Paste Data'!B:G,6,FALSE),0)</f>
        <v>0</v>
      </c>
      <c r="F413" s="64">
        <f t="shared" si="677"/>
        <v>0</v>
      </c>
      <c r="G413" s="64">
        <f>IFERROR(VLOOKUP(B413,'ACDOCA - Paste Data'!B:H,7,FALSE),0)</f>
        <v>0</v>
      </c>
      <c r="H413" s="64">
        <f t="shared" si="678"/>
        <v>0</v>
      </c>
      <c r="I413" s="64">
        <f t="shared" si="679"/>
        <v>0</v>
      </c>
      <c r="J413" s="65">
        <f t="shared" si="680"/>
        <v>0</v>
      </c>
      <c r="K413" s="198" t="str">
        <f>IFERROR(VLOOKUP(B413,'WIP - Paste Data'!B:E,4,FALSE),"")</f>
        <v/>
      </c>
      <c r="L413" s="64"/>
      <c r="M413" s="64"/>
      <c r="N413" s="66"/>
      <c r="O413" s="66"/>
      <c r="P413" s="189" t="str">
        <f>IFERROR(VLOOKUP(B413,'JTD Paste Data'!A:B,2,FALSE),"0")</f>
        <v>0</v>
      </c>
      <c r="Q413" s="189">
        <f t="shared" ref="Q413:Q432" si="685">SUM(P413+L413)</f>
        <v>0</v>
      </c>
      <c r="R413" s="189" t="str">
        <f>IFERROR(VLOOKUP(B413,'JTD Paste Data'!A:C,3,FALSE),"0")</f>
        <v>0</v>
      </c>
      <c r="S413" s="189">
        <f t="shared" ref="S413:S432" si="686">SUM(R413+M413)</f>
        <v>0</v>
      </c>
      <c r="T413" s="189">
        <f t="shared" ref="T413:T432" si="687">SUM(Q413-S413)</f>
        <v>0</v>
      </c>
      <c r="U413" s="193">
        <f t="shared" ref="U413:U432" si="688">IFERROR(T413/Q413,0)</f>
        <v>0</v>
      </c>
    </row>
    <row r="414" spans="1:21" x14ac:dyDescent="0.25">
      <c r="A414" s="54" t="str">
        <f>VLOOKUP(B414,'SAP Contracts'!A:J,10,FALSE)</f>
        <v>Frontier - Maint SSP Selma (2022-25)</v>
      </c>
      <c r="B414" s="54">
        <f>VLOOKUP(C414,'Active North Sky Projects'!C:D,2,FALSE)</f>
        <v>21174</v>
      </c>
      <c r="C414" s="120" t="s">
        <v>470</v>
      </c>
      <c r="D414" s="225" t="str">
        <f>IFERROR(VLOOKUP(B414,'MTD Hours Paste Data'!A:C,3,FALSE),"")</f>
        <v/>
      </c>
      <c r="E414" s="64">
        <f>IFERROR(VLOOKUP(B414,'ACDOCA - Paste Data'!B:G,6,FALSE),0)</f>
        <v>0</v>
      </c>
      <c r="F414" s="64">
        <f t="shared" si="677"/>
        <v>0</v>
      </c>
      <c r="G414" s="64">
        <f>IFERROR(VLOOKUP(B414,'ACDOCA - Paste Data'!B:H,7,FALSE),0)</f>
        <v>-106.14</v>
      </c>
      <c r="H414" s="64">
        <f t="shared" si="678"/>
        <v>-106.14</v>
      </c>
      <c r="I414" s="64">
        <f t="shared" si="679"/>
        <v>106.14</v>
      </c>
      <c r="J414" s="65">
        <f t="shared" si="680"/>
        <v>0</v>
      </c>
      <c r="K414" s="198" t="str">
        <f>IFERROR(VLOOKUP(B414,'WIP - Paste Data'!B:E,4,FALSE),"")</f>
        <v/>
      </c>
      <c r="L414" s="64"/>
      <c r="M414" s="64"/>
      <c r="N414" s="66"/>
      <c r="O414" s="66"/>
      <c r="P414" s="189">
        <f>IFERROR(VLOOKUP(B414,'JTD Paste Data'!A:B,2,FALSE),"0")</f>
        <v>452277.03</v>
      </c>
      <c r="Q414" s="189">
        <f t="shared" si="685"/>
        <v>452277.03</v>
      </c>
      <c r="R414" s="189">
        <f>IFERROR(VLOOKUP(B414,'JTD Paste Data'!A:C,3,FALSE),"0")</f>
        <v>376460.4</v>
      </c>
      <c r="S414" s="189">
        <f t="shared" si="686"/>
        <v>376460.4</v>
      </c>
      <c r="T414" s="189">
        <f t="shared" si="687"/>
        <v>75816.63</v>
      </c>
      <c r="U414" s="193">
        <f t="shared" si="688"/>
        <v>0.16763316500950756</v>
      </c>
    </row>
    <row r="415" spans="1:21" x14ac:dyDescent="0.25">
      <c r="A415" s="54" t="str">
        <f>VLOOKUP(B415,'SAP Contracts'!A:J,10,FALSE)</f>
        <v>Frontier - Maint SSP Valley (2025-27)</v>
      </c>
      <c r="B415" s="54">
        <f>VLOOKUP(C415,'Active North Sky Projects'!C:D,2,FALSE)</f>
        <v>21172</v>
      </c>
      <c r="C415" s="122" t="s">
        <v>573</v>
      </c>
      <c r="D415" s="225">
        <f>IFERROR(VLOOKUP(B415,'MTD Hours Paste Data'!A:C,3,FALSE),"")</f>
        <v>643.88</v>
      </c>
      <c r="E415" s="64">
        <f>IFERROR(VLOOKUP(B415,'ACDOCA - Paste Data'!B:G,6,FALSE),0)</f>
        <v>111078.47</v>
      </c>
      <c r="F415" s="64">
        <f t="shared" si="677"/>
        <v>111078.47</v>
      </c>
      <c r="G415" s="64">
        <f>IFERROR(VLOOKUP(B415,'ACDOCA - Paste Data'!B:H,7,FALSE),0)</f>
        <v>138495.51</v>
      </c>
      <c r="H415" s="64">
        <f t="shared" si="678"/>
        <v>138495.51</v>
      </c>
      <c r="I415" s="64">
        <f t="shared" si="679"/>
        <v>-27417.040000000008</v>
      </c>
      <c r="J415" s="65">
        <f t="shared" si="680"/>
        <v>-0.2468258700358405</v>
      </c>
      <c r="K415" s="198">
        <f>IFERROR(VLOOKUP(B415,'WIP - Paste Data'!B:E,4,FALSE),"")</f>
        <v>1523569.51</v>
      </c>
      <c r="L415" s="64"/>
      <c r="M415" s="64"/>
      <c r="N415" s="66"/>
      <c r="O415" s="66"/>
      <c r="P415" s="189">
        <f>IFERROR(VLOOKUP(B415,'JTD Paste Data'!A:B,2,FALSE),"0")</f>
        <v>3253665.15</v>
      </c>
      <c r="Q415" s="189">
        <f t="shared" si="685"/>
        <v>3253665.15</v>
      </c>
      <c r="R415" s="189">
        <f>IFERROR(VLOOKUP(B415,'JTD Paste Data'!A:C,3,FALSE),"0")</f>
        <v>2867344.86</v>
      </c>
      <c r="S415" s="189">
        <f t="shared" si="686"/>
        <v>2867344.86</v>
      </c>
      <c r="T415" s="189">
        <f t="shared" si="687"/>
        <v>386320.29000000004</v>
      </c>
      <c r="U415" s="193">
        <f t="shared" si="688"/>
        <v>0.11873388077442451</v>
      </c>
    </row>
    <row r="416" spans="1:21" x14ac:dyDescent="0.25">
      <c r="A416" s="54" t="str">
        <f>VLOOKUP(B416,'SAP Contracts'!A:J,10,FALSE)</f>
        <v>ATT - A058B0Z FTTH- La Grange</v>
      </c>
      <c r="B416" s="54">
        <v>21892</v>
      </c>
      <c r="C416" s="122" t="s">
        <v>1304</v>
      </c>
      <c r="D416" s="225" t="str">
        <f>IFERROR(VLOOKUP(B416,'MTD Hours Paste Data'!A:C,3,FALSE),"")</f>
        <v/>
      </c>
      <c r="E416" s="64">
        <f>IFERROR(VLOOKUP(B416,'ACDOCA - Paste Data'!B:G,6,FALSE),0)</f>
        <v>0</v>
      </c>
      <c r="F416" s="64">
        <f t="shared" ref="F416:F417" si="689">E416 +L416</f>
        <v>0</v>
      </c>
      <c r="G416" s="64">
        <f>IFERROR(VLOOKUP(B416,'ACDOCA - Paste Data'!B:H,7,FALSE),0)</f>
        <v>11.87</v>
      </c>
      <c r="H416" s="64">
        <f t="shared" ref="H416:H417" si="690">G416+M416</f>
        <v>11.87</v>
      </c>
      <c r="I416" s="64">
        <f t="shared" ref="I416:I417" si="691">F416-H416</f>
        <v>-11.87</v>
      </c>
      <c r="J416" s="65">
        <f t="shared" ref="J416:J417" si="692">IFERROR(I416/F416,0)</f>
        <v>0</v>
      </c>
      <c r="K416" s="198" t="str">
        <f>IFERROR(VLOOKUP(B416,'WIP - Paste Data'!B:E,4,FALSE),"")</f>
        <v/>
      </c>
      <c r="L416" s="64"/>
      <c r="M416" s="64"/>
      <c r="N416" s="66"/>
      <c r="O416" s="66"/>
      <c r="P416" s="189">
        <f>IFERROR(VLOOKUP(B416,'JTD Paste Data'!A:B,2,FALSE),"0")</f>
        <v>186595.42</v>
      </c>
      <c r="Q416" s="189">
        <f t="shared" si="685"/>
        <v>186595.42</v>
      </c>
      <c r="R416" s="189">
        <f>IFERROR(VLOOKUP(B416,'JTD Paste Data'!A:C,3,FALSE),"0")</f>
        <v>103461.33</v>
      </c>
      <c r="S416" s="189">
        <f t="shared" si="686"/>
        <v>103461.33</v>
      </c>
      <c r="T416" s="189">
        <f t="shared" si="687"/>
        <v>83134.090000000011</v>
      </c>
      <c r="U416" s="193">
        <f t="shared" si="688"/>
        <v>0.44553124615813189</v>
      </c>
    </row>
    <row r="417" spans="1:21" x14ac:dyDescent="0.25">
      <c r="A417" s="54" t="s">
        <v>2716</v>
      </c>
      <c r="B417" s="54">
        <v>21938</v>
      </c>
      <c r="C417" s="122" t="s">
        <v>2715</v>
      </c>
      <c r="D417" s="225" t="str">
        <f>IFERROR(VLOOKUP(B417,'MTD Hours Paste Data'!A:C,3,FALSE),"")</f>
        <v/>
      </c>
      <c r="E417" s="64">
        <f>IFERROR(VLOOKUP(B417,'ACDOCA - Paste Data'!B:G,6,FALSE),0)</f>
        <v>0</v>
      </c>
      <c r="F417" s="64">
        <f t="shared" si="689"/>
        <v>0</v>
      </c>
      <c r="G417" s="64">
        <f>IFERROR(VLOOKUP(B417,'ACDOCA - Paste Data'!B:H,7,FALSE),0)</f>
        <v>0</v>
      </c>
      <c r="H417" s="64">
        <f t="shared" si="690"/>
        <v>0</v>
      </c>
      <c r="I417" s="64">
        <f t="shared" si="691"/>
        <v>0</v>
      </c>
      <c r="J417" s="65">
        <f t="shared" si="692"/>
        <v>0</v>
      </c>
      <c r="K417" s="198" t="str">
        <f>IFERROR(VLOOKUP(B417,'WIP - Paste Data'!B:E,4,FALSE),"")</f>
        <v/>
      </c>
      <c r="L417" s="64"/>
      <c r="M417" s="64"/>
      <c r="N417" s="66"/>
      <c r="O417" s="66"/>
      <c r="P417" s="189">
        <f>IFERROR(VLOOKUP(B417,'JTD Paste Data'!A:B,2,FALSE),"0")</f>
        <v>37390.800000000003</v>
      </c>
      <c r="Q417" s="189">
        <f t="shared" si="685"/>
        <v>37390.800000000003</v>
      </c>
      <c r="R417" s="189">
        <f>IFERROR(VLOOKUP(B417,'JTD Paste Data'!A:C,3,FALSE),"0")</f>
        <v>20951.38</v>
      </c>
      <c r="S417" s="189">
        <f t="shared" si="686"/>
        <v>20951.38</v>
      </c>
      <c r="T417" s="189">
        <f t="shared" si="687"/>
        <v>16439.420000000002</v>
      </c>
      <c r="U417" s="193">
        <f t="shared" si="688"/>
        <v>0.43966483733966644</v>
      </c>
    </row>
    <row r="418" spans="1:21" x14ac:dyDescent="0.25">
      <c r="A418" s="54" t="str">
        <f>VLOOKUP(B418,'SAP Contracts'!A:J,10,FALSE)</f>
        <v>ATT - A05AJGW - Coulterville</v>
      </c>
      <c r="B418" s="54">
        <f>VLOOKUP(C418,'Active North Sky Projects'!C:D,2,FALSE)</f>
        <v>21500</v>
      </c>
      <c r="C418" s="122" t="s">
        <v>1010</v>
      </c>
      <c r="D418" s="225">
        <f>IFERROR(VLOOKUP(B418,'MTD Hours Paste Data'!A:C,3,FALSE),"")</f>
        <v>0</v>
      </c>
      <c r="E418" s="64">
        <f>IFERROR(VLOOKUP(B418,'ACDOCA - Paste Data'!B:G,6,FALSE),0)</f>
        <v>0</v>
      </c>
      <c r="F418" s="64">
        <f t="shared" si="677"/>
        <v>0</v>
      </c>
      <c r="G418" s="64">
        <f>IFERROR(VLOOKUP(B418,'ACDOCA - Paste Data'!B:H,7,FALSE),0)</f>
        <v>0</v>
      </c>
      <c r="H418" s="64">
        <f t="shared" si="678"/>
        <v>0</v>
      </c>
      <c r="I418" s="64">
        <f t="shared" si="679"/>
        <v>0</v>
      </c>
      <c r="J418" s="65">
        <f t="shared" ref="J418:J419" si="693">IFERROR(I418/F418,0)</f>
        <v>0</v>
      </c>
      <c r="K418" s="198" t="str">
        <f>IFERROR(VLOOKUP(B418,'WIP - Paste Data'!B:E,4,FALSE),"")</f>
        <v/>
      </c>
      <c r="L418" s="64"/>
      <c r="M418" s="64"/>
      <c r="N418" s="66"/>
      <c r="O418" s="66"/>
      <c r="P418" s="189">
        <f>IFERROR(VLOOKUP(B418,'JTD Paste Data'!A:B,2,FALSE),"0")</f>
        <v>431754.76</v>
      </c>
      <c r="Q418" s="189">
        <f t="shared" si="685"/>
        <v>431754.76</v>
      </c>
      <c r="R418" s="189">
        <f>IFERROR(VLOOKUP(B418,'JTD Paste Data'!A:C,3,FALSE),"0")</f>
        <v>538838.42999999993</v>
      </c>
      <c r="S418" s="189">
        <f t="shared" si="686"/>
        <v>538838.42999999993</v>
      </c>
      <c r="T418" s="189">
        <f t="shared" si="687"/>
        <v>-107083.66999999993</v>
      </c>
      <c r="U418" s="193">
        <f t="shared" si="688"/>
        <v>-0.24801966282896318</v>
      </c>
    </row>
    <row r="419" spans="1:21" x14ac:dyDescent="0.25">
      <c r="A419" s="54" t="str">
        <f>VLOOKUP(B419,'SAP Contracts'!A:J,10,FALSE)</f>
        <v>ATT - A058D26 - Coulterville</v>
      </c>
      <c r="B419" s="54">
        <v>21850</v>
      </c>
      <c r="C419" s="117" t="s">
        <v>1279</v>
      </c>
      <c r="D419" s="225" t="str">
        <f>IFERROR(VLOOKUP(B419,'MTD Hours Paste Data'!A:C,3,FALSE),"")</f>
        <v/>
      </c>
      <c r="E419" s="64">
        <f>IFERROR(VLOOKUP(B419,'ACDOCA - Paste Data'!B:G,6,FALSE),0)</f>
        <v>109075.21</v>
      </c>
      <c r="F419" s="64">
        <f t="shared" si="677"/>
        <v>109075.21</v>
      </c>
      <c r="G419" s="64">
        <f>IFERROR(VLOOKUP(B419,'ACDOCA - Paste Data'!B:H,7,FALSE),0)</f>
        <v>703.54</v>
      </c>
      <c r="H419" s="64">
        <f t="shared" si="678"/>
        <v>703.54</v>
      </c>
      <c r="I419" s="64">
        <f t="shared" si="679"/>
        <v>108371.67000000001</v>
      </c>
      <c r="J419" s="65">
        <f t="shared" si="693"/>
        <v>0.99354995511812449</v>
      </c>
      <c r="K419" s="198">
        <f>IFERROR(VLOOKUP(B419,'WIP - Paste Data'!B:E,4,FALSE),"")</f>
        <v>1085586.55</v>
      </c>
      <c r="L419" s="64"/>
      <c r="M419" s="64"/>
      <c r="N419" s="66"/>
      <c r="O419" s="66"/>
      <c r="P419" s="189">
        <f>IFERROR(VLOOKUP(B419,'JTD Paste Data'!A:B,2,FALSE),"0")</f>
        <v>1085586.55</v>
      </c>
      <c r="Q419" s="189">
        <f t="shared" si="685"/>
        <v>1085586.55</v>
      </c>
      <c r="R419" s="189">
        <f>IFERROR(VLOOKUP(B419,'JTD Paste Data'!A:C,3,FALSE),"0")</f>
        <v>532190.94999999995</v>
      </c>
      <c r="S419" s="189">
        <f t="shared" si="686"/>
        <v>532190.94999999995</v>
      </c>
      <c r="T419" s="189">
        <f t="shared" si="687"/>
        <v>553395.60000000009</v>
      </c>
      <c r="U419" s="193">
        <f t="shared" si="688"/>
        <v>0.50976644837760754</v>
      </c>
    </row>
    <row r="420" spans="1:21" x14ac:dyDescent="0.25">
      <c r="A420" s="54" t="s">
        <v>2761</v>
      </c>
      <c r="B420" s="54">
        <v>22017</v>
      </c>
      <c r="C420" s="122" t="s">
        <v>2715</v>
      </c>
      <c r="D420" s="225" t="str">
        <f>IFERROR(VLOOKUP(B420,'MTD Hours Paste Data'!A:C,3,FALSE),"")</f>
        <v/>
      </c>
      <c r="E420" s="64">
        <f>IFERROR(VLOOKUP(B420,'ACDOCA - Paste Data'!B:G,6,FALSE),0)</f>
        <v>-22916</v>
      </c>
      <c r="F420" s="64">
        <f t="shared" ref="F420" si="694">E420 +L420</f>
        <v>-22916</v>
      </c>
      <c r="G420" s="64">
        <f>IFERROR(VLOOKUP(B420,'ACDOCA - Paste Data'!B:H,7,FALSE),0)</f>
        <v>-15419.64</v>
      </c>
      <c r="H420" s="64">
        <f t="shared" ref="H420" si="695">G420+M420</f>
        <v>-15419.64</v>
      </c>
      <c r="I420" s="64">
        <f t="shared" ref="I420" si="696">F420-H420</f>
        <v>-7496.3600000000006</v>
      </c>
      <c r="J420" s="65">
        <f t="shared" ref="J420" si="697">IFERROR(I420/F420,0)</f>
        <v>0.32712340722639205</v>
      </c>
      <c r="K420" s="198">
        <f>IFERROR(VLOOKUP(B420,'WIP - Paste Data'!B:E,4,FALSE),"")</f>
        <v>190304.42</v>
      </c>
      <c r="L420" s="64"/>
      <c r="M420" s="64"/>
      <c r="N420" s="66"/>
      <c r="O420" s="66"/>
      <c r="P420" s="189">
        <f>IFERROR(VLOOKUP(B420,'JTD Paste Data'!A:B,2,FALSE),"0")</f>
        <v>190304.42</v>
      </c>
      <c r="Q420" s="189">
        <f t="shared" ref="Q420" si="698">SUM(P420+L420)</f>
        <v>190304.42</v>
      </c>
      <c r="R420" s="189">
        <f>IFERROR(VLOOKUP(B420,'JTD Paste Data'!A:C,3,FALSE),"0")</f>
        <v>150133.53</v>
      </c>
      <c r="S420" s="189">
        <f t="shared" ref="S420" si="699">SUM(R420+M420)</f>
        <v>150133.53</v>
      </c>
      <c r="T420" s="189">
        <f t="shared" ref="T420" si="700">SUM(Q420-S420)</f>
        <v>40170.890000000014</v>
      </c>
      <c r="U420" s="193">
        <f t="shared" ref="U420" si="701">IFERROR(T420/Q420,0)</f>
        <v>0.21108753017927809</v>
      </c>
    </row>
    <row r="421" spans="1:21" x14ac:dyDescent="0.25">
      <c r="A421" s="54" t="s">
        <v>2777</v>
      </c>
      <c r="B421" s="54">
        <v>22102</v>
      </c>
      <c r="C421" s="122" t="s">
        <v>2715</v>
      </c>
      <c r="D421" s="225" t="str">
        <f>IFERROR(VLOOKUP(B421,'MTD Hours Paste Data'!A:C,3,FALSE),"")</f>
        <v/>
      </c>
      <c r="E421" s="64">
        <f>IFERROR(VLOOKUP(B421,'ACDOCA - Paste Data'!B:G,6,FALSE),0)</f>
        <v>0</v>
      </c>
      <c r="F421" s="64">
        <f t="shared" ref="F421" si="702">E421 +L421</f>
        <v>0</v>
      </c>
      <c r="G421" s="64">
        <f>IFERROR(VLOOKUP(B421,'ACDOCA - Paste Data'!B:H,7,FALSE),0)</f>
        <v>-38.229999999999997</v>
      </c>
      <c r="H421" s="64">
        <f t="shared" ref="H421" si="703">G421+M421</f>
        <v>-38.229999999999997</v>
      </c>
      <c r="I421" s="64">
        <f t="shared" ref="I421" si="704">F421-H421</f>
        <v>38.229999999999997</v>
      </c>
      <c r="J421" s="65">
        <f t="shared" ref="J421" si="705">IFERROR(I421/F421,0)</f>
        <v>0</v>
      </c>
      <c r="K421" s="198">
        <f>IFERROR(VLOOKUP(B421,'WIP - Paste Data'!B:E,4,FALSE),"")</f>
        <v>24534</v>
      </c>
      <c r="L421" s="64"/>
      <c r="M421" s="64"/>
      <c r="N421" s="66"/>
      <c r="O421" s="66"/>
      <c r="P421" s="189">
        <f>IFERROR(VLOOKUP(B421,'JTD Paste Data'!A:B,2,FALSE),"0")</f>
        <v>24534</v>
      </c>
      <c r="Q421" s="189">
        <f t="shared" ref="Q421" si="706">SUM(P421+L421)</f>
        <v>24534</v>
      </c>
      <c r="R421" s="189">
        <f>IFERROR(VLOOKUP(B421,'JTD Paste Data'!A:C,3,FALSE),"0")</f>
        <v>22895.21</v>
      </c>
      <c r="S421" s="189">
        <f t="shared" ref="S421" si="707">SUM(R421+M421)</f>
        <v>22895.21</v>
      </c>
      <c r="T421" s="189">
        <f t="shared" ref="T421" si="708">SUM(Q421-S421)</f>
        <v>1638.7900000000009</v>
      </c>
      <c r="U421" s="193">
        <f t="shared" ref="U421" si="709">IFERROR(T421/Q421,0)</f>
        <v>6.6796690307328641E-2</v>
      </c>
    </row>
    <row r="422" spans="1:21" x14ac:dyDescent="0.25">
      <c r="A422" s="54" t="str">
        <f>VLOOKUP(B422,'SAP Contracts'!A:J,10,FALSE)</f>
        <v>Lumen - Bakersfield to Delano II - Splic</v>
      </c>
      <c r="B422" s="54">
        <f>VLOOKUP(C422,'Active North Sky Projects'!C:D,2,FALSE)</f>
        <v>21045</v>
      </c>
      <c r="C422" s="122" t="s">
        <v>740</v>
      </c>
      <c r="D422" s="225" t="str">
        <f>IFERROR(VLOOKUP(B422,'MTD Hours Paste Data'!A:C,3,FALSE),"")</f>
        <v/>
      </c>
      <c r="E422" s="64">
        <f>IFERROR(VLOOKUP(B422,'ACDOCA - Paste Data'!B:G,6,FALSE),0)</f>
        <v>0</v>
      </c>
      <c r="F422" s="64">
        <f t="shared" si="677"/>
        <v>0</v>
      </c>
      <c r="G422" s="64">
        <f>IFERROR(VLOOKUP(B422,'ACDOCA - Paste Data'!B:H,7,FALSE),0)</f>
        <v>0</v>
      </c>
      <c r="H422" s="64">
        <f t="shared" si="678"/>
        <v>0</v>
      </c>
      <c r="I422" s="64">
        <f t="shared" si="679"/>
        <v>0</v>
      </c>
      <c r="J422" s="65">
        <f t="shared" si="680"/>
        <v>0</v>
      </c>
      <c r="K422" s="198" t="str">
        <f>IFERROR(VLOOKUP(B422,'WIP - Paste Data'!B:E,4,FALSE),"")</f>
        <v/>
      </c>
      <c r="L422" s="64"/>
      <c r="M422" s="64"/>
      <c r="N422" s="66"/>
      <c r="O422" s="66"/>
      <c r="P422" s="189" t="str">
        <f>IFERROR(VLOOKUP(B422,'JTD Paste Data'!A:B,2,FALSE),"0")</f>
        <v>0</v>
      </c>
      <c r="Q422" s="189">
        <f t="shared" si="685"/>
        <v>0</v>
      </c>
      <c r="R422" s="189" t="str">
        <f>IFERROR(VLOOKUP(B422,'JTD Paste Data'!A:C,3,FALSE),"0")</f>
        <v>0</v>
      </c>
      <c r="S422" s="189">
        <f t="shared" si="686"/>
        <v>0</v>
      </c>
      <c r="T422" s="189">
        <f t="shared" si="687"/>
        <v>0</v>
      </c>
      <c r="U422" s="193">
        <f t="shared" si="688"/>
        <v>0</v>
      </c>
    </row>
    <row r="423" spans="1:21" ht="14.1" customHeight="1" x14ac:dyDescent="0.25">
      <c r="A423" s="54" t="str">
        <f>VLOOKUP(B423,'SAP Contracts'!A:J,10,FALSE)</f>
        <v>Lumen-NAT OSP CENCAL MSA 2022-Selma</v>
      </c>
      <c r="B423" s="54">
        <f>VLOOKUP(C423,'Active North Sky Projects'!C:D,2,FALSE)</f>
        <v>21676</v>
      </c>
      <c r="C423" s="120" t="s">
        <v>469</v>
      </c>
      <c r="D423" s="225" t="str">
        <f>IFERROR(VLOOKUP(B423,'MTD Hours Paste Data'!A:C,3,FALSE),"")</f>
        <v/>
      </c>
      <c r="E423" s="64">
        <f>IFERROR(VLOOKUP(B423,'ACDOCA - Paste Data'!B:G,6,FALSE),0)</f>
        <v>0</v>
      </c>
      <c r="F423" s="64">
        <f t="shared" si="677"/>
        <v>0</v>
      </c>
      <c r="G423" s="64">
        <f>IFERROR(VLOOKUP(B423,'ACDOCA - Paste Data'!B:H,7,FALSE),0)</f>
        <v>0</v>
      </c>
      <c r="H423" s="64">
        <f t="shared" si="678"/>
        <v>0</v>
      </c>
      <c r="I423" s="64">
        <f t="shared" si="679"/>
        <v>0</v>
      </c>
      <c r="J423" s="65">
        <f t="shared" si="680"/>
        <v>0</v>
      </c>
      <c r="K423" s="198">
        <f>IFERROR(VLOOKUP(B423,'WIP - Paste Data'!B:E,4,FALSE),"")</f>
        <v>11945.34</v>
      </c>
      <c r="L423" s="16"/>
      <c r="M423" s="16"/>
      <c r="N423" s="16"/>
      <c r="O423" s="16"/>
      <c r="P423" s="189">
        <f>IFERROR(VLOOKUP(B423,'JTD Paste Data'!A:B,2,FALSE),"0")</f>
        <v>190215.5</v>
      </c>
      <c r="Q423" s="189">
        <f t="shared" si="685"/>
        <v>190215.5</v>
      </c>
      <c r="R423" s="189">
        <f>IFERROR(VLOOKUP(B423,'JTD Paste Data'!A:C,3,FALSE),"0")</f>
        <v>176044.71</v>
      </c>
      <c r="S423" s="189">
        <f t="shared" si="686"/>
        <v>176044.71</v>
      </c>
      <c r="T423" s="189">
        <f t="shared" si="687"/>
        <v>14170.790000000008</v>
      </c>
      <c r="U423" s="193">
        <f t="shared" si="688"/>
        <v>7.4498608157589727E-2</v>
      </c>
    </row>
    <row r="424" spans="1:21" ht="14.1" customHeight="1" x14ac:dyDescent="0.25">
      <c r="A424" s="54" t="s">
        <v>2992</v>
      </c>
      <c r="B424" s="54">
        <v>22849</v>
      </c>
      <c r="C424" s="122" t="s">
        <v>2715</v>
      </c>
      <c r="D424" s="225" t="str">
        <f>IFERROR(VLOOKUP(B424,'MTD Hours Paste Data'!A:C,3,FALSE),"")</f>
        <v/>
      </c>
      <c r="E424" s="64">
        <f>IFERROR(VLOOKUP(B424,'ACDOCA - Paste Data'!B:G,6,FALSE),0)</f>
        <v>18388</v>
      </c>
      <c r="F424" s="64">
        <f t="shared" ref="F424" si="710">E424 +L424</f>
        <v>18388</v>
      </c>
      <c r="G424" s="64">
        <f>IFERROR(VLOOKUP(B424,'ACDOCA - Paste Data'!B:H,7,FALSE),0)</f>
        <v>22011.8</v>
      </c>
      <c r="H424" s="64">
        <f t="shared" ref="H424" si="711">G424+M424</f>
        <v>22011.8</v>
      </c>
      <c r="I424" s="64">
        <f t="shared" ref="I424" si="712">F424-H424</f>
        <v>-3623.7999999999993</v>
      </c>
      <c r="J424" s="65">
        <f t="shared" ref="J424" si="713">IFERROR(I424/F424,0)</f>
        <v>-0.19707417881226882</v>
      </c>
      <c r="K424" s="198">
        <f>IFERROR(VLOOKUP(B424,'WIP - Paste Data'!B:E,4,FALSE),"")</f>
        <v>18388</v>
      </c>
      <c r="L424" s="16"/>
      <c r="M424" s="16"/>
      <c r="N424" s="16"/>
      <c r="O424" s="16"/>
      <c r="P424" s="189">
        <f>IFERROR(VLOOKUP(B424,'JTD Paste Data'!A:B,2,FALSE),"0")</f>
        <v>18388</v>
      </c>
      <c r="Q424" s="189">
        <f t="shared" ref="Q424" si="714">SUM(P424+L424)</f>
        <v>18388</v>
      </c>
      <c r="R424" s="189">
        <f>IFERROR(VLOOKUP(B424,'JTD Paste Data'!A:C,3,FALSE),"0")</f>
        <v>22011.8</v>
      </c>
      <c r="S424" s="189">
        <f t="shared" ref="S424" si="715">SUM(R424+M424)</f>
        <v>22011.8</v>
      </c>
      <c r="T424" s="189">
        <f t="shared" ref="T424" si="716">SUM(Q424-S424)</f>
        <v>-3623.7999999999993</v>
      </c>
      <c r="U424" s="193">
        <f t="shared" ref="U424" si="717">IFERROR(T424/Q424,0)</f>
        <v>-0.19707417881226882</v>
      </c>
    </row>
    <row r="425" spans="1:21" x14ac:dyDescent="0.25">
      <c r="A425" s="54" t="str">
        <f>VLOOKUP(B425,'SAP Contracts'!A:J,10,FALSE)</f>
        <v>Ponderosa - Reconnect 3 - Build 1</v>
      </c>
      <c r="B425" s="54">
        <f>VLOOKUP(C425,'Active North Sky Projects'!C:D,2,FALSE)</f>
        <v>21433</v>
      </c>
      <c r="C425" s="122" t="s">
        <v>774</v>
      </c>
      <c r="D425" s="225">
        <f>IFERROR(VLOOKUP(B425,'MTD Hours Paste Data'!A:C,3,FALSE),"")</f>
        <v>0</v>
      </c>
      <c r="E425" s="64">
        <f>IFERROR(VLOOKUP(B425,'ACDOCA - Paste Data'!B:G,6,FALSE),0)</f>
        <v>0</v>
      </c>
      <c r="F425" s="64">
        <f t="shared" si="677"/>
        <v>0</v>
      </c>
      <c r="G425" s="64">
        <f>IFERROR(VLOOKUP(B425,'ACDOCA - Paste Data'!B:H,7,FALSE),0)</f>
        <v>0</v>
      </c>
      <c r="H425" s="64">
        <f t="shared" si="678"/>
        <v>0</v>
      </c>
      <c r="I425" s="64">
        <f t="shared" si="679"/>
        <v>0</v>
      </c>
      <c r="J425" s="65">
        <f t="shared" si="680"/>
        <v>0</v>
      </c>
      <c r="K425" s="198" t="str">
        <f>IFERROR(VLOOKUP(B425,'WIP - Paste Data'!B:E,4,FALSE),"")</f>
        <v/>
      </c>
      <c r="L425" s="16"/>
      <c r="M425" s="16"/>
      <c r="N425" s="16"/>
      <c r="O425" s="16"/>
      <c r="P425" s="189">
        <f>IFERROR(VLOOKUP(B425,'JTD Paste Data'!A:B,2,FALSE),"0")</f>
        <v>1199115.3</v>
      </c>
      <c r="Q425" s="189">
        <f t="shared" si="685"/>
        <v>1199115.3</v>
      </c>
      <c r="R425" s="189">
        <f>IFERROR(VLOOKUP(B425,'JTD Paste Data'!A:C,3,FALSE),"0")</f>
        <v>922134.14</v>
      </c>
      <c r="S425" s="189">
        <f t="shared" si="686"/>
        <v>922134.14</v>
      </c>
      <c r="T425" s="189">
        <f t="shared" si="687"/>
        <v>276981.16000000003</v>
      </c>
      <c r="U425" s="193">
        <f t="shared" si="688"/>
        <v>0.23098792918412434</v>
      </c>
    </row>
    <row r="426" spans="1:21" x14ac:dyDescent="0.25">
      <c r="A426" s="54" t="str">
        <f>VLOOKUP(B426,'SAP Contracts'!A:J,10,FALSE)</f>
        <v>Ponderosa-Meadow Ranch SLC</v>
      </c>
      <c r="B426" s="54">
        <f>VLOOKUP(C426,'Active North Sky Projects'!C:D,2,FALSE)</f>
        <v>21211</v>
      </c>
      <c r="C426" s="120" t="s">
        <v>471</v>
      </c>
      <c r="D426" s="225" t="str">
        <f>IFERROR(VLOOKUP(B426,'MTD Hours Paste Data'!A:C,3,FALSE),"")</f>
        <v/>
      </c>
      <c r="E426" s="64">
        <f>IFERROR(VLOOKUP(B426,'ACDOCA - Paste Data'!B:G,6,FALSE),0)</f>
        <v>0</v>
      </c>
      <c r="F426" s="64">
        <f t="shared" si="677"/>
        <v>0</v>
      </c>
      <c r="G426" s="64">
        <f>IFERROR(VLOOKUP(B426,'ACDOCA - Paste Data'!B:H,7,FALSE),0)</f>
        <v>0</v>
      </c>
      <c r="H426" s="64">
        <f t="shared" si="678"/>
        <v>0</v>
      </c>
      <c r="I426" s="64">
        <f t="shared" si="679"/>
        <v>0</v>
      </c>
      <c r="J426" s="65">
        <f t="shared" si="680"/>
        <v>0</v>
      </c>
      <c r="K426" s="198" t="str">
        <f>IFERROR(VLOOKUP(B426,'WIP - Paste Data'!B:E,4,FALSE),"")</f>
        <v/>
      </c>
      <c r="L426" s="16"/>
      <c r="M426" s="16"/>
      <c r="N426" s="16"/>
      <c r="O426" s="16"/>
      <c r="P426" s="189" t="str">
        <f>IFERROR(VLOOKUP(B426,'JTD Paste Data'!A:B,2,FALSE),"0")</f>
        <v>0</v>
      </c>
      <c r="Q426" s="189">
        <f t="shared" si="685"/>
        <v>0</v>
      </c>
      <c r="R426" s="189" t="str">
        <f>IFERROR(VLOOKUP(B426,'JTD Paste Data'!A:C,3,FALSE),"0")</f>
        <v>0</v>
      </c>
      <c r="S426" s="189">
        <f t="shared" si="686"/>
        <v>0</v>
      </c>
      <c r="T426" s="189">
        <f t="shared" si="687"/>
        <v>0</v>
      </c>
      <c r="U426" s="193">
        <f t="shared" si="688"/>
        <v>0</v>
      </c>
    </row>
    <row r="427" spans="1:21" x14ac:dyDescent="0.25">
      <c r="A427" s="54" t="str">
        <f>VLOOKUP(B427,'SAP Contracts'!A:J,10,FALSE)</f>
        <v>Ponderosa-Timberview SLC</v>
      </c>
      <c r="B427" s="54">
        <f>VLOOKUP(C427,'Active North Sky Projects'!C:D,2,FALSE)</f>
        <v>21222</v>
      </c>
      <c r="C427" s="120" t="s">
        <v>472</v>
      </c>
      <c r="D427" s="225" t="str">
        <f>IFERROR(VLOOKUP(B427,'MTD Hours Paste Data'!A:C,3,FALSE),"")</f>
        <v/>
      </c>
      <c r="E427" s="64">
        <f>IFERROR(VLOOKUP(B427,'ACDOCA - Paste Data'!B:G,6,FALSE),0)</f>
        <v>0</v>
      </c>
      <c r="F427" s="64">
        <f t="shared" si="677"/>
        <v>0</v>
      </c>
      <c r="G427" s="64">
        <f>IFERROR(VLOOKUP(B427,'ACDOCA - Paste Data'!B:H,7,FALSE),0)</f>
        <v>0</v>
      </c>
      <c r="H427" s="64">
        <f t="shared" si="678"/>
        <v>0</v>
      </c>
      <c r="I427" s="64">
        <f t="shared" si="679"/>
        <v>0</v>
      </c>
      <c r="J427" s="65">
        <f t="shared" si="680"/>
        <v>0</v>
      </c>
      <c r="K427" s="198" t="str">
        <f>IFERROR(VLOOKUP(B427,'WIP - Paste Data'!B:E,4,FALSE),"")</f>
        <v/>
      </c>
      <c r="L427" s="16"/>
      <c r="M427" s="16"/>
      <c r="N427" s="16"/>
      <c r="O427" s="16"/>
      <c r="P427" s="189" t="str">
        <f>IFERROR(VLOOKUP(B427,'JTD Paste Data'!A:B,2,FALSE),"0")</f>
        <v>0</v>
      </c>
      <c r="Q427" s="189">
        <f t="shared" si="685"/>
        <v>0</v>
      </c>
      <c r="R427" s="189" t="str">
        <f>IFERROR(VLOOKUP(B427,'JTD Paste Data'!A:C,3,FALSE),"0")</f>
        <v>0</v>
      </c>
      <c r="S427" s="189">
        <f t="shared" si="686"/>
        <v>0</v>
      </c>
      <c r="T427" s="189">
        <f t="shared" si="687"/>
        <v>0</v>
      </c>
      <c r="U427" s="193">
        <f t="shared" si="688"/>
        <v>0</v>
      </c>
    </row>
    <row r="428" spans="1:21" ht="13.15" customHeight="1" x14ac:dyDescent="0.25">
      <c r="A428" s="54" t="str">
        <f>VLOOKUP(B428,'SAP Contracts'!A:J,10,FALSE)</f>
        <v>Ponderosa-Windwood &amp; Silver Pine FTTH</v>
      </c>
      <c r="B428" s="54">
        <f>VLOOKUP(C428,'Active North Sky Projects'!C:D,2,FALSE)</f>
        <v>21208</v>
      </c>
      <c r="C428" s="120" t="s">
        <v>493</v>
      </c>
      <c r="D428" s="225" t="str">
        <f>IFERROR(VLOOKUP(B428,'MTD Hours Paste Data'!A:C,3,FALSE),"")</f>
        <v/>
      </c>
      <c r="E428" s="64">
        <f>IFERROR(VLOOKUP(B428,'ACDOCA - Paste Data'!B:G,6,FALSE),0)</f>
        <v>0</v>
      </c>
      <c r="F428" s="64">
        <f t="shared" si="677"/>
        <v>0</v>
      </c>
      <c r="G428" s="64">
        <f>IFERROR(VLOOKUP(B428,'ACDOCA - Paste Data'!B:H,7,FALSE),0)</f>
        <v>0</v>
      </c>
      <c r="H428" s="64">
        <f t="shared" si="678"/>
        <v>0</v>
      </c>
      <c r="I428" s="64">
        <f t="shared" si="679"/>
        <v>0</v>
      </c>
      <c r="J428" s="65">
        <f t="shared" si="680"/>
        <v>0</v>
      </c>
      <c r="K428" s="198" t="str">
        <f>IFERROR(VLOOKUP(B428,'WIP - Paste Data'!B:E,4,FALSE),"")</f>
        <v/>
      </c>
      <c r="L428" s="16"/>
      <c r="M428" s="16"/>
      <c r="N428" s="16"/>
      <c r="O428" s="16"/>
      <c r="P428" s="189">
        <f>IFERROR(VLOOKUP(B428,'JTD Paste Data'!A:B,2,FALSE),"0")</f>
        <v>13476.7</v>
      </c>
      <c r="Q428" s="189">
        <f t="shared" si="685"/>
        <v>13476.7</v>
      </c>
      <c r="R428" s="189">
        <f>IFERROR(VLOOKUP(B428,'JTD Paste Data'!A:C,3,FALSE),"0")</f>
        <v>6292.4499999999989</v>
      </c>
      <c r="S428" s="189">
        <f t="shared" si="686"/>
        <v>6292.4499999999989</v>
      </c>
      <c r="T428" s="189">
        <f t="shared" si="687"/>
        <v>7184.2500000000018</v>
      </c>
      <c r="U428" s="193">
        <f t="shared" si="688"/>
        <v>0.53308673488316882</v>
      </c>
    </row>
    <row r="429" spans="1:21" x14ac:dyDescent="0.25">
      <c r="A429" s="54" t="str">
        <f>VLOOKUP(B429,'SAP Contracts'!A:J,10,FALSE)</f>
        <v>Ponderosa-Wishon Phase 2</v>
      </c>
      <c r="B429" s="54">
        <f>VLOOKUP(C429,'Active North Sky Projects'!C:D,2,FALSE)</f>
        <v>21684</v>
      </c>
      <c r="C429" s="120" t="s">
        <v>554</v>
      </c>
      <c r="D429" s="225" t="str">
        <f>IFERROR(VLOOKUP(B429,'MTD Hours Paste Data'!A:C,3,FALSE),"")</f>
        <v/>
      </c>
      <c r="E429" s="64">
        <f>IFERROR(VLOOKUP(B429,'ACDOCA - Paste Data'!B:G,6,FALSE),0)</f>
        <v>0</v>
      </c>
      <c r="F429" s="64">
        <f t="shared" si="677"/>
        <v>0</v>
      </c>
      <c r="G429" s="64">
        <f>IFERROR(VLOOKUP(B429,'ACDOCA - Paste Data'!B:H,7,FALSE),0)</f>
        <v>0</v>
      </c>
      <c r="H429" s="64">
        <f t="shared" si="678"/>
        <v>0</v>
      </c>
      <c r="I429" s="64">
        <f t="shared" si="679"/>
        <v>0</v>
      </c>
      <c r="J429" s="65">
        <f t="shared" si="680"/>
        <v>0</v>
      </c>
      <c r="K429" s="198" t="str">
        <f>IFERROR(VLOOKUP(B429,'WIP - Paste Data'!B:E,4,FALSE),"")</f>
        <v/>
      </c>
      <c r="L429" s="16"/>
      <c r="M429" s="16"/>
      <c r="N429" s="16"/>
      <c r="O429" s="16"/>
      <c r="P429" s="189" t="str">
        <f>IFERROR(VLOOKUP(B429,'JTD Paste Data'!A:B,2,FALSE),"0")</f>
        <v>0</v>
      </c>
      <c r="Q429" s="189">
        <f t="shared" si="685"/>
        <v>0</v>
      </c>
      <c r="R429" s="189" t="str">
        <f>IFERROR(VLOOKUP(B429,'JTD Paste Data'!A:C,3,FALSE),"0")</f>
        <v>0</v>
      </c>
      <c r="S429" s="189">
        <f t="shared" si="686"/>
        <v>0</v>
      </c>
      <c r="T429" s="189">
        <f t="shared" si="687"/>
        <v>0</v>
      </c>
      <c r="U429" s="193">
        <f t="shared" si="688"/>
        <v>0</v>
      </c>
    </row>
    <row r="430" spans="1:21" x14ac:dyDescent="0.25">
      <c r="A430" s="54" t="str">
        <f>VLOOKUP(B430,'SAP Contracts'!A:J,10,FALSE)</f>
        <v>SierraTel - Coarsegold Yosemite - Ph 4A</v>
      </c>
      <c r="B430" s="54">
        <f>VLOOKUP(C430,'Active North Sky Projects'!C:D,2,FALSE)</f>
        <v>21465</v>
      </c>
      <c r="C430" s="122" t="s">
        <v>418</v>
      </c>
      <c r="D430" s="225" t="str">
        <f>IFERROR(VLOOKUP(B430,'MTD Hours Paste Data'!A:C,3,FALSE),"")</f>
        <v/>
      </c>
      <c r="E430" s="64">
        <f>IFERROR(VLOOKUP(B430,'ACDOCA - Paste Data'!B:G,6,FALSE),0)</f>
        <v>0</v>
      </c>
      <c r="F430" s="64">
        <f t="shared" si="677"/>
        <v>0</v>
      </c>
      <c r="G430" s="64">
        <f>IFERROR(VLOOKUP(B430,'ACDOCA - Paste Data'!B:H,7,FALSE),0)</f>
        <v>0</v>
      </c>
      <c r="H430" s="64">
        <f t="shared" si="678"/>
        <v>0</v>
      </c>
      <c r="I430" s="64">
        <f t="shared" si="679"/>
        <v>0</v>
      </c>
      <c r="J430" s="65">
        <f t="shared" si="680"/>
        <v>0</v>
      </c>
      <c r="K430" s="198" t="str">
        <f>IFERROR(VLOOKUP(B430,'WIP - Paste Data'!B:E,4,FALSE),"")</f>
        <v/>
      </c>
      <c r="L430" s="16"/>
      <c r="M430" s="16"/>
      <c r="N430" s="16"/>
      <c r="O430" s="16"/>
      <c r="P430" s="189">
        <f>IFERROR(VLOOKUP(B430,'JTD Paste Data'!A:B,2,FALSE),"0")</f>
        <v>2912357.35</v>
      </c>
      <c r="Q430" s="189">
        <f t="shared" si="685"/>
        <v>2912357.35</v>
      </c>
      <c r="R430" s="189">
        <f>IFERROR(VLOOKUP(B430,'JTD Paste Data'!A:C,3,FALSE),"0")</f>
        <v>2891407.4099999997</v>
      </c>
      <c r="S430" s="189">
        <f t="shared" si="686"/>
        <v>2891407.4099999997</v>
      </c>
      <c r="T430" s="189">
        <f t="shared" si="687"/>
        <v>20949.94000000041</v>
      </c>
      <c r="U430" s="193">
        <f t="shared" si="688"/>
        <v>7.193464771759691E-3</v>
      </c>
    </row>
    <row r="431" spans="1:21" x14ac:dyDescent="0.25">
      <c r="A431" s="54" t="str">
        <f>VLOOKUP(B431,'SAP Contracts'!A:J,10,FALSE)</f>
        <v>Sprint-Maintenance-Selma</v>
      </c>
      <c r="B431" s="54">
        <f>VLOOKUP(C431,'Active North Sky Projects'!C:D,2,FALSE)</f>
        <v>21121</v>
      </c>
      <c r="C431" s="120" t="s">
        <v>492</v>
      </c>
      <c r="D431" s="225">
        <f>IFERROR(VLOOKUP(B431,'MTD Hours Paste Data'!A:C,3,FALSE),"")</f>
        <v>0</v>
      </c>
      <c r="E431" s="64">
        <f>IFERROR(VLOOKUP(B431,'ACDOCA - Paste Data'!B:G,6,FALSE),0)</f>
        <v>0</v>
      </c>
      <c r="F431" s="64">
        <f t="shared" si="677"/>
        <v>0</v>
      </c>
      <c r="G431" s="64">
        <f>IFERROR(VLOOKUP(B431,'ACDOCA - Paste Data'!B:H,7,FALSE),0)</f>
        <v>0</v>
      </c>
      <c r="H431" s="64">
        <f t="shared" si="678"/>
        <v>0</v>
      </c>
      <c r="I431" s="64">
        <f t="shared" si="679"/>
        <v>0</v>
      </c>
      <c r="J431" s="65">
        <f t="shared" si="680"/>
        <v>0</v>
      </c>
      <c r="K431" s="198">
        <f>IFERROR(VLOOKUP(B431,'WIP - Paste Data'!B:E,4,FALSE),"")</f>
        <v>29136</v>
      </c>
      <c r="L431" s="16"/>
      <c r="M431" s="16"/>
      <c r="N431" s="16"/>
      <c r="O431" s="16"/>
      <c r="P431" s="189">
        <f>IFERROR(VLOOKUP(B431,'JTD Paste Data'!A:B,2,FALSE),"0")</f>
        <v>76104.010000000009</v>
      </c>
      <c r="Q431" s="189">
        <f t="shared" si="685"/>
        <v>76104.010000000009</v>
      </c>
      <c r="R431" s="189">
        <f>IFERROR(VLOOKUP(B431,'JTD Paste Data'!A:C,3,FALSE),"0")</f>
        <v>60491.9</v>
      </c>
      <c r="S431" s="189">
        <f t="shared" si="686"/>
        <v>60491.9</v>
      </c>
      <c r="T431" s="189">
        <f t="shared" si="687"/>
        <v>15612.110000000008</v>
      </c>
      <c r="U431" s="193">
        <f t="shared" si="688"/>
        <v>0.20514175271447596</v>
      </c>
    </row>
    <row r="432" spans="1:21" x14ac:dyDescent="0.25">
      <c r="A432" s="54" t="s">
        <v>592</v>
      </c>
      <c r="B432" s="54">
        <v>21108</v>
      </c>
      <c r="C432" s="123" t="s">
        <v>591</v>
      </c>
      <c r="D432" s="225">
        <f>IFERROR(VLOOKUP(B432,'MTD Hours Paste Data'!A:C,3,FALSE),"")</f>
        <v>0</v>
      </c>
      <c r="E432" s="64">
        <f>IFERROR(VLOOKUP(B432,'ACDOCA - Paste Data'!B:G,6,FALSE),0)</f>
        <v>0</v>
      </c>
      <c r="F432" s="64">
        <f t="shared" si="677"/>
        <v>0</v>
      </c>
      <c r="G432" s="64">
        <f>IFERROR(VLOOKUP(B432,'ACDOCA - Paste Data'!B:H,7,FALSE),0)</f>
        <v>0</v>
      </c>
      <c r="H432" s="64">
        <f t="shared" si="678"/>
        <v>0</v>
      </c>
      <c r="I432" s="64">
        <f t="shared" si="679"/>
        <v>0</v>
      </c>
      <c r="J432" s="65">
        <f t="shared" si="680"/>
        <v>0</v>
      </c>
      <c r="K432" s="198">
        <f>IFERROR(VLOOKUP(B432,'WIP - Paste Data'!B:E,4,FALSE),"")</f>
        <v>1572.54</v>
      </c>
      <c r="L432" s="16"/>
      <c r="M432" s="16"/>
      <c r="N432" s="16"/>
      <c r="O432" s="16"/>
      <c r="P432" s="189">
        <f>IFERROR(VLOOKUP(B432,'JTD Paste Data'!A:B,2,FALSE),"0")</f>
        <v>292012.39999999997</v>
      </c>
      <c r="Q432" s="189">
        <f t="shared" si="685"/>
        <v>292012.39999999997</v>
      </c>
      <c r="R432" s="189">
        <f>IFERROR(VLOOKUP(B432,'JTD Paste Data'!A:C,3,FALSE),"0")</f>
        <v>190968.11000000002</v>
      </c>
      <c r="S432" s="189">
        <f t="shared" si="686"/>
        <v>190968.11000000002</v>
      </c>
      <c r="T432" s="189">
        <f t="shared" si="687"/>
        <v>101044.28999999995</v>
      </c>
      <c r="U432" s="193">
        <f t="shared" si="688"/>
        <v>0.34602739472707311</v>
      </c>
    </row>
    <row r="433" spans="1:21" outlineLevel="1" x14ac:dyDescent="0.25">
      <c r="B433" s="120"/>
      <c r="C433" s="120"/>
      <c r="D433" s="243"/>
      <c r="E433" s="64">
        <f>IFERROR(VLOOKUP(B433,'ACDOCA - Paste Data'!B:C,2,FALSE),0)</f>
        <v>0</v>
      </c>
      <c r="F433" s="64">
        <f t="shared" ref="F433" si="718">E433 +L433</f>
        <v>0</v>
      </c>
      <c r="G433" s="64">
        <f>IFERROR(VLOOKUP(B433,'ACDOCA - Paste Data'!B:H,7,FALSE),0)</f>
        <v>0</v>
      </c>
      <c r="H433" s="64">
        <f t="shared" ref="H433" si="719">G433+M433</f>
        <v>0</v>
      </c>
      <c r="I433" s="64">
        <f t="shared" ref="I433" si="720">F433-H433</f>
        <v>0</v>
      </c>
      <c r="J433" s="65">
        <f t="shared" ref="J433" si="721">IFERROR(I433/F433,0)</f>
        <v>0</v>
      </c>
      <c r="K433" s="198" t="str">
        <f>IFERROR(VLOOKUP(B433,'WIP - Paste Data'!B:E,4,FALSE),"")</f>
        <v/>
      </c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 spans="1:21" ht="15.75" thickBot="1" x14ac:dyDescent="0.3">
      <c r="A434" s="75" t="s">
        <v>435</v>
      </c>
      <c r="B434" s="68">
        <v>-16</v>
      </c>
      <c r="C434" s="68">
        <v>-16</v>
      </c>
      <c r="D434" s="226"/>
      <c r="E434" s="68">
        <f>SUM(E412:E432)</f>
        <v>215625.68</v>
      </c>
      <c r="F434" s="68">
        <f>SUM(F412:F432)</f>
        <v>215625.68</v>
      </c>
      <c r="G434" s="68">
        <f>SUM(G412:G432)</f>
        <v>145658.71</v>
      </c>
      <c r="H434" s="68">
        <f>SUM(H412:H432)</f>
        <v>145658.71</v>
      </c>
      <c r="I434" s="68">
        <f>F434-H434</f>
        <v>69966.97</v>
      </c>
      <c r="J434" s="69">
        <f>IFERROR(I434/F434,0)</f>
        <v>0.32448347525211285</v>
      </c>
      <c r="K434" s="206">
        <f>SUM(K412:K432)</f>
        <v>2885036.36</v>
      </c>
      <c r="L434" s="68">
        <f>SUM(L412:L432)</f>
        <v>0</v>
      </c>
      <c r="M434" s="68">
        <f>SUM(M412:M432)</f>
        <v>0</v>
      </c>
      <c r="N434" s="68"/>
      <c r="O434" s="68"/>
      <c r="P434" s="68">
        <f>SUM(P412:P433)</f>
        <v>10375472.389999999</v>
      </c>
      <c r="Q434" s="68">
        <f>SUM(Q412:Q433)</f>
        <v>10375472.389999999</v>
      </c>
      <c r="R434" s="68">
        <f>SUM(R412:R433)</f>
        <v>8887025.209999999</v>
      </c>
      <c r="S434" s="68">
        <f>SUM(S412:S433)</f>
        <v>8887025.209999999</v>
      </c>
      <c r="T434" s="68">
        <f>SUM(T412:T433)</f>
        <v>1488447.1800000009</v>
      </c>
      <c r="U434" s="69">
        <f>IFERROR(T434/Q434,0)</f>
        <v>0.14345825655462047</v>
      </c>
    </row>
    <row r="435" spans="1:21" ht="15" x14ac:dyDescent="0.25"/>
    <row r="436" spans="1:21" ht="15" x14ac:dyDescent="0.25">
      <c r="A436" s="33" t="s">
        <v>1063</v>
      </c>
      <c r="B436" s="135"/>
      <c r="C436" s="135"/>
      <c r="D436" s="242"/>
      <c r="E436" s="29">
        <f>E434+E410+E387</f>
        <v>1705252.41</v>
      </c>
      <c r="F436" s="29">
        <f>F434+F410+F387</f>
        <v>1705252.41</v>
      </c>
      <c r="G436" s="29">
        <f>G434+G410+G387</f>
        <v>1419865.5399999998</v>
      </c>
      <c r="H436" s="29">
        <f>H434+H410+H387</f>
        <v>1419865.5399999998</v>
      </c>
      <c r="I436" s="29">
        <f>I434+I410+I387</f>
        <v>285386.87000000011</v>
      </c>
      <c r="J436" s="30">
        <f>I436/F436</f>
        <v>0.16735755265697008</v>
      </c>
      <c r="K436" s="208">
        <f>K434+K410+K387</f>
        <v>12141669.27</v>
      </c>
      <c r="L436" s="18">
        <f>L434+L410+L387</f>
        <v>0</v>
      </c>
      <c r="M436" s="18">
        <f>M434+M410+M387</f>
        <v>0</v>
      </c>
      <c r="N436" s="16"/>
      <c r="O436" s="16"/>
      <c r="P436" s="16"/>
      <c r="Q436" s="16"/>
      <c r="R436" s="16"/>
      <c r="S436" s="16"/>
      <c r="T436" s="16"/>
      <c r="U436" s="16"/>
    </row>
    <row r="437" spans="1:21" ht="15" x14ac:dyDescent="0.25">
      <c r="A437" s="17" t="s">
        <v>2979</v>
      </c>
      <c r="B437" s="16"/>
      <c r="C437" s="16"/>
      <c r="D437" s="229"/>
      <c r="E437" s="18"/>
      <c r="F437" s="80">
        <v>2404000</v>
      </c>
      <c r="G437" s="81"/>
      <c r="H437" s="81"/>
      <c r="I437" s="80">
        <v>414360</v>
      </c>
      <c r="J437" s="28">
        <f>IFERROR(I437/F437,0)</f>
        <v>0.17236272878535774</v>
      </c>
      <c r="K437" s="202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spans="1:21" ht="14.25" x14ac:dyDescent="0.25">
      <c r="A438" s="125" t="s">
        <v>4759</v>
      </c>
      <c r="B438" s="16"/>
      <c r="C438" s="16"/>
      <c r="D438" s="229"/>
      <c r="E438" s="18"/>
      <c r="F438" s="31">
        <f>IFERROR(F436/F437,0)</f>
        <v>0.70933960482529113</v>
      </c>
      <c r="G438" s="32"/>
      <c r="H438" s="32"/>
      <c r="I438" s="31">
        <f>IFERROR(I436/I437,0)</f>
        <v>0.68874136016990084</v>
      </c>
      <c r="J438" s="16"/>
      <c r="K438" s="203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 spans="1:21" ht="15" x14ac:dyDescent="0.25">
      <c r="A439" s="17"/>
      <c r="B439" s="16"/>
      <c r="C439" s="16"/>
      <c r="D439" s="229"/>
      <c r="E439" s="18"/>
      <c r="F439" s="31"/>
      <c r="G439" s="32"/>
      <c r="H439" s="32"/>
      <c r="I439" s="31"/>
      <c r="J439" s="16"/>
      <c r="K439" s="203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 spans="1:21" ht="14.25" x14ac:dyDescent="0.25">
      <c r="A440" s="119" t="s">
        <v>1170</v>
      </c>
      <c r="B440" s="119"/>
      <c r="C440" s="119"/>
      <c r="D440" s="239"/>
      <c r="E440" s="18"/>
      <c r="F440" s="31"/>
      <c r="G440" s="32"/>
      <c r="H440" s="32"/>
      <c r="I440" s="31"/>
      <c r="J440" s="16"/>
      <c r="K440" s="203"/>
      <c r="L440" s="16" t="s">
        <v>1114</v>
      </c>
      <c r="M440" s="16"/>
      <c r="N440" s="16"/>
      <c r="O440" s="16"/>
      <c r="P440" s="16"/>
      <c r="Q440" s="16"/>
      <c r="R440" s="16"/>
      <c r="S440" s="16"/>
      <c r="T440" s="16"/>
      <c r="U440" s="16"/>
    </row>
    <row r="441" spans="1:21" x14ac:dyDescent="0.25">
      <c r="A441" s="54" t="str">
        <f>VLOOKUP(B441,'SAP Contracts'!A:J,10,FALSE)</f>
        <v>IC-CCI - Close-Out for 1F LA South</v>
      </c>
      <c r="B441" s="54">
        <f>VLOOKUP(C441,'Active North Sky Projects'!C:D,2,FALSE)</f>
        <v>21315</v>
      </c>
      <c r="C441" s="120" t="s">
        <v>475</v>
      </c>
      <c r="D441" s="225">
        <f>IFERROR(VLOOKUP(B441,'MTD Hours Paste Data'!A:C,3,FALSE),"")</f>
        <v>0</v>
      </c>
      <c r="E441" s="64">
        <f>IFERROR(VLOOKUP(B441,'ACDOCA - Paste Data'!B:G,6,FALSE),0)</f>
        <v>0</v>
      </c>
      <c r="F441" s="64">
        <f t="shared" ref="F441:F445" si="722">E441 +L441</f>
        <v>0</v>
      </c>
      <c r="G441" s="64">
        <f>IFERROR(VLOOKUP(B441,'ACDOCA - Paste Data'!B:H,7,FALSE),0)</f>
        <v>4561.0600000000004</v>
      </c>
      <c r="H441" s="64">
        <f>G441+M441</f>
        <v>4561.0600000000004</v>
      </c>
      <c r="I441" s="64">
        <f t="shared" ref="I441:I445" si="723">F441-H441</f>
        <v>-4561.0600000000004</v>
      </c>
      <c r="J441" s="65">
        <f t="shared" ref="J441:J445" si="724">IFERROR(I441/F441,0)</f>
        <v>0</v>
      </c>
      <c r="K441" s="198"/>
      <c r="L441" s="16"/>
      <c r="M441" s="18"/>
      <c r="N441" s="16"/>
      <c r="O441" s="16"/>
      <c r="P441" s="189">
        <f>IFERROR(VLOOKUP(B441,'JTD Paste Data'!A:B,2,FALSE),"0")</f>
        <v>0</v>
      </c>
      <c r="Q441" s="189">
        <f t="shared" ref="Q441:Q445" si="725">SUM(P441+L441)</f>
        <v>0</v>
      </c>
      <c r="R441" s="189">
        <f>IFERROR(VLOOKUP(B441,'JTD Paste Data'!A:C,3,FALSE),"0")</f>
        <v>47818.36</v>
      </c>
      <c r="S441" s="189">
        <f t="shared" ref="S441:S445" si="726">SUM(R441+M441)</f>
        <v>47818.36</v>
      </c>
      <c r="T441" s="189">
        <f t="shared" ref="T441:T445" si="727">SUM(Q441-S441)</f>
        <v>-47818.36</v>
      </c>
      <c r="U441" s="193">
        <f t="shared" ref="U441:U445" si="728">IFERROR(T441/Q441,0)</f>
        <v>0</v>
      </c>
    </row>
    <row r="442" spans="1:21" x14ac:dyDescent="0.25">
      <c r="A442" s="54" t="str">
        <f>VLOOKUP(B442,'SAP Contracts'!A:J,10,FALSE)</f>
        <v>VZ-Verizon-One Fiber Build-Sacramento</v>
      </c>
      <c r="B442" s="54">
        <v>21671</v>
      </c>
      <c r="C442" s="120" t="s">
        <v>582</v>
      </c>
      <c r="D442" s="225" t="str">
        <f>IFERROR(VLOOKUP(B442,'MTD Hours Paste Data'!A:C,3,FALSE),"")</f>
        <v/>
      </c>
      <c r="E442" s="64">
        <f>IFERROR(VLOOKUP(B442,'ACDOCA - Paste Data'!B:G,6,FALSE),0)</f>
        <v>0</v>
      </c>
      <c r="F442" s="64">
        <f t="shared" si="722"/>
        <v>0</v>
      </c>
      <c r="G442" s="64">
        <f>IFERROR(VLOOKUP(B442,'ACDOCA - Paste Data'!B:H,7,FALSE),0)</f>
        <v>0</v>
      </c>
      <c r="H442" s="64">
        <f t="shared" ref="H442:H445" si="729">G442+M442</f>
        <v>0</v>
      </c>
      <c r="I442" s="64">
        <f t="shared" si="723"/>
        <v>0</v>
      </c>
      <c r="J442" s="65">
        <f t="shared" ref="J442" si="730">IFERROR(I442/F442,0)</f>
        <v>0</v>
      </c>
      <c r="K442" s="198"/>
      <c r="L442" s="16"/>
      <c r="M442" s="18"/>
      <c r="N442" s="16"/>
      <c r="O442" s="16"/>
      <c r="P442" s="189" t="str">
        <f>IFERROR(VLOOKUP(B442,'JTD Paste Data'!A:B,2,FALSE),"0")</f>
        <v>0</v>
      </c>
      <c r="Q442" s="189">
        <f t="shared" si="725"/>
        <v>0</v>
      </c>
      <c r="R442" s="189" t="str">
        <f>IFERROR(VLOOKUP(B442,'JTD Paste Data'!A:C,3,FALSE),"0")</f>
        <v>0</v>
      </c>
      <c r="S442" s="189">
        <f t="shared" si="726"/>
        <v>0</v>
      </c>
      <c r="T442" s="189">
        <f t="shared" si="727"/>
        <v>0</v>
      </c>
      <c r="U442" s="193">
        <f t="shared" si="728"/>
        <v>0</v>
      </c>
    </row>
    <row r="443" spans="1:21" x14ac:dyDescent="0.25">
      <c r="A443" s="54" t="s">
        <v>2989</v>
      </c>
      <c r="B443" s="54">
        <v>22862</v>
      </c>
      <c r="C443" s="120" t="s">
        <v>2715</v>
      </c>
      <c r="D443" s="225" t="str">
        <f>IFERROR(VLOOKUP(B443,'MTD Hours Paste Data'!A:C,3,FALSE),"")</f>
        <v/>
      </c>
      <c r="E443" s="64">
        <f>IFERROR(VLOOKUP(B443,'ACDOCA - Paste Data'!B:G,6,FALSE),0)</f>
        <v>0</v>
      </c>
      <c r="F443" s="64">
        <f t="shared" ref="F443" si="731">E443 +L443</f>
        <v>0</v>
      </c>
      <c r="G443" s="64">
        <f>IFERROR(VLOOKUP(B443,'ACDOCA - Paste Data'!B:H,7,FALSE),0)</f>
        <v>6189.9</v>
      </c>
      <c r="H443" s="64">
        <f t="shared" ref="H443" si="732">G443+M443</f>
        <v>6189.9</v>
      </c>
      <c r="I443" s="64">
        <f t="shared" ref="I443" si="733">F443-H443</f>
        <v>-6189.9</v>
      </c>
      <c r="J443" s="65">
        <f t="shared" ref="J443" si="734">IFERROR(I443/F443,0)</f>
        <v>0</v>
      </c>
      <c r="K443" s="198"/>
      <c r="L443" s="16"/>
      <c r="M443" s="18"/>
      <c r="N443" s="16"/>
      <c r="O443" s="16"/>
      <c r="P443" s="189">
        <f>IFERROR(VLOOKUP(B443,'JTD Paste Data'!A:B,2,FALSE),"0")</f>
        <v>0</v>
      </c>
      <c r="Q443" s="189">
        <f t="shared" ref="Q443" si="735">SUM(P443+L443)</f>
        <v>0</v>
      </c>
      <c r="R443" s="189">
        <f>IFERROR(VLOOKUP(B443,'JTD Paste Data'!A:C,3,FALSE),"0")</f>
        <v>6189.9</v>
      </c>
      <c r="S443" s="189">
        <f t="shared" ref="S443" si="736">SUM(R443+M443)</f>
        <v>6189.9</v>
      </c>
      <c r="T443" s="189">
        <f t="shared" ref="T443" si="737">SUM(Q443-S443)</f>
        <v>-6189.9</v>
      </c>
      <c r="U443" s="193">
        <f t="shared" ref="U443" si="738">IFERROR(T443/Q443,0)</f>
        <v>0</v>
      </c>
    </row>
    <row r="444" spans="1:21" x14ac:dyDescent="0.25">
      <c r="A444" s="54" t="str">
        <f>VLOOKUP(B444,'SAP Contracts'!A:J,10,FALSE)</f>
        <v>IC-VCI-VZ-Close-Out for 1F LA North</v>
      </c>
      <c r="B444" s="54">
        <f>VLOOKUP(C444,'Active North Sky Projects'!C:D,2,FALSE)</f>
        <v>21571</v>
      </c>
      <c r="C444" s="120" t="s">
        <v>477</v>
      </c>
      <c r="D444" s="225">
        <f>IFERROR(VLOOKUP(B444,'MTD Hours Paste Data'!A:C,3,FALSE),"")</f>
        <v>40</v>
      </c>
      <c r="E444" s="64">
        <f>IFERROR(VLOOKUP(B444,'ACDOCA - Paste Data'!B:G,6,FALSE),0)</f>
        <v>0</v>
      </c>
      <c r="F444" s="64">
        <f t="shared" si="722"/>
        <v>0</v>
      </c>
      <c r="G444" s="64">
        <f>IFERROR(VLOOKUP(B444,'ACDOCA - Paste Data'!B:H,7,FALSE),0)</f>
        <v>9721.1200000000008</v>
      </c>
      <c r="H444" s="64">
        <f>G444+M444</f>
        <v>9721.1200000000008</v>
      </c>
      <c r="I444" s="64">
        <f t="shared" si="723"/>
        <v>-9721.1200000000008</v>
      </c>
      <c r="J444" s="65">
        <f t="shared" si="724"/>
        <v>0</v>
      </c>
      <c r="K444" s="198"/>
      <c r="L444" s="16"/>
      <c r="M444" s="18"/>
      <c r="N444" s="16"/>
      <c r="O444" s="16"/>
      <c r="P444" s="189">
        <f>IFERROR(VLOOKUP(B444,'JTD Paste Data'!A:B,2,FALSE),"0")</f>
        <v>0</v>
      </c>
      <c r="Q444" s="189">
        <f t="shared" si="725"/>
        <v>0</v>
      </c>
      <c r="R444" s="189">
        <f>IFERROR(VLOOKUP(B444,'JTD Paste Data'!A:C,3,FALSE),"0")</f>
        <v>-84553.66</v>
      </c>
      <c r="S444" s="189">
        <f t="shared" si="726"/>
        <v>-84553.66</v>
      </c>
      <c r="T444" s="189">
        <f t="shared" si="727"/>
        <v>84553.66</v>
      </c>
      <c r="U444" s="193">
        <f t="shared" si="728"/>
        <v>0</v>
      </c>
    </row>
    <row r="445" spans="1:21" x14ac:dyDescent="0.25">
      <c r="A445" s="54" t="str">
        <f>VLOOKUP(B445,'SAP Contracts'!A:J,10,FALSE)</f>
        <v>IC-PAU-VZ-Close-Out for 1F Phoenix</v>
      </c>
      <c r="B445" s="54">
        <v>21128</v>
      </c>
      <c r="C445" s="120" t="s">
        <v>476</v>
      </c>
      <c r="D445" s="225">
        <f>IFERROR(VLOOKUP(B445,'MTD Hours Paste Data'!A:C,3,FALSE),"")</f>
        <v>0</v>
      </c>
      <c r="E445" s="64">
        <f>IFERROR(VLOOKUP(B445,'ACDOCA - Paste Data'!B:G,6,FALSE),0)</f>
        <v>0</v>
      </c>
      <c r="F445" s="64">
        <f t="shared" si="722"/>
        <v>0</v>
      </c>
      <c r="G445" s="64">
        <f>IFERROR(VLOOKUP(B445,'ACDOCA - Paste Data'!B:H,7,FALSE),0)</f>
        <v>0</v>
      </c>
      <c r="H445" s="64">
        <f t="shared" si="729"/>
        <v>0</v>
      </c>
      <c r="I445" s="64">
        <f t="shared" si="723"/>
        <v>0</v>
      </c>
      <c r="J445" s="65">
        <f t="shared" si="724"/>
        <v>0</v>
      </c>
      <c r="K445" s="198"/>
      <c r="L445" s="16"/>
      <c r="M445" s="18"/>
      <c r="N445" s="16"/>
      <c r="O445" s="16"/>
      <c r="P445" s="189">
        <f>IFERROR(VLOOKUP(B445,'JTD Paste Data'!A:B,2,FALSE),"0")</f>
        <v>0</v>
      </c>
      <c r="Q445" s="189">
        <f t="shared" si="725"/>
        <v>0</v>
      </c>
      <c r="R445" s="189">
        <f>IFERROR(VLOOKUP(B445,'JTD Paste Data'!A:C,3,FALSE),"0")</f>
        <v>-1898.8300000000008</v>
      </c>
      <c r="S445" s="189">
        <f t="shared" si="726"/>
        <v>-1898.8300000000008</v>
      </c>
      <c r="T445" s="189">
        <f t="shared" si="727"/>
        <v>1898.8300000000008</v>
      </c>
      <c r="U445" s="193">
        <f t="shared" si="728"/>
        <v>0</v>
      </c>
    </row>
    <row r="446" spans="1:21" ht="15.75" thickBot="1" x14ac:dyDescent="0.3">
      <c r="A446" s="75" t="s">
        <v>563</v>
      </c>
      <c r="B446" s="68" t="s">
        <v>562</v>
      </c>
      <c r="C446" s="68" t="s">
        <v>562</v>
      </c>
      <c r="D446" s="226"/>
      <c r="E446" s="68">
        <f>SUM(E441:E445)</f>
        <v>0</v>
      </c>
      <c r="F446" s="68">
        <f>SUM(F441:F445)</f>
        <v>0</v>
      </c>
      <c r="G446" s="68">
        <f>SUM(G441:G445)</f>
        <v>20472.080000000002</v>
      </c>
      <c r="H446" s="68">
        <f>SUM(H441:H445)</f>
        <v>20472.080000000002</v>
      </c>
      <c r="I446" s="68">
        <f>F446-H446</f>
        <v>-20472.080000000002</v>
      </c>
      <c r="J446" s="69"/>
      <c r="K446" s="199"/>
      <c r="L446" s="68">
        <f>SUM(L441:L445)</f>
        <v>0</v>
      </c>
      <c r="M446" s="68">
        <f>SUM(M441:M445)</f>
        <v>0</v>
      </c>
      <c r="N446" s="68"/>
      <c r="O446" s="68"/>
      <c r="P446" s="68"/>
      <c r="Q446" s="68"/>
      <c r="R446" s="68"/>
      <c r="S446" s="68"/>
      <c r="T446" s="68"/>
      <c r="U446" s="68"/>
    </row>
    <row r="447" spans="1:21" ht="15.75" x14ac:dyDescent="0.25">
      <c r="A447" s="70" t="s">
        <v>13</v>
      </c>
      <c r="B447" s="71"/>
      <c r="C447" s="71"/>
      <c r="D447" s="244"/>
      <c r="E447" s="71">
        <f>E109+E165+E202+E265+E366+E436</f>
        <v>10834659.399999999</v>
      </c>
      <c r="F447" s="71">
        <f>F109+F165+F202+F265+F366+F436+F446</f>
        <v>10834659.399999999</v>
      </c>
      <c r="G447" s="71">
        <f>G109+G165+G202+G265+G366+G436+G446</f>
        <v>9485375.879999999</v>
      </c>
      <c r="H447" s="71">
        <f>H109+H165+H202+H265+H366+H436+H446</f>
        <v>9485375.879999999</v>
      </c>
      <c r="I447" s="71">
        <f>I109+I165+I202+I265+I366+I436+I446</f>
        <v>1349283.52</v>
      </c>
      <c r="J447" s="72">
        <f>I447/F447</f>
        <v>0.12453400427151408</v>
      </c>
      <c r="K447" s="211">
        <f>K109+K165+K202+K265+K366+K436</f>
        <v>89697658.579999998</v>
      </c>
      <c r="L447" s="71">
        <f>L434+L410+L387+L345+L336+L200+L107+L257+L224+L211+L163+L126</f>
        <v>0</v>
      </c>
      <c r="M447" s="71">
        <f>M434+M410+M387+M345+M336+M200+M107+M257+M224+M211+M163+M126+M446</f>
        <v>0</v>
      </c>
      <c r="N447" s="71"/>
      <c r="O447" s="71"/>
      <c r="P447" s="71"/>
      <c r="Q447" s="71"/>
      <c r="R447" s="71"/>
      <c r="S447" s="71"/>
      <c r="T447" s="71"/>
      <c r="U447" s="71"/>
    </row>
    <row r="448" spans="1:21" ht="15" x14ac:dyDescent="0.25">
      <c r="A448" s="17" t="s">
        <v>2980</v>
      </c>
      <c r="B448" s="16"/>
      <c r="C448" s="16"/>
      <c r="D448" s="229"/>
      <c r="E448" s="18"/>
      <c r="F448" s="80">
        <v>18900000</v>
      </c>
      <c r="G448" s="81"/>
      <c r="H448" s="81"/>
      <c r="I448" s="80">
        <v>2516480</v>
      </c>
      <c r="J448" s="28">
        <f>IFERROR(I448/F448,0)</f>
        <v>0.13314708994708996</v>
      </c>
      <c r="K448" s="202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 spans="1:21" ht="14.25" x14ac:dyDescent="0.25">
      <c r="A449" s="125" t="s">
        <v>4759</v>
      </c>
      <c r="B449" s="16"/>
      <c r="C449" s="16"/>
      <c r="D449" s="229"/>
      <c r="E449" s="18"/>
      <c r="F449" s="31">
        <f>IFERROR(F447/F448,0)</f>
        <v>0.573262402116402</v>
      </c>
      <c r="G449" s="16"/>
      <c r="H449" s="16"/>
      <c r="I449" s="31">
        <f>IFERROR(I447/I448,0)</f>
        <v>0.53617891658189221</v>
      </c>
      <c r="J449" s="16"/>
      <c r="K449" s="203"/>
      <c r="L449" s="18"/>
      <c r="M449" s="16"/>
      <c r="N449" s="16"/>
      <c r="O449" s="16"/>
      <c r="P449" s="16"/>
      <c r="Q449" s="16"/>
      <c r="R449" s="16"/>
      <c r="S449" s="16"/>
      <c r="T449" s="16"/>
      <c r="U449" s="16"/>
    </row>
    <row r="450" spans="1:21" ht="14.25" x14ac:dyDescent="0.25">
      <c r="A450" s="125"/>
      <c r="B450" s="16"/>
      <c r="C450" s="16"/>
      <c r="D450" s="229"/>
      <c r="E450" s="18"/>
      <c r="F450" s="31"/>
      <c r="G450" s="16"/>
      <c r="H450" s="16"/>
      <c r="I450" s="31"/>
      <c r="J450" s="16"/>
      <c r="K450" s="203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spans="1:21" ht="15" x14ac:dyDescent="0.25">
      <c r="A451" s="170" t="s">
        <v>2702</v>
      </c>
      <c r="B451" s="16"/>
      <c r="C451" s="16"/>
      <c r="D451" s="229"/>
      <c r="E451" s="18"/>
      <c r="F451" s="31"/>
      <c r="G451" s="16"/>
      <c r="H451" s="16"/>
      <c r="I451" s="31"/>
      <c r="J451" s="16"/>
      <c r="K451" s="203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 spans="1:21" ht="14.25" x14ac:dyDescent="0.2">
      <c r="A452" s="250" t="s">
        <v>2985</v>
      </c>
      <c r="B452" s="16"/>
      <c r="C452" s="16"/>
      <c r="D452" s="229"/>
      <c r="E452" s="18"/>
      <c r="F452" s="31"/>
      <c r="G452" s="64">
        <v>50002</v>
      </c>
      <c r="H452" s="64">
        <f>G452+M452</f>
        <v>50002</v>
      </c>
      <c r="I452" s="64">
        <f>-H452+N452</f>
        <v>-50002</v>
      </c>
      <c r="J452" s="16"/>
      <c r="K452" s="203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spans="1:21" ht="14.25" x14ac:dyDescent="0.2">
      <c r="A453" s="250" t="s">
        <v>2986</v>
      </c>
      <c r="B453" s="16"/>
      <c r="C453" s="16"/>
      <c r="D453" s="229"/>
      <c r="E453" s="18"/>
      <c r="F453" s="31"/>
      <c r="G453" s="64">
        <f>E455*0.005</f>
        <v>58867.457449999994</v>
      </c>
      <c r="H453" s="64">
        <f>G453+M453</f>
        <v>58867.457449999994</v>
      </c>
      <c r="I453" s="251">
        <f>F453-G453</f>
        <v>-58867.457449999994</v>
      </c>
      <c r="J453" s="16"/>
      <c r="K453" s="203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 spans="1:21" ht="14.25" x14ac:dyDescent="0.25">
      <c r="A454" s="125"/>
      <c r="B454" s="16"/>
      <c r="C454" s="16"/>
      <c r="D454" s="229"/>
      <c r="E454" s="18"/>
      <c r="F454" s="31"/>
      <c r="G454" s="16"/>
      <c r="H454" s="16"/>
      <c r="I454" s="31"/>
      <c r="J454" s="16"/>
      <c r="K454" s="203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 spans="1:21" ht="15.75" x14ac:dyDescent="0.25">
      <c r="A455" s="70" t="s">
        <v>1171</v>
      </c>
      <c r="B455" s="71"/>
      <c r="C455" s="71"/>
      <c r="D455" s="244"/>
      <c r="E455" s="71">
        <f>E447+E85</f>
        <v>11773491.489999998</v>
      </c>
      <c r="F455" s="71">
        <f>F447+F85</f>
        <v>11773491.489999998</v>
      </c>
      <c r="G455" s="71">
        <f>G447+G85+G452</f>
        <v>10329747.629999999</v>
      </c>
      <c r="H455" s="71">
        <f>H447+H85+H452+G453</f>
        <v>10388615.08745</v>
      </c>
      <c r="I455" s="71">
        <f>I447+I85+I452+I453</f>
        <v>1384876.40255</v>
      </c>
      <c r="J455" s="72">
        <f>I455/F455</f>
        <v>0.11762665337858924</v>
      </c>
      <c r="K455" s="211">
        <f>K447+K85</f>
        <v>94647108.609999999</v>
      </c>
      <c r="L455" s="71">
        <f>SUM(L447,L85)</f>
        <v>0</v>
      </c>
      <c r="M455" s="71">
        <f>SUM(M447,M85)</f>
        <v>0</v>
      </c>
      <c r="N455" s="71"/>
      <c r="O455" s="71"/>
      <c r="P455" s="71"/>
      <c r="Q455" s="71"/>
      <c r="R455" s="71"/>
      <c r="S455" s="71"/>
      <c r="T455" s="71"/>
      <c r="U455" s="71"/>
    </row>
    <row r="456" spans="1:21" ht="15.75" x14ac:dyDescent="0.25">
      <c r="A456" s="17" t="s">
        <v>2981</v>
      </c>
      <c r="B456" s="16"/>
      <c r="C456" s="16"/>
      <c r="D456" s="229"/>
      <c r="E456" s="18"/>
      <c r="F456" s="80">
        <v>25200000</v>
      </c>
      <c r="G456" s="81"/>
      <c r="H456" s="81"/>
      <c r="I456" s="80">
        <v>3688500</v>
      </c>
      <c r="J456" s="28">
        <f>IFERROR(I456/F456,0)</f>
        <v>0.14636904761904762</v>
      </c>
      <c r="K456" s="202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</row>
    <row r="457" spans="1:21" ht="15.75" x14ac:dyDescent="0.25">
      <c r="A457" s="125" t="s">
        <v>4759</v>
      </c>
      <c r="B457" s="16"/>
      <c r="C457" s="16"/>
      <c r="D457" s="229"/>
      <c r="E457" s="18"/>
      <c r="F457" s="31">
        <f>IFERROR(F455/F456,0)</f>
        <v>0.46720204325396819</v>
      </c>
      <c r="G457" s="16"/>
      <c r="H457" s="16"/>
      <c r="I457" s="31">
        <f>IFERROR(I455/I456,0)</f>
        <v>0.37545788329944424</v>
      </c>
      <c r="J457" s="16"/>
      <c r="K457" s="203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</row>
    <row r="458" spans="1:21" ht="15.75" x14ac:dyDescent="0.25">
      <c r="A458" s="125"/>
      <c r="B458" s="16"/>
      <c r="C458" s="16"/>
      <c r="D458" s="229"/>
      <c r="E458" s="18"/>
      <c r="F458" s="31"/>
      <c r="G458" s="16"/>
      <c r="H458" s="16"/>
      <c r="I458" s="31"/>
      <c r="J458" s="16"/>
      <c r="K458" s="203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</row>
    <row r="459" spans="1:21" ht="15.75" x14ac:dyDescent="0.25">
      <c r="A459" s="171" t="s">
        <v>1172</v>
      </c>
      <c r="B459" s="16"/>
      <c r="C459" s="16"/>
      <c r="D459" s="229"/>
      <c r="E459" s="18"/>
      <c r="F459" s="31"/>
      <c r="G459" s="16"/>
      <c r="H459" s="16"/>
      <c r="I459" s="31"/>
      <c r="J459" s="16"/>
      <c r="K459" s="203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</row>
    <row r="460" spans="1:21" ht="15.75" x14ac:dyDescent="0.25">
      <c r="A460" s="81" t="s">
        <v>2703</v>
      </c>
      <c r="B460" s="16"/>
      <c r="C460" s="16"/>
      <c r="D460" s="229"/>
      <c r="E460" s="18"/>
      <c r="F460" s="31"/>
      <c r="G460" s="64">
        <v>346211</v>
      </c>
      <c r="H460" s="64">
        <f>G460+M460</f>
        <v>346211</v>
      </c>
      <c r="I460" s="64">
        <f t="shared" ref="I460:I461" si="739">F460-H460</f>
        <v>-346211</v>
      </c>
      <c r="J460" s="64"/>
      <c r="K460" s="212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</row>
    <row r="461" spans="1:21" ht="14.25" x14ac:dyDescent="0.25">
      <c r="A461" s="81" t="s">
        <v>1173</v>
      </c>
      <c r="B461" s="16"/>
      <c r="C461" s="16"/>
      <c r="D461" s="229"/>
      <c r="E461" s="18"/>
      <c r="F461" s="31"/>
      <c r="G461" s="172">
        <f>E455*0.015</f>
        <v>176602.37234999996</v>
      </c>
      <c r="H461" s="64">
        <f t="shared" ref="H461" si="740">G461+M461</f>
        <v>176602.37234999996</v>
      </c>
      <c r="I461" s="64">
        <f t="shared" si="739"/>
        <v>-176602.37234999996</v>
      </c>
      <c r="J461" s="172"/>
      <c r="K461" s="212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spans="1:21" ht="15" x14ac:dyDescent="0.25">
      <c r="A462" s="133" t="s">
        <v>2704</v>
      </c>
      <c r="B462" s="76"/>
      <c r="C462" s="76"/>
      <c r="D462" s="237"/>
      <c r="E462" s="76"/>
      <c r="F462" s="76"/>
      <c r="G462" s="76">
        <f>SUM(G460:G461)</f>
        <v>522813.37234999996</v>
      </c>
      <c r="H462" s="137">
        <f>SUM(H460:H461)</f>
        <v>522813.37234999996</v>
      </c>
      <c r="I462" s="137">
        <f>SUM(I460:I461)</f>
        <v>-522813.37234999996</v>
      </c>
      <c r="J462" s="169">
        <f>I462/E455</f>
        <v>-4.4405975304272295E-2</v>
      </c>
      <c r="K462" s="78"/>
      <c r="L462" s="76"/>
      <c r="M462" s="76"/>
      <c r="N462" s="76"/>
      <c r="O462" s="76"/>
      <c r="P462" s="76"/>
      <c r="Q462" s="76"/>
      <c r="R462" s="76"/>
      <c r="S462" s="76"/>
      <c r="T462" s="76"/>
      <c r="U462" s="76"/>
    </row>
    <row r="463" spans="1:21" ht="15" x14ac:dyDescent="0.25">
      <c r="A463" s="133"/>
      <c r="B463" s="76"/>
      <c r="C463" s="76"/>
      <c r="D463" s="237"/>
      <c r="E463" s="76"/>
      <c r="F463" s="76"/>
      <c r="G463" s="76"/>
      <c r="H463" s="76"/>
      <c r="I463" s="76"/>
      <c r="J463" s="169"/>
      <c r="K463" s="78"/>
      <c r="L463" s="76"/>
      <c r="M463" s="76"/>
      <c r="N463" s="76"/>
      <c r="O463" s="76"/>
      <c r="P463" s="76"/>
      <c r="Q463" s="76"/>
      <c r="R463" s="76"/>
      <c r="S463" s="76"/>
      <c r="T463" s="76"/>
      <c r="U463" s="76"/>
    </row>
    <row r="464" spans="1:21" ht="15.75" x14ac:dyDescent="0.25">
      <c r="A464" s="124" t="s">
        <v>1174</v>
      </c>
      <c r="B464" s="139"/>
      <c r="C464" s="139"/>
      <c r="D464" s="228"/>
      <c r="E464" s="139">
        <f>E455</f>
        <v>11773491.489999998</v>
      </c>
      <c r="F464" s="139">
        <f>F455</f>
        <v>11773491.489999998</v>
      </c>
      <c r="G464" s="139">
        <f>G455+G462</f>
        <v>10852561.002349999</v>
      </c>
      <c r="H464" s="139">
        <f>H455+H462</f>
        <v>10911428.459799999</v>
      </c>
      <c r="I464" s="139">
        <f>I455+I462</f>
        <v>862063.03020000004</v>
      </c>
      <c r="J464" s="140">
        <f>I464/F464</f>
        <v>7.3220678074316953E-2</v>
      </c>
      <c r="K464" s="201">
        <f>K455</f>
        <v>94647108.609999999</v>
      </c>
      <c r="L464" s="71">
        <f>SUM(L455)</f>
        <v>0</v>
      </c>
      <c r="M464" s="71">
        <f>SUM(M455)</f>
        <v>0</v>
      </c>
      <c r="N464" s="139"/>
      <c r="O464" s="139"/>
      <c r="P464" s="139"/>
      <c r="Q464" s="139"/>
      <c r="R464" s="139"/>
      <c r="S464" s="139"/>
      <c r="T464" s="139"/>
      <c r="U464" s="139"/>
    </row>
    <row r="465" spans="1:21" ht="15" x14ac:dyDescent="0.25">
      <c r="A465" s="17" t="s">
        <v>2982</v>
      </c>
      <c r="B465" s="16"/>
      <c r="C465" s="16"/>
      <c r="D465" s="229"/>
      <c r="E465" s="18"/>
      <c r="F465" s="80">
        <v>25200000</v>
      </c>
      <c r="G465" s="81" t="s">
        <v>2770</v>
      </c>
      <c r="H465" s="81"/>
      <c r="I465" s="80">
        <v>2428500</v>
      </c>
      <c r="J465" s="28">
        <f>IFERROR(I465/F465,0)</f>
        <v>9.6369047619047618E-2</v>
      </c>
      <c r="K465" s="202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 spans="1:21" ht="14.25" x14ac:dyDescent="0.25">
      <c r="A466" s="125" t="s">
        <v>4759</v>
      </c>
      <c r="B466" s="16"/>
      <c r="C466" s="16"/>
      <c r="D466" s="229"/>
      <c r="E466" s="18"/>
      <c r="F466" s="31">
        <f>IFERROR(F464/F465,0)</f>
        <v>0.46720204325396819</v>
      </c>
      <c r="G466" s="16"/>
      <c r="H466" s="16"/>
      <c r="I466" s="31">
        <f>IFERROR(I464/I465,0)</f>
        <v>0.35497757059913526</v>
      </c>
      <c r="J466" s="16"/>
      <c r="K466" s="203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 spans="1:21" ht="14.25" x14ac:dyDescent="0.25">
      <c r="A467" s="125"/>
      <c r="B467" s="16"/>
      <c r="C467" s="16"/>
      <c r="D467" s="229"/>
      <c r="E467" s="18"/>
      <c r="F467" s="31"/>
      <c r="G467" s="16"/>
      <c r="H467" s="16"/>
      <c r="I467" s="31"/>
      <c r="J467" s="16"/>
      <c r="K467" s="203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 spans="1:21" ht="15.75" x14ac:dyDescent="0.25">
      <c r="A468" s="171"/>
      <c r="B468" s="16"/>
      <c r="C468" s="16"/>
      <c r="D468" s="229"/>
      <c r="E468" s="18"/>
      <c r="F468" s="31"/>
      <c r="G468" s="16"/>
      <c r="H468" s="16"/>
      <c r="I468" s="31"/>
      <c r="J468" s="16"/>
      <c r="K468" s="203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 spans="1:21" ht="14.25" x14ac:dyDescent="0.25">
      <c r="A469" s="81"/>
      <c r="F469" s="73"/>
      <c r="H469" s="73"/>
      <c r="I469" s="73"/>
      <c r="J469" s="82"/>
      <c r="K469" s="213"/>
      <c r="N469" s="66"/>
      <c r="O469" s="66"/>
      <c r="P469" s="66"/>
      <c r="Q469" s="66"/>
      <c r="R469" s="66"/>
      <c r="S469" s="66"/>
      <c r="T469" s="66"/>
      <c r="U469" s="66"/>
    </row>
    <row r="470" spans="1:21" ht="12.75" customHeight="1" outlineLevel="1" x14ac:dyDescent="0.25">
      <c r="A470" s="81"/>
      <c r="E470" s="55" t="s">
        <v>525</v>
      </c>
      <c r="F470" s="55">
        <f>F86+F110+F166+F203+F266+F367+F437</f>
        <v>25182000</v>
      </c>
      <c r="I470" s="55">
        <f>I86+I110+I166+I203+I266+I367+I437</f>
        <v>3748300</v>
      </c>
    </row>
    <row r="471" spans="1:21" ht="12.75" customHeight="1" x14ac:dyDescent="0.25">
      <c r="A471" s="133"/>
    </row>
    <row r="477" spans="1:21" ht="12.75" customHeight="1" x14ac:dyDescent="0.25">
      <c r="M477" s="64">
        <f t="shared" ref="M477" si="741">J477-L477</f>
        <v>0</v>
      </c>
    </row>
    <row r="483" spans="6:14" ht="12.75" customHeight="1" x14ac:dyDescent="0.25">
      <c r="N483" s="245"/>
    </row>
    <row r="486" spans="6:14" ht="12.75" customHeight="1" thickBot="1" x14ac:dyDescent="0.3">
      <c r="F486" s="83" t="s">
        <v>638</v>
      </c>
      <c r="G486" s="83"/>
      <c r="H486" s="83" t="s">
        <v>639</v>
      </c>
      <c r="I486" s="83" t="s">
        <v>640</v>
      </c>
      <c r="J486" s="84"/>
      <c r="K486" s="214" t="s">
        <v>2994</v>
      </c>
      <c r="N486" s="66"/>
    </row>
    <row r="487" spans="6:14" ht="12.75" customHeight="1" thickBot="1" x14ac:dyDescent="0.3">
      <c r="F487" s="43">
        <v>11773491</v>
      </c>
      <c r="G487" s="85"/>
      <c r="H487" s="43">
        <v>10675958</v>
      </c>
      <c r="I487" s="44">
        <v>1097533</v>
      </c>
      <c r="K487" s="215">
        <v>94647109</v>
      </c>
      <c r="N487" s="245"/>
    </row>
    <row r="488" spans="6:14" ht="12.75" customHeight="1" thickBot="1" x14ac:dyDescent="0.3">
      <c r="F488" s="43">
        <f>SUM(F464-F487)</f>
        <v>0.48999999836087227</v>
      </c>
      <c r="G488" s="85"/>
      <c r="H488" s="43">
        <f>SUM(H464-H487)</f>
        <v>235470.45979999937</v>
      </c>
      <c r="I488" s="43">
        <f>SUM(I464-I487)</f>
        <v>-235469.96979999996</v>
      </c>
      <c r="K488" s="216">
        <f>SUM(K464-K487)</f>
        <v>-0.39000000059604645</v>
      </c>
    </row>
    <row r="489" spans="6:14" ht="12.75" customHeight="1" thickBot="1" x14ac:dyDescent="0.3">
      <c r="F489" s="45">
        <f>$L$464</f>
        <v>0</v>
      </c>
      <c r="G489" s="85"/>
      <c r="H489" s="45">
        <f>$M$464</f>
        <v>0</v>
      </c>
      <c r="I489" s="45">
        <f>$L$464</f>
        <v>0</v>
      </c>
      <c r="K489" s="217">
        <f>$L$464</f>
        <v>0</v>
      </c>
    </row>
    <row r="490" spans="6:14" ht="12.75" customHeight="1" thickBot="1" x14ac:dyDescent="0.3">
      <c r="F490" s="46"/>
      <c r="G490" s="85"/>
      <c r="H490" s="46"/>
      <c r="I490" s="46"/>
      <c r="K490" s="218"/>
    </row>
    <row r="491" spans="6:14" ht="12.75" customHeight="1" thickBot="1" x14ac:dyDescent="0.3">
      <c r="F491" s="43">
        <f>(F488)-SUM(F489:F490)</f>
        <v>0.48999999836087227</v>
      </c>
      <c r="G491" s="85"/>
      <c r="H491" s="43">
        <f>(H488)-SUM(H489:H490)</f>
        <v>235470.45979999937</v>
      </c>
      <c r="I491" s="43">
        <f>(I488)-SUM(I489:I490)</f>
        <v>-235469.96979999996</v>
      </c>
      <c r="K491" s="216">
        <f>(K488)-SUM(K489:K490)</f>
        <v>-0.39000000059604645</v>
      </c>
    </row>
  </sheetData>
  <sortState xmlns:xlrd2="http://schemas.microsoft.com/office/spreadsheetml/2017/richdata2" ref="A389:L408">
    <sortCondition ref="A389:A408"/>
  </sortState>
  <phoneticPr fontId="10" type="noConversion"/>
  <conditionalFormatting sqref="A38">
    <cfRule type="duplicateValues" dxfId="55" priority="186"/>
  </conditionalFormatting>
  <conditionalFormatting sqref="A46">
    <cfRule type="duplicateValues" dxfId="54" priority="185"/>
  </conditionalFormatting>
  <conditionalFormatting sqref="A91">
    <cfRule type="duplicateValues" dxfId="53" priority="183"/>
  </conditionalFormatting>
  <conditionalFormatting sqref="A99">
    <cfRule type="duplicateValues" dxfId="52" priority="182"/>
  </conditionalFormatting>
  <conditionalFormatting sqref="A114">
    <cfRule type="duplicateValues" dxfId="51" priority="180"/>
  </conditionalFormatting>
  <conditionalFormatting sqref="A127">
    <cfRule type="duplicateValues" dxfId="50" priority="179"/>
  </conditionalFormatting>
  <conditionalFormatting sqref="A128">
    <cfRule type="duplicateValues" dxfId="49" priority="178"/>
  </conditionalFormatting>
  <conditionalFormatting sqref="A144">
    <cfRule type="duplicateValues" dxfId="48" priority="177"/>
  </conditionalFormatting>
  <conditionalFormatting sqref="A207">
    <cfRule type="duplicateValues" dxfId="47" priority="176"/>
  </conditionalFormatting>
  <conditionalFormatting sqref="A212">
    <cfRule type="duplicateValues" dxfId="46" priority="175"/>
  </conditionalFormatting>
  <conditionalFormatting sqref="A225">
    <cfRule type="duplicateValues" dxfId="45" priority="174"/>
  </conditionalFormatting>
  <conditionalFormatting sqref="A257:A264 A270:B270 E270 G270 A338:B339 E338:E339 G338:G339 A341:B344 E341:E344 G341:G344 A364">
    <cfRule type="cellIs" dxfId="44" priority="164" operator="equal">
      <formula>"NOT FOUND"</formula>
    </cfRule>
  </conditionalFormatting>
  <conditionalFormatting sqref="A259">
    <cfRule type="duplicateValues" dxfId="43" priority="169"/>
  </conditionalFormatting>
  <conditionalFormatting sqref="A269">
    <cfRule type="cellIs" dxfId="42" priority="1112" operator="equal">
      <formula>"NOT FOUND"</formula>
    </cfRule>
    <cfRule type="duplicateValues" dxfId="41" priority="1111"/>
  </conditionalFormatting>
  <conditionalFormatting sqref="A271:A272">
    <cfRule type="duplicateValues" dxfId="40" priority="172"/>
  </conditionalFormatting>
  <conditionalFormatting sqref="A337">
    <cfRule type="duplicateValues" dxfId="39" priority="166"/>
  </conditionalFormatting>
  <conditionalFormatting sqref="A346">
    <cfRule type="duplicateValues" dxfId="38" priority="165"/>
  </conditionalFormatting>
  <conditionalFormatting sqref="A370">
    <cfRule type="duplicateValues" dxfId="37" priority="163"/>
  </conditionalFormatting>
  <conditionalFormatting sqref="A371">
    <cfRule type="duplicateValues" dxfId="36" priority="162"/>
  </conditionalFormatting>
  <conditionalFormatting sqref="A387">
    <cfRule type="cellIs" dxfId="35" priority="161" operator="equal">
      <formula>"NOT FOUND"</formula>
    </cfRule>
  </conditionalFormatting>
  <conditionalFormatting sqref="A388">
    <cfRule type="duplicateValues" dxfId="34" priority="160"/>
  </conditionalFormatting>
  <conditionalFormatting sqref="A410">
    <cfRule type="cellIs" dxfId="33" priority="159" operator="equal">
      <formula>"NOT FOUND"</formula>
    </cfRule>
  </conditionalFormatting>
  <conditionalFormatting sqref="A434">
    <cfRule type="cellIs" dxfId="32" priority="158" operator="equal">
      <formula>"NOT FOUND"</formula>
    </cfRule>
  </conditionalFormatting>
  <conditionalFormatting sqref="A441:A447">
    <cfRule type="cellIs" dxfId="31" priority="150" operator="equal">
      <formula>"NOT FOUND"</formula>
    </cfRule>
  </conditionalFormatting>
  <conditionalFormatting sqref="A455">
    <cfRule type="cellIs" dxfId="30" priority="153" operator="equal">
      <formula>"NOT FOUND"</formula>
    </cfRule>
  </conditionalFormatting>
  <conditionalFormatting sqref="A2:B2 A4:B36 E5:E36 G5:G36 L5:M36 A37:A38 A38:B43 E39:E44 G39:G44 L39:M44 B40:B44 A43:A45 A46:B83 E47:E83 G47:G83 L47:M83 A84:A85 A91:B105 E92:E105 G92:G105 L92:M105 A107 A108:B108 A114:B125 E115:E125 G115:G125 L115:M125 A126:A128 A127:B162 E129:E162 G129:G162 L129:M162 A163 A164:B164 A170:B199 E170:E199 G170:G199 L170:M199 A200 A201:B201 A207:B210 E208:E210 G208:G210 L208:M210 A211 A212:B223 E213:E223 G213:G223 L213:M223 A224:A225 A225:B256 L226:M252 E226:E256 G226:G256 L253:L255 L256:M256 A260:B262 E260:E262 G260:G262 L260:M262 L342:M343 L347:M359 A347:B362 L361:M361 A372:B386 B470:B471 A472:B1048576">
    <cfRule type="cellIs" dxfId="29" priority="887" operator="equal">
      <formula>"NOT FOUND"</formula>
    </cfRule>
  </conditionalFormatting>
  <conditionalFormatting sqref="A264:B264 A336">
    <cfRule type="cellIs" dxfId="28" priority="168" operator="equal">
      <formula>"NOT FOUND"</formula>
    </cfRule>
  </conditionalFormatting>
  <conditionalFormatting sqref="A273:B334 L273:M334 E273:E335 A345 A464">
    <cfRule type="cellIs" dxfId="27" priority="167" operator="equal">
      <formula>"NOT FOUND"</formula>
    </cfRule>
  </conditionalFormatting>
  <conditionalFormatting sqref="A389:B409 E389:E409 L390:M392">
    <cfRule type="cellIs" dxfId="26" priority="16" operator="equal">
      <formula>"NOT FOUND"</formula>
    </cfRule>
  </conditionalFormatting>
  <conditionalFormatting sqref="B341:B1048576 B1:B339">
    <cfRule type="duplicateValues" dxfId="25" priority="15"/>
  </conditionalFormatting>
  <conditionalFormatting sqref="B346:B363 B86:B88 B108:B112 B164:B167 B201:B204 B5:B36 B38:B44 B91:B106 B114:B125 B170:B199 B207:B210 B212:B223 B225:B256 B264:B267 B365:B386 B127:B162 B411:B433 B388:B409 B337:B339 B341:B344 B46:B83 B259:B262 B269:B335">
    <cfRule type="duplicateValues" dxfId="24" priority="1110"/>
  </conditionalFormatting>
  <conditionalFormatting sqref="B347:B361">
    <cfRule type="cellIs" dxfId="23" priority="136" operator="equal">
      <formula>"NOT FOUND"</formula>
    </cfRule>
  </conditionalFormatting>
  <conditionalFormatting sqref="B372:B385">
    <cfRule type="cellIs" dxfId="22" priority="135" operator="equal">
      <formula>"NOT FOUND"</formula>
    </cfRule>
  </conditionalFormatting>
  <conditionalFormatting sqref="B389 B393:B408">
    <cfRule type="cellIs" dxfId="21" priority="134" operator="equal">
      <formula>"NOT FOUND"</formula>
    </cfRule>
  </conditionalFormatting>
  <conditionalFormatting sqref="B412:B418 B422:B432">
    <cfRule type="cellIs" dxfId="20" priority="133" operator="equal">
      <formula>"NOT FOUND"</formula>
    </cfRule>
  </conditionalFormatting>
  <conditionalFormatting sqref="B441">
    <cfRule type="duplicateValues" dxfId="19" priority="132"/>
  </conditionalFormatting>
  <conditionalFormatting sqref="B441:B445">
    <cfRule type="cellIs" dxfId="18" priority="121" operator="equal">
      <formula>"NOT FOUND"</formula>
    </cfRule>
  </conditionalFormatting>
  <conditionalFormatting sqref="B442:B443">
    <cfRule type="duplicateValues" dxfId="17" priority="129"/>
  </conditionalFormatting>
  <conditionalFormatting sqref="B444">
    <cfRule type="duplicateValues" dxfId="16" priority="126"/>
  </conditionalFormatting>
  <conditionalFormatting sqref="B445">
    <cfRule type="duplicateValues" dxfId="15" priority="123"/>
  </conditionalFormatting>
  <conditionalFormatting sqref="E347:E363">
    <cfRule type="cellIs" dxfId="14" priority="70" operator="equal">
      <formula>"NOT FOUND"</formula>
    </cfRule>
  </conditionalFormatting>
  <conditionalFormatting sqref="E372:E386">
    <cfRule type="cellIs" dxfId="13" priority="59" operator="equal">
      <formula>"NOT FOUND"</formula>
    </cfRule>
  </conditionalFormatting>
  <conditionalFormatting sqref="E412:E433">
    <cfRule type="cellIs" dxfId="12" priority="18" operator="equal">
      <formula>"NOT FOUND"</formula>
    </cfRule>
  </conditionalFormatting>
  <conditionalFormatting sqref="E441:E445">
    <cfRule type="cellIs" dxfId="11" priority="25" operator="equal">
      <formula>"NOT FOUND"</formula>
    </cfRule>
  </conditionalFormatting>
  <conditionalFormatting sqref="G273:G335">
    <cfRule type="cellIs" dxfId="10" priority="14" operator="equal">
      <formula>"NOT FOUND"</formula>
    </cfRule>
  </conditionalFormatting>
  <conditionalFormatting sqref="G347:G363">
    <cfRule type="cellIs" dxfId="9" priority="8" operator="equal">
      <formula>"NOT FOUND"</formula>
    </cfRule>
  </conditionalFormatting>
  <conditionalFormatting sqref="G372:G386">
    <cfRule type="cellIs" dxfId="8" priority="7" operator="equal">
      <formula>"NOT FOUND"</formula>
    </cfRule>
  </conditionalFormatting>
  <conditionalFormatting sqref="G389:G409">
    <cfRule type="cellIs" dxfId="7" priority="6" operator="equal">
      <formula>"NOT FOUND"</formula>
    </cfRule>
  </conditionalFormatting>
  <conditionalFormatting sqref="G412:G433">
    <cfRule type="cellIs" dxfId="6" priority="5" operator="equal">
      <formula>"NOT FOUND"</formula>
    </cfRule>
  </conditionalFormatting>
  <conditionalFormatting sqref="G441:G445">
    <cfRule type="cellIs" dxfId="5" priority="4" operator="equal">
      <formula>"NOT FOUND"</formula>
    </cfRule>
  </conditionalFormatting>
  <conditionalFormatting sqref="G452">
    <cfRule type="cellIs" dxfId="4" priority="21" operator="equal">
      <formula>"NOT FOUND"</formula>
    </cfRule>
  </conditionalFormatting>
  <conditionalFormatting sqref="G460:G461 J460:K461">
    <cfRule type="cellIs" dxfId="3" priority="20" operator="equal">
      <formula>"NOT FOUND"</formula>
    </cfRule>
  </conditionalFormatting>
  <conditionalFormatting sqref="L270:M270">
    <cfRule type="cellIs" dxfId="2" priority="3" operator="equal">
      <formula>"NOT FOUND"</formula>
    </cfRule>
  </conditionalFormatting>
  <conditionalFormatting sqref="L412:M422 A412:B433">
    <cfRule type="cellIs" dxfId="1" priority="19" operator="equal">
      <formula>"NOT FOUND"</formula>
    </cfRule>
  </conditionalFormatting>
  <pageMargins left="0" right="0" top="0" bottom="0" header="0" footer="0"/>
  <pageSetup fitToWidth="0" fitToHeight="0" orientation="landscape" r:id="rId1"/>
  <headerFooter alignWithMargins="0"/>
  <ignoredErrors>
    <ignoredError sqref="J4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DE16-F01C-47A0-B409-413F22DADA33}">
  <sheetPr filterMode="1">
    <tabColor rgb="FFFF0000"/>
  </sheetPr>
  <dimension ref="A3:C203"/>
  <sheetViews>
    <sheetView workbookViewId="0">
      <selection activeCell="B179" sqref="B179"/>
    </sheetView>
  </sheetViews>
  <sheetFormatPr defaultRowHeight="15.75" x14ac:dyDescent="0.25"/>
  <cols>
    <col min="1" max="1" width="15.44140625" customWidth="1"/>
    <col min="2" max="2" width="40.109375" bestFit="1" customWidth="1"/>
    <col min="3" max="3" width="13.77734375" bestFit="1" customWidth="1"/>
    <col min="4" max="4" width="12.77734375" bestFit="1" customWidth="1"/>
  </cols>
  <sheetData>
    <row r="3" spans="1:3" x14ac:dyDescent="0.25">
      <c r="A3" s="9" t="s">
        <v>25</v>
      </c>
      <c r="B3" s="9" t="s">
        <v>7</v>
      </c>
      <c r="C3" t="s">
        <v>56</v>
      </c>
    </row>
    <row r="4" spans="1:3" hidden="1" x14ac:dyDescent="0.25">
      <c r="A4" t="s">
        <v>14</v>
      </c>
      <c r="B4" t="s">
        <v>66</v>
      </c>
      <c r="C4" t="e">
        <f>VLOOKUP(A4,MGR!A:A,2,FALSE)</f>
        <v>#N/A</v>
      </c>
    </row>
    <row r="5" spans="1:3" hidden="1" x14ac:dyDescent="0.25">
      <c r="A5" t="s">
        <v>58</v>
      </c>
      <c r="B5" t="s">
        <v>67</v>
      </c>
      <c r="C5" t="e">
        <f>VLOOKUP(A5,MGR!A:A,2,FALSE)</f>
        <v>#N/A</v>
      </c>
    </row>
    <row r="6" spans="1:3" hidden="1" x14ac:dyDescent="0.25">
      <c r="A6" t="s">
        <v>106</v>
      </c>
      <c r="B6" t="s">
        <v>205</v>
      </c>
      <c r="C6" t="e">
        <f>VLOOKUP(A6,MGR!A:A,2,FALSE)</f>
        <v>#N/A</v>
      </c>
    </row>
    <row r="7" spans="1:3" hidden="1" x14ac:dyDescent="0.25">
      <c r="A7" t="s">
        <v>96</v>
      </c>
      <c r="B7" t="s">
        <v>206</v>
      </c>
      <c r="C7" t="e">
        <f>VLOOKUP(A7,MGR!A:A,2,FALSE)</f>
        <v>#N/A</v>
      </c>
    </row>
    <row r="8" spans="1:3" hidden="1" x14ac:dyDescent="0.25">
      <c r="A8" t="s">
        <v>97</v>
      </c>
      <c r="B8" t="s">
        <v>207</v>
      </c>
      <c r="C8" t="e">
        <f>VLOOKUP(A8,MGR!A:A,2,FALSE)</f>
        <v>#N/A</v>
      </c>
    </row>
    <row r="9" spans="1:3" hidden="1" x14ac:dyDescent="0.25">
      <c r="A9" t="s">
        <v>151</v>
      </c>
      <c r="B9" t="s">
        <v>208</v>
      </c>
      <c r="C9" t="e">
        <f>VLOOKUP(A9,MGR!A:A,2,FALSE)</f>
        <v>#N/A</v>
      </c>
    </row>
    <row r="10" spans="1:3" hidden="1" x14ac:dyDescent="0.25">
      <c r="A10" t="s">
        <v>152</v>
      </c>
      <c r="B10" t="s">
        <v>153</v>
      </c>
      <c r="C10" t="e">
        <f>VLOOKUP(A10,MGR!A:A,2,FALSE)</f>
        <v>#N/A</v>
      </c>
    </row>
    <row r="11" spans="1:3" hidden="1" x14ac:dyDescent="0.25">
      <c r="A11" t="s">
        <v>396</v>
      </c>
      <c r="B11" t="s">
        <v>397</v>
      </c>
      <c r="C11" t="e">
        <f>VLOOKUP(A11,MGR!A:A,2,FALSE)</f>
        <v>#N/A</v>
      </c>
    </row>
    <row r="12" spans="1:3" hidden="1" x14ac:dyDescent="0.25">
      <c r="A12" t="s">
        <v>36</v>
      </c>
      <c r="B12" t="s">
        <v>209</v>
      </c>
      <c r="C12" t="e">
        <f>VLOOKUP(A12,MGR!A:A,2,FALSE)</f>
        <v>#N/A</v>
      </c>
    </row>
    <row r="13" spans="1:3" hidden="1" x14ac:dyDescent="0.25">
      <c r="A13" t="s">
        <v>154</v>
      </c>
      <c r="B13" t="s">
        <v>307</v>
      </c>
      <c r="C13" t="e">
        <f>VLOOKUP(A13,MGR!A:A,2,FALSE)</f>
        <v>#N/A</v>
      </c>
    </row>
    <row r="14" spans="1:3" hidden="1" x14ac:dyDescent="0.25">
      <c r="A14" t="s">
        <v>155</v>
      </c>
      <c r="B14" t="s">
        <v>156</v>
      </c>
      <c r="C14" t="e">
        <f>VLOOKUP(A14,MGR!A:A,2,FALSE)</f>
        <v>#N/A</v>
      </c>
    </row>
    <row r="15" spans="1:3" hidden="1" x14ac:dyDescent="0.25">
      <c r="A15" t="s">
        <v>358</v>
      </c>
      <c r="B15" t="s">
        <v>359</v>
      </c>
      <c r="C15" t="e">
        <f>VLOOKUP(A15,MGR!A:A,2,FALSE)</f>
        <v>#N/A</v>
      </c>
    </row>
    <row r="16" spans="1:3" hidden="1" x14ac:dyDescent="0.25">
      <c r="A16" t="s">
        <v>111</v>
      </c>
      <c r="B16" t="s">
        <v>308</v>
      </c>
      <c r="C16" t="e">
        <f>VLOOKUP(A16,MGR!A:A,2,FALSE)</f>
        <v>#N/A</v>
      </c>
    </row>
    <row r="17" spans="1:3" hidden="1" x14ac:dyDescent="0.25">
      <c r="A17" t="s">
        <v>162</v>
      </c>
      <c r="B17" t="s">
        <v>309</v>
      </c>
      <c r="C17" t="e">
        <f>VLOOKUP(A17,MGR!A:A,2,FALSE)</f>
        <v>#N/A</v>
      </c>
    </row>
    <row r="18" spans="1:3" hidden="1" x14ac:dyDescent="0.25">
      <c r="A18" t="s">
        <v>340</v>
      </c>
      <c r="B18" t="s">
        <v>341</v>
      </c>
      <c r="C18" t="e">
        <f>VLOOKUP(A18,MGR!A:A,2,FALSE)</f>
        <v>#N/A</v>
      </c>
    </row>
    <row r="19" spans="1:3" hidden="1" x14ac:dyDescent="0.25">
      <c r="A19" t="s">
        <v>45</v>
      </c>
      <c r="B19" t="s">
        <v>310</v>
      </c>
      <c r="C19" t="e">
        <f>VLOOKUP(A19,MGR!A:A,2,FALSE)</f>
        <v>#N/A</v>
      </c>
    </row>
    <row r="20" spans="1:3" hidden="1" x14ac:dyDescent="0.25">
      <c r="A20" t="s">
        <v>46</v>
      </c>
      <c r="B20" t="s">
        <v>311</v>
      </c>
      <c r="C20" t="e">
        <f>VLOOKUP(A20,MGR!A:A,2,FALSE)</f>
        <v>#N/A</v>
      </c>
    </row>
    <row r="21" spans="1:3" hidden="1" x14ac:dyDescent="0.25">
      <c r="A21" t="s">
        <v>43</v>
      </c>
      <c r="B21" t="s">
        <v>210</v>
      </c>
      <c r="C21" t="e">
        <f>VLOOKUP(A21,MGR!A:A,2,FALSE)</f>
        <v>#N/A</v>
      </c>
    </row>
    <row r="22" spans="1:3" hidden="1" x14ac:dyDescent="0.25">
      <c r="A22" t="s">
        <v>41</v>
      </c>
      <c r="B22" t="s">
        <v>211</v>
      </c>
      <c r="C22" t="e">
        <f>VLOOKUP(A22,MGR!A:A,2,FALSE)</f>
        <v>#N/A</v>
      </c>
    </row>
    <row r="23" spans="1:3" hidden="1" x14ac:dyDescent="0.25">
      <c r="A23" t="s">
        <v>110</v>
      </c>
      <c r="B23" t="s">
        <v>212</v>
      </c>
      <c r="C23" t="e">
        <f>VLOOKUP(A23,MGR!A:A,2,FALSE)</f>
        <v>#N/A</v>
      </c>
    </row>
    <row r="24" spans="1:3" hidden="1" x14ac:dyDescent="0.25">
      <c r="A24" t="s">
        <v>64</v>
      </c>
      <c r="B24" t="s">
        <v>213</v>
      </c>
      <c r="C24" t="e">
        <f>VLOOKUP(A24,MGR!A:A,2,FALSE)</f>
        <v>#N/A</v>
      </c>
    </row>
    <row r="25" spans="1:3" hidden="1" x14ac:dyDescent="0.25">
      <c r="A25" t="s">
        <v>65</v>
      </c>
      <c r="B25" t="s">
        <v>214</v>
      </c>
      <c r="C25" t="e">
        <f>VLOOKUP(A25,MGR!A:A,2,FALSE)</f>
        <v>#N/A</v>
      </c>
    </row>
    <row r="26" spans="1:3" hidden="1" x14ac:dyDescent="0.25">
      <c r="A26" t="s">
        <v>107</v>
      </c>
      <c r="B26" t="s">
        <v>215</v>
      </c>
      <c r="C26" t="e">
        <f>VLOOKUP(A26,MGR!A:A,2,FALSE)</f>
        <v>#N/A</v>
      </c>
    </row>
    <row r="27" spans="1:3" hidden="1" x14ac:dyDescent="0.25">
      <c r="A27" t="s">
        <v>99</v>
      </c>
      <c r="B27" t="s">
        <v>216</v>
      </c>
      <c r="C27" t="e">
        <f>VLOOKUP(A27,MGR!A:A,2,FALSE)</f>
        <v>#N/A</v>
      </c>
    </row>
    <row r="28" spans="1:3" hidden="1" x14ac:dyDescent="0.25">
      <c r="A28" t="s">
        <v>101</v>
      </c>
      <c r="B28" t="s">
        <v>312</v>
      </c>
      <c r="C28" t="e">
        <f>VLOOKUP(A28,MGR!A:A,2,FALSE)</f>
        <v>#N/A</v>
      </c>
    </row>
    <row r="29" spans="1:3" hidden="1" x14ac:dyDescent="0.25">
      <c r="A29" t="s">
        <v>103</v>
      </c>
      <c r="B29" t="s">
        <v>217</v>
      </c>
      <c r="C29" t="e">
        <f>VLOOKUP(A29,MGR!A:A,2,FALSE)</f>
        <v>#N/A</v>
      </c>
    </row>
    <row r="30" spans="1:3" hidden="1" x14ac:dyDescent="0.25">
      <c r="A30" t="s">
        <v>120</v>
      </c>
      <c r="B30" t="s">
        <v>218</v>
      </c>
      <c r="C30" t="e">
        <f>VLOOKUP(A30,MGR!A:A,2,FALSE)</f>
        <v>#N/A</v>
      </c>
    </row>
    <row r="31" spans="1:3" hidden="1" x14ac:dyDescent="0.25">
      <c r="A31" t="s">
        <v>157</v>
      </c>
      <c r="B31" t="s">
        <v>219</v>
      </c>
      <c r="C31" t="e">
        <f>VLOOKUP(A31,MGR!A:A,2,FALSE)</f>
        <v>#N/A</v>
      </c>
    </row>
    <row r="32" spans="1:3" hidden="1" x14ac:dyDescent="0.25">
      <c r="A32" t="s">
        <v>121</v>
      </c>
      <c r="B32" t="s">
        <v>220</v>
      </c>
      <c r="C32" t="e">
        <f>VLOOKUP(A32,MGR!A:A,2,FALSE)</f>
        <v>#N/A</v>
      </c>
    </row>
    <row r="33" spans="1:3" hidden="1" x14ac:dyDescent="0.25">
      <c r="A33" t="s">
        <v>124</v>
      </c>
      <c r="B33" t="s">
        <v>313</v>
      </c>
      <c r="C33" t="e">
        <f>VLOOKUP(A33,MGR!A:A,2,FALSE)</f>
        <v>#N/A</v>
      </c>
    </row>
    <row r="34" spans="1:3" hidden="1" x14ac:dyDescent="0.25">
      <c r="A34" t="s">
        <v>122</v>
      </c>
      <c r="B34" t="s">
        <v>314</v>
      </c>
      <c r="C34" t="e">
        <f>VLOOKUP(A34,MGR!A:A,2,FALSE)</f>
        <v>#N/A</v>
      </c>
    </row>
    <row r="35" spans="1:3" hidden="1" x14ac:dyDescent="0.25">
      <c r="A35" t="s">
        <v>136</v>
      </c>
      <c r="B35" t="s">
        <v>221</v>
      </c>
      <c r="C35" t="e">
        <f>VLOOKUP(A35,MGR!A:A,2,FALSE)</f>
        <v>#N/A</v>
      </c>
    </row>
    <row r="36" spans="1:3" hidden="1" x14ac:dyDescent="0.25">
      <c r="A36" t="s">
        <v>137</v>
      </c>
      <c r="B36" t="s">
        <v>315</v>
      </c>
      <c r="C36" t="e">
        <f>VLOOKUP(A36,MGR!A:A,2,FALSE)</f>
        <v>#N/A</v>
      </c>
    </row>
    <row r="37" spans="1:3" hidden="1" x14ac:dyDescent="0.25">
      <c r="A37" t="s">
        <v>138</v>
      </c>
      <c r="B37" t="s">
        <v>316</v>
      </c>
      <c r="C37" t="e">
        <f>VLOOKUP(A37,MGR!A:A,2,FALSE)</f>
        <v>#N/A</v>
      </c>
    </row>
    <row r="38" spans="1:3" hidden="1" x14ac:dyDescent="0.25">
      <c r="A38" t="s">
        <v>142</v>
      </c>
      <c r="B38" t="s">
        <v>222</v>
      </c>
      <c r="C38" t="e">
        <f>VLOOKUP(A38,MGR!A:A,2,FALSE)</f>
        <v>#N/A</v>
      </c>
    </row>
    <row r="39" spans="1:3" hidden="1" x14ac:dyDescent="0.25">
      <c r="A39" t="s">
        <v>143</v>
      </c>
      <c r="B39" t="s">
        <v>317</v>
      </c>
      <c r="C39" t="e">
        <f>VLOOKUP(A39,MGR!A:A,2,FALSE)</f>
        <v>#N/A</v>
      </c>
    </row>
    <row r="40" spans="1:3" hidden="1" x14ac:dyDescent="0.25">
      <c r="A40" t="s">
        <v>158</v>
      </c>
      <c r="B40" t="s">
        <v>223</v>
      </c>
      <c r="C40" t="e">
        <f>VLOOKUP(A40,MGR!A:A,2,FALSE)</f>
        <v>#N/A</v>
      </c>
    </row>
    <row r="41" spans="1:3" hidden="1" x14ac:dyDescent="0.25">
      <c r="A41" t="s">
        <v>163</v>
      </c>
      <c r="B41" t="s">
        <v>224</v>
      </c>
      <c r="C41" t="e">
        <f>VLOOKUP(A41,MGR!A:A,2,FALSE)</f>
        <v>#N/A</v>
      </c>
    </row>
    <row r="42" spans="1:3" hidden="1" x14ac:dyDescent="0.25">
      <c r="A42" t="s">
        <v>179</v>
      </c>
      <c r="B42" t="s">
        <v>318</v>
      </c>
      <c r="C42" t="e">
        <f>VLOOKUP(A42,MGR!A:A,2,FALSE)</f>
        <v>#N/A</v>
      </c>
    </row>
    <row r="43" spans="1:3" hidden="1" x14ac:dyDescent="0.25">
      <c r="A43" t="s">
        <v>176</v>
      </c>
      <c r="B43" t="s">
        <v>225</v>
      </c>
      <c r="C43" t="e">
        <f>VLOOKUP(A43,MGR!A:A,2,FALSE)</f>
        <v>#N/A</v>
      </c>
    </row>
    <row r="44" spans="1:3" hidden="1" x14ac:dyDescent="0.25">
      <c r="A44" t="s">
        <v>178</v>
      </c>
      <c r="B44" t="s">
        <v>319</v>
      </c>
      <c r="C44" t="e">
        <f>VLOOKUP(A44,MGR!A:A,2,FALSE)</f>
        <v>#N/A</v>
      </c>
    </row>
    <row r="45" spans="1:3" hidden="1" x14ac:dyDescent="0.25">
      <c r="A45" t="s">
        <v>182</v>
      </c>
      <c r="B45" t="s">
        <v>320</v>
      </c>
      <c r="C45" t="e">
        <f>VLOOKUP(A45,MGR!A:A,2,FALSE)</f>
        <v>#N/A</v>
      </c>
    </row>
    <row r="46" spans="1:3" hidden="1" x14ac:dyDescent="0.25">
      <c r="A46" t="s">
        <v>321</v>
      </c>
      <c r="B46" t="s">
        <v>322</v>
      </c>
      <c r="C46" t="e">
        <f>VLOOKUP(A46,MGR!A:A,2,FALSE)</f>
        <v>#N/A</v>
      </c>
    </row>
    <row r="47" spans="1:3" hidden="1" x14ac:dyDescent="0.25">
      <c r="A47" t="s">
        <v>184</v>
      </c>
      <c r="B47" t="s">
        <v>226</v>
      </c>
      <c r="C47" t="e">
        <f>VLOOKUP(A47,MGR!A:A,2,FALSE)</f>
        <v>#N/A</v>
      </c>
    </row>
    <row r="48" spans="1:3" hidden="1" x14ac:dyDescent="0.25">
      <c r="A48" t="s">
        <v>350</v>
      </c>
      <c r="B48" t="s">
        <v>351</v>
      </c>
      <c r="C48" t="e">
        <f>VLOOKUP(A48,MGR!A:A,2,FALSE)</f>
        <v>#N/A</v>
      </c>
    </row>
    <row r="49" spans="1:3" hidden="1" x14ac:dyDescent="0.25">
      <c r="A49" t="s">
        <v>366</v>
      </c>
      <c r="B49" t="s">
        <v>367</v>
      </c>
      <c r="C49" t="e">
        <f>VLOOKUP(A49,MGR!A:A,2,FALSE)</f>
        <v>#N/A</v>
      </c>
    </row>
    <row r="50" spans="1:3" hidden="1" x14ac:dyDescent="0.25">
      <c r="A50" t="s">
        <v>352</v>
      </c>
      <c r="B50" t="s">
        <v>353</v>
      </c>
      <c r="C50" t="e">
        <f>VLOOKUP(A50,MGR!A:A,2,FALSE)</f>
        <v>#N/A</v>
      </c>
    </row>
    <row r="51" spans="1:3" hidden="1" x14ac:dyDescent="0.25">
      <c r="A51" t="s">
        <v>373</v>
      </c>
      <c r="B51" t="s">
        <v>374</v>
      </c>
      <c r="C51" t="e">
        <f>VLOOKUP(A51,MGR!A:A,2,FALSE)</f>
        <v>#N/A</v>
      </c>
    </row>
    <row r="52" spans="1:3" hidden="1" x14ac:dyDescent="0.25">
      <c r="A52" t="s">
        <v>381</v>
      </c>
      <c r="B52" t="s">
        <v>382</v>
      </c>
      <c r="C52" t="e">
        <f>VLOOKUP(A52,MGR!A:A,2,FALSE)</f>
        <v>#N/A</v>
      </c>
    </row>
    <row r="53" spans="1:3" hidden="1" x14ac:dyDescent="0.25">
      <c r="A53" t="s">
        <v>375</v>
      </c>
      <c r="B53" t="s">
        <v>376</v>
      </c>
      <c r="C53" t="e">
        <f>VLOOKUP(A53,MGR!A:A,2,FALSE)</f>
        <v>#N/A</v>
      </c>
    </row>
    <row r="54" spans="1:3" hidden="1" x14ac:dyDescent="0.25">
      <c r="A54" t="s">
        <v>354</v>
      </c>
      <c r="B54" t="s">
        <v>355</v>
      </c>
      <c r="C54" t="e">
        <f>VLOOKUP(A54,MGR!A:A,2,FALSE)</f>
        <v>#N/A</v>
      </c>
    </row>
    <row r="55" spans="1:3" hidden="1" x14ac:dyDescent="0.25">
      <c r="A55" t="s">
        <v>377</v>
      </c>
      <c r="B55" t="s">
        <v>378</v>
      </c>
      <c r="C55" t="e">
        <f>VLOOKUP(A55,MGR!A:A,2,FALSE)</f>
        <v>#N/A</v>
      </c>
    </row>
    <row r="56" spans="1:3" hidden="1" x14ac:dyDescent="0.25">
      <c r="A56" t="s">
        <v>368</v>
      </c>
      <c r="B56" t="s">
        <v>369</v>
      </c>
      <c r="C56" t="e">
        <f>VLOOKUP(A56,MGR!A:A,2,FALSE)</f>
        <v>#N/A</v>
      </c>
    </row>
    <row r="57" spans="1:3" hidden="1" x14ac:dyDescent="0.25">
      <c r="A57" t="s">
        <v>398</v>
      </c>
      <c r="B57" t="s">
        <v>399</v>
      </c>
      <c r="C57" t="e">
        <f>VLOOKUP(A57,MGR!A:A,2,FALSE)</f>
        <v>#N/A</v>
      </c>
    </row>
    <row r="58" spans="1:3" hidden="1" x14ac:dyDescent="0.25">
      <c r="A58" t="s">
        <v>400</v>
      </c>
      <c r="B58" t="s">
        <v>401</v>
      </c>
      <c r="C58" t="e">
        <f>VLOOKUP(A58,MGR!A:A,2,FALSE)</f>
        <v>#N/A</v>
      </c>
    </row>
    <row r="59" spans="1:3" hidden="1" x14ac:dyDescent="0.25">
      <c r="A59" t="s">
        <v>59</v>
      </c>
      <c r="B59" t="s">
        <v>227</v>
      </c>
      <c r="C59" t="e">
        <f>VLOOKUP(A59,MGR!A:A,2,FALSE)</f>
        <v>#N/A</v>
      </c>
    </row>
    <row r="60" spans="1:3" hidden="1" x14ac:dyDescent="0.25">
      <c r="A60" t="s">
        <v>44</v>
      </c>
      <c r="B60" t="s">
        <v>228</v>
      </c>
      <c r="C60" t="e">
        <f>VLOOKUP(A60,MGR!A:A,2,FALSE)</f>
        <v>#N/A</v>
      </c>
    </row>
    <row r="61" spans="1:3" hidden="1" x14ac:dyDescent="0.25">
      <c r="A61" t="s">
        <v>27</v>
      </c>
      <c r="B61" t="s">
        <v>229</v>
      </c>
      <c r="C61" t="e">
        <f>VLOOKUP(A61,MGR!A:A,2,FALSE)</f>
        <v>#N/A</v>
      </c>
    </row>
    <row r="62" spans="1:3" hidden="1" x14ac:dyDescent="0.25">
      <c r="A62" t="s">
        <v>28</v>
      </c>
      <c r="B62" t="s">
        <v>230</v>
      </c>
      <c r="C62" t="e">
        <f>VLOOKUP(A62,MGR!A:A,2,FALSE)</f>
        <v>#N/A</v>
      </c>
    </row>
    <row r="63" spans="1:3" hidden="1" x14ac:dyDescent="0.25">
      <c r="A63" t="s">
        <v>29</v>
      </c>
      <c r="B63" t="s">
        <v>231</v>
      </c>
      <c r="C63" t="e">
        <f>VLOOKUP(A63,MGR!A:A,2,FALSE)</f>
        <v>#N/A</v>
      </c>
    </row>
    <row r="64" spans="1:3" hidden="1" x14ac:dyDescent="0.25">
      <c r="A64" t="s">
        <v>30</v>
      </c>
      <c r="B64" t="s">
        <v>232</v>
      </c>
      <c r="C64" t="e">
        <f>VLOOKUP(A64,MGR!A:A,2,FALSE)</f>
        <v>#N/A</v>
      </c>
    </row>
    <row r="65" spans="1:3" hidden="1" x14ac:dyDescent="0.25">
      <c r="A65" t="s">
        <v>31</v>
      </c>
      <c r="B65" t="s">
        <v>233</v>
      </c>
      <c r="C65" t="e">
        <f>VLOOKUP(A65,MGR!A:A,2,FALSE)</f>
        <v>#N/A</v>
      </c>
    </row>
    <row r="66" spans="1:3" hidden="1" x14ac:dyDescent="0.25">
      <c r="A66" t="s">
        <v>37</v>
      </c>
      <c r="B66" t="s">
        <v>234</v>
      </c>
      <c r="C66" t="e">
        <f>VLOOKUP(A66,MGR!A:A,2,FALSE)</f>
        <v>#N/A</v>
      </c>
    </row>
    <row r="67" spans="1:3" hidden="1" x14ac:dyDescent="0.25">
      <c r="A67" t="s">
        <v>38</v>
      </c>
      <c r="B67" t="s">
        <v>235</v>
      </c>
      <c r="C67" t="e">
        <f>VLOOKUP(A67,MGR!A:A,2,FALSE)</f>
        <v>#N/A</v>
      </c>
    </row>
    <row r="68" spans="1:3" hidden="1" x14ac:dyDescent="0.25">
      <c r="A68" t="s">
        <v>32</v>
      </c>
      <c r="B68" t="s">
        <v>236</v>
      </c>
      <c r="C68" t="e">
        <f>VLOOKUP(A68,MGR!A:A,2,FALSE)</f>
        <v>#N/A</v>
      </c>
    </row>
    <row r="69" spans="1:3" hidden="1" x14ac:dyDescent="0.25">
      <c r="A69" s="6" t="s">
        <v>39</v>
      </c>
      <c r="B69" t="s">
        <v>237</v>
      </c>
      <c r="C69" t="e">
        <f>VLOOKUP(A69,MGR!A:A,2,FALSE)</f>
        <v>#N/A</v>
      </c>
    </row>
    <row r="70" spans="1:3" hidden="1" x14ac:dyDescent="0.25">
      <c r="A70" t="s">
        <v>33</v>
      </c>
      <c r="B70" t="s">
        <v>238</v>
      </c>
      <c r="C70" t="e">
        <f>VLOOKUP(A70,MGR!A:A,2,FALSE)</f>
        <v>#N/A</v>
      </c>
    </row>
    <row r="71" spans="1:3" hidden="1" x14ac:dyDescent="0.25">
      <c r="A71" t="s">
        <v>34</v>
      </c>
      <c r="B71" t="s">
        <v>239</v>
      </c>
      <c r="C71" t="e">
        <f>VLOOKUP(A71,MGR!A:A,2,FALSE)</f>
        <v>#N/A</v>
      </c>
    </row>
    <row r="72" spans="1:3" hidden="1" x14ac:dyDescent="0.25">
      <c r="A72" t="s">
        <v>35</v>
      </c>
      <c r="B72" t="s">
        <v>240</v>
      </c>
      <c r="C72" t="e">
        <f>VLOOKUP(A72,MGR!A:A,2,FALSE)</f>
        <v>#N/A</v>
      </c>
    </row>
    <row r="73" spans="1:3" hidden="1" x14ac:dyDescent="0.25">
      <c r="A73" s="6" t="s">
        <v>40</v>
      </c>
      <c r="B73" t="s">
        <v>241</v>
      </c>
      <c r="C73" t="e">
        <f>VLOOKUP(A73,MGR!A:A,2,FALSE)</f>
        <v>#N/A</v>
      </c>
    </row>
    <row r="74" spans="1:3" hidden="1" x14ac:dyDescent="0.25">
      <c r="A74" t="s">
        <v>54</v>
      </c>
      <c r="B74" t="s">
        <v>242</v>
      </c>
      <c r="C74" t="e">
        <f>VLOOKUP(A74,MGR!A:A,2,FALSE)</f>
        <v>#N/A</v>
      </c>
    </row>
    <row r="75" spans="1:3" hidden="1" x14ac:dyDescent="0.25">
      <c r="A75" t="s">
        <v>63</v>
      </c>
      <c r="B75" t="s">
        <v>243</v>
      </c>
      <c r="C75" t="e">
        <f>VLOOKUP(A75,MGR!A:A,2,FALSE)</f>
        <v>#N/A</v>
      </c>
    </row>
    <row r="76" spans="1:3" hidden="1" x14ac:dyDescent="0.25">
      <c r="A76" t="s">
        <v>98</v>
      </c>
      <c r="B76" t="s">
        <v>242</v>
      </c>
      <c r="C76" t="e">
        <f>VLOOKUP(A76,MGR!A:A,2,FALSE)</f>
        <v>#N/A</v>
      </c>
    </row>
    <row r="77" spans="1:3" hidden="1" x14ac:dyDescent="0.25">
      <c r="A77" t="s">
        <v>68</v>
      </c>
      <c r="B77" t="s">
        <v>244</v>
      </c>
      <c r="C77" t="e">
        <f>VLOOKUP(A77,MGR!A:A,2,FALSE)</f>
        <v>#N/A</v>
      </c>
    </row>
    <row r="78" spans="1:3" hidden="1" x14ac:dyDescent="0.25">
      <c r="A78" t="s">
        <v>92</v>
      </c>
      <c r="B78" t="s">
        <v>245</v>
      </c>
      <c r="C78" t="e">
        <f>VLOOKUP(A78,MGR!A:A,2,FALSE)</f>
        <v>#N/A</v>
      </c>
    </row>
    <row r="79" spans="1:3" hidden="1" x14ac:dyDescent="0.25">
      <c r="A79" t="s">
        <v>93</v>
      </c>
      <c r="B79" t="s">
        <v>246</v>
      </c>
      <c r="C79" t="e">
        <f>VLOOKUP(A79,MGR!A:A,2,FALSE)</f>
        <v>#N/A</v>
      </c>
    </row>
    <row r="80" spans="1:3" hidden="1" x14ac:dyDescent="0.25">
      <c r="A80" t="s">
        <v>95</v>
      </c>
      <c r="B80" t="s">
        <v>247</v>
      </c>
      <c r="C80" t="e">
        <f>VLOOKUP(A80,MGR!A:A,2,FALSE)</f>
        <v>#N/A</v>
      </c>
    </row>
    <row r="81" spans="1:3" hidden="1" x14ac:dyDescent="0.25">
      <c r="A81" t="s">
        <v>164</v>
      </c>
      <c r="B81" t="s">
        <v>248</v>
      </c>
      <c r="C81" t="e">
        <f>VLOOKUP(A81,MGR!A:A,2,FALSE)</f>
        <v>#N/A</v>
      </c>
    </row>
    <row r="82" spans="1:3" hidden="1" x14ac:dyDescent="0.25">
      <c r="A82" t="s">
        <v>116</v>
      </c>
      <c r="B82" t="s">
        <v>249</v>
      </c>
      <c r="C82" t="e">
        <f>VLOOKUP(A82,MGR!A:A,2,FALSE)</f>
        <v>#N/A</v>
      </c>
    </row>
    <row r="83" spans="1:3" hidden="1" x14ac:dyDescent="0.25">
      <c r="A83" t="s">
        <v>100</v>
      </c>
      <c r="B83" t="s">
        <v>250</v>
      </c>
      <c r="C83" t="e">
        <f>VLOOKUP(A83,MGR!A:A,2,FALSE)</f>
        <v>#N/A</v>
      </c>
    </row>
    <row r="84" spans="1:3" hidden="1" x14ac:dyDescent="0.25">
      <c r="A84" t="s">
        <v>113</v>
      </c>
      <c r="B84" t="s">
        <v>251</v>
      </c>
      <c r="C84" t="e">
        <f>VLOOKUP(A84,MGR!A:A,2,FALSE)</f>
        <v>#N/A</v>
      </c>
    </row>
    <row r="85" spans="1:3" hidden="1" x14ac:dyDescent="0.25">
      <c r="A85" t="s">
        <v>117</v>
      </c>
      <c r="B85" t="s">
        <v>252</v>
      </c>
      <c r="C85" t="e">
        <f>VLOOKUP(A85,MGR!A:A,2,FALSE)</f>
        <v>#N/A</v>
      </c>
    </row>
    <row r="86" spans="1:3" hidden="1" x14ac:dyDescent="0.25">
      <c r="A86" t="s">
        <v>118</v>
      </c>
      <c r="B86" t="s">
        <v>253</v>
      </c>
      <c r="C86" t="e">
        <f>VLOOKUP(A86,MGR!A:A,2,FALSE)</f>
        <v>#N/A</v>
      </c>
    </row>
    <row r="87" spans="1:3" hidden="1" x14ac:dyDescent="0.25">
      <c r="A87" t="s">
        <v>402</v>
      </c>
      <c r="B87" t="s">
        <v>403</v>
      </c>
      <c r="C87" t="e">
        <f>VLOOKUP(A87,MGR!A:A,2,FALSE)</f>
        <v>#N/A</v>
      </c>
    </row>
    <row r="88" spans="1:3" hidden="1" x14ac:dyDescent="0.25">
      <c r="A88" t="s">
        <v>254</v>
      </c>
      <c r="B88" t="s">
        <v>255</v>
      </c>
      <c r="C88" t="e">
        <f>VLOOKUP(A88,MGR!A:A,2,FALSE)</f>
        <v>#N/A</v>
      </c>
    </row>
    <row r="89" spans="1:3" hidden="1" x14ac:dyDescent="0.25">
      <c r="A89" t="s">
        <v>126</v>
      </c>
      <c r="B89" t="s">
        <v>323</v>
      </c>
      <c r="C89" t="e">
        <f>VLOOKUP(A89,MGR!A:A,2,FALSE)</f>
        <v>#N/A</v>
      </c>
    </row>
    <row r="90" spans="1:3" hidden="1" x14ac:dyDescent="0.25">
      <c r="A90" t="s">
        <v>125</v>
      </c>
      <c r="B90" t="s">
        <v>256</v>
      </c>
      <c r="C90" t="e">
        <f>VLOOKUP(A90,MGR!A:A,2,FALSE)</f>
        <v>#N/A</v>
      </c>
    </row>
    <row r="91" spans="1:3" hidden="1" x14ac:dyDescent="0.25">
      <c r="A91" t="s">
        <v>404</v>
      </c>
      <c r="B91" t="s">
        <v>405</v>
      </c>
      <c r="C91" t="e">
        <f>VLOOKUP(A91,MGR!A:A,2,FALSE)</f>
        <v>#N/A</v>
      </c>
    </row>
    <row r="92" spans="1:3" hidden="1" x14ac:dyDescent="0.25">
      <c r="A92" t="s">
        <v>134</v>
      </c>
      <c r="B92" t="s">
        <v>324</v>
      </c>
      <c r="C92" t="e">
        <f>VLOOKUP(A92,MGR!A:A,2,FALSE)</f>
        <v>#N/A</v>
      </c>
    </row>
    <row r="93" spans="1:3" hidden="1" x14ac:dyDescent="0.25">
      <c r="A93" t="s">
        <v>135</v>
      </c>
      <c r="B93" t="s">
        <v>257</v>
      </c>
      <c r="C93" t="e">
        <f>VLOOKUP(A93,MGR!A:A,2,FALSE)</f>
        <v>#N/A</v>
      </c>
    </row>
    <row r="94" spans="1:3" hidden="1" x14ac:dyDescent="0.25">
      <c r="A94" t="s">
        <v>144</v>
      </c>
      <c r="B94" t="s">
        <v>258</v>
      </c>
      <c r="C94" t="e">
        <f>VLOOKUP(A94,MGR!A:A,2,FALSE)</f>
        <v>#N/A</v>
      </c>
    </row>
    <row r="95" spans="1:3" hidden="1" x14ac:dyDescent="0.25">
      <c r="A95" t="s">
        <v>145</v>
      </c>
      <c r="B95" t="s">
        <v>259</v>
      </c>
      <c r="C95" t="e">
        <f>VLOOKUP(A95,MGR!A:A,2,FALSE)</f>
        <v>#N/A</v>
      </c>
    </row>
    <row r="96" spans="1:3" hidden="1" x14ac:dyDescent="0.25">
      <c r="A96" t="s">
        <v>161</v>
      </c>
      <c r="B96" t="s">
        <v>325</v>
      </c>
      <c r="C96" t="e">
        <f>VLOOKUP(A96,MGR!A:A,2,FALSE)</f>
        <v>#N/A</v>
      </c>
    </row>
    <row r="97" spans="1:3" hidden="1" x14ac:dyDescent="0.25">
      <c r="A97" t="s">
        <v>180</v>
      </c>
      <c r="B97" t="s">
        <v>326</v>
      </c>
      <c r="C97" t="e">
        <f>VLOOKUP(A97,MGR!A:A,2,FALSE)</f>
        <v>#N/A</v>
      </c>
    </row>
    <row r="98" spans="1:3" hidden="1" x14ac:dyDescent="0.25">
      <c r="A98" t="s">
        <v>160</v>
      </c>
      <c r="B98" t="s">
        <v>327</v>
      </c>
      <c r="C98" t="e">
        <f>VLOOKUP(A98,MGR!A:A,2,FALSE)</f>
        <v>#N/A</v>
      </c>
    </row>
    <row r="99" spans="1:3" hidden="1" x14ac:dyDescent="0.25">
      <c r="A99" t="s">
        <v>172</v>
      </c>
      <c r="B99" t="s">
        <v>260</v>
      </c>
      <c r="C99" t="e">
        <f>VLOOKUP(A99,MGR!A:A,2,FALSE)</f>
        <v>#N/A</v>
      </c>
    </row>
    <row r="100" spans="1:3" hidden="1" x14ac:dyDescent="0.25">
      <c r="A100" t="s">
        <v>165</v>
      </c>
      <c r="B100" t="s">
        <v>261</v>
      </c>
      <c r="C100" t="e">
        <f>VLOOKUP(A100,MGR!A:A,2,FALSE)</f>
        <v>#N/A</v>
      </c>
    </row>
    <row r="101" spans="1:3" hidden="1" x14ac:dyDescent="0.25">
      <c r="A101" t="s">
        <v>170</v>
      </c>
      <c r="B101" t="s">
        <v>262</v>
      </c>
      <c r="C101" t="e">
        <f>VLOOKUP(A101,MGR!A:A,2,FALSE)</f>
        <v>#N/A</v>
      </c>
    </row>
    <row r="102" spans="1:3" hidden="1" x14ac:dyDescent="0.25">
      <c r="A102" t="s">
        <v>171</v>
      </c>
      <c r="B102" t="s">
        <v>263</v>
      </c>
      <c r="C102" t="e">
        <f>VLOOKUP(A102,MGR!A:A,2,FALSE)</f>
        <v>#N/A</v>
      </c>
    </row>
    <row r="103" spans="1:3" hidden="1" x14ac:dyDescent="0.25">
      <c r="A103" t="s">
        <v>173</v>
      </c>
      <c r="B103" t="s">
        <v>264</v>
      </c>
      <c r="C103" t="e">
        <f>VLOOKUP(A103,MGR!A:A,2,FALSE)</f>
        <v>#N/A</v>
      </c>
    </row>
    <row r="104" spans="1:3" hidden="1" x14ac:dyDescent="0.25">
      <c r="A104" t="s">
        <v>168</v>
      </c>
      <c r="B104" t="s">
        <v>265</v>
      </c>
      <c r="C104" t="e">
        <f>VLOOKUP(A104,MGR!A:A,2,FALSE)</f>
        <v>#N/A</v>
      </c>
    </row>
    <row r="105" spans="1:3" hidden="1" x14ac:dyDescent="0.25">
      <c r="A105" t="s">
        <v>166</v>
      </c>
      <c r="B105" t="s">
        <v>406</v>
      </c>
      <c r="C105" t="e">
        <f>VLOOKUP(A105,MGR!A:A,2,FALSE)</f>
        <v>#N/A</v>
      </c>
    </row>
    <row r="106" spans="1:3" hidden="1" x14ac:dyDescent="0.25">
      <c r="A106" t="s">
        <v>174</v>
      </c>
      <c r="B106" t="s">
        <v>266</v>
      </c>
      <c r="C106" t="e">
        <f>VLOOKUP(A106,MGR!A:A,2,FALSE)</f>
        <v>#N/A</v>
      </c>
    </row>
    <row r="107" spans="1:3" hidden="1" x14ac:dyDescent="0.25">
      <c r="A107" t="s">
        <v>342</v>
      </c>
      <c r="B107" t="s">
        <v>343</v>
      </c>
      <c r="C107" t="e">
        <f>VLOOKUP(A107,MGR!A:A,2,FALSE)</f>
        <v>#N/A</v>
      </c>
    </row>
    <row r="108" spans="1:3" hidden="1" x14ac:dyDescent="0.25">
      <c r="A108" t="s">
        <v>181</v>
      </c>
      <c r="B108" t="s">
        <v>328</v>
      </c>
      <c r="C108" t="e">
        <f>VLOOKUP(A108,MGR!A:A,2,FALSE)</f>
        <v>#N/A</v>
      </c>
    </row>
    <row r="109" spans="1:3" hidden="1" x14ac:dyDescent="0.25">
      <c r="A109" t="s">
        <v>407</v>
      </c>
      <c r="B109" t="s">
        <v>408</v>
      </c>
      <c r="C109" t="e">
        <f>VLOOKUP(A109,MGR!A:A,2,FALSE)</f>
        <v>#N/A</v>
      </c>
    </row>
    <row r="110" spans="1:3" hidden="1" x14ac:dyDescent="0.25">
      <c r="A110" t="s">
        <v>185</v>
      </c>
      <c r="B110" t="s">
        <v>267</v>
      </c>
      <c r="C110" t="e">
        <f>VLOOKUP(A110,MGR!A:A,2,FALSE)</f>
        <v>#N/A</v>
      </c>
    </row>
    <row r="111" spans="1:3" hidden="1" x14ac:dyDescent="0.25">
      <c r="A111" t="s">
        <v>183</v>
      </c>
      <c r="B111" t="s">
        <v>329</v>
      </c>
      <c r="C111" t="e">
        <f>VLOOKUP(A111,MGR!A:A,2,FALSE)</f>
        <v>#N/A</v>
      </c>
    </row>
    <row r="112" spans="1:3" hidden="1" x14ac:dyDescent="0.25">
      <c r="A112" t="s">
        <v>330</v>
      </c>
      <c r="B112" t="s">
        <v>331</v>
      </c>
      <c r="C112" t="e">
        <f>VLOOKUP(A112,MGR!A:A,2,FALSE)</f>
        <v>#N/A</v>
      </c>
    </row>
    <row r="113" spans="1:3" hidden="1" x14ac:dyDescent="0.25">
      <c r="A113" t="s">
        <v>356</v>
      </c>
      <c r="B113" t="s">
        <v>357</v>
      </c>
      <c r="C113" t="e">
        <f>VLOOKUP(A113,MGR!A:A,2,FALSE)</f>
        <v>#N/A</v>
      </c>
    </row>
    <row r="114" spans="1:3" hidden="1" x14ac:dyDescent="0.25">
      <c r="A114" t="s">
        <v>360</v>
      </c>
      <c r="B114" t="s">
        <v>361</v>
      </c>
      <c r="C114" t="e">
        <f>VLOOKUP(A114,MGR!A:A,2,FALSE)</f>
        <v>#N/A</v>
      </c>
    </row>
    <row r="115" spans="1:3" hidden="1" x14ac:dyDescent="0.25">
      <c r="A115" t="s">
        <v>379</v>
      </c>
      <c r="B115" t="s">
        <v>380</v>
      </c>
      <c r="C115" t="e">
        <f>VLOOKUP(A115,MGR!A:A,2,FALSE)</f>
        <v>#N/A</v>
      </c>
    </row>
    <row r="116" spans="1:3" hidden="1" x14ac:dyDescent="0.25">
      <c r="A116" t="s">
        <v>409</v>
      </c>
      <c r="B116" t="s">
        <v>410</v>
      </c>
      <c r="C116" t="e">
        <f>VLOOKUP(A116,MGR!A:A,2,FALSE)</f>
        <v>#N/A</v>
      </c>
    </row>
    <row r="117" spans="1:3" hidden="1" x14ac:dyDescent="0.25">
      <c r="A117" t="s">
        <v>91</v>
      </c>
      <c r="B117" t="s">
        <v>268</v>
      </c>
      <c r="C117" t="e">
        <f>VLOOKUP(A117,MGR!A:A,2,FALSE)</f>
        <v>#N/A</v>
      </c>
    </row>
    <row r="118" spans="1:3" hidden="1" x14ac:dyDescent="0.25">
      <c r="A118" t="s">
        <v>42</v>
      </c>
      <c r="B118" t="s">
        <v>269</v>
      </c>
      <c r="C118" t="e">
        <f>VLOOKUP(A118,MGR!A:A,2,FALSE)</f>
        <v>#N/A</v>
      </c>
    </row>
    <row r="119" spans="1:3" hidden="1" x14ac:dyDescent="0.25">
      <c r="A119" t="s">
        <v>53</v>
      </c>
      <c r="B119" t="s">
        <v>270</v>
      </c>
      <c r="C119" t="e">
        <f>VLOOKUP(A119,MGR!A:A,2,FALSE)</f>
        <v>#N/A</v>
      </c>
    </row>
    <row r="120" spans="1:3" hidden="1" x14ac:dyDescent="0.25">
      <c r="A120" t="s">
        <v>127</v>
      </c>
      <c r="B120" t="s">
        <v>271</v>
      </c>
      <c r="C120" t="e">
        <f>VLOOKUP(A120,MGR!A:A,2,FALSE)</f>
        <v>#N/A</v>
      </c>
    </row>
    <row r="121" spans="1:3" hidden="1" x14ac:dyDescent="0.25">
      <c r="A121" t="s">
        <v>177</v>
      </c>
      <c r="B121" t="s">
        <v>272</v>
      </c>
      <c r="C121" t="e">
        <f>VLOOKUP(A121,MGR!A:A,2,FALSE)</f>
        <v>#N/A</v>
      </c>
    </row>
    <row r="122" spans="1:3" hidden="1" x14ac:dyDescent="0.25">
      <c r="A122" t="s">
        <v>344</v>
      </c>
      <c r="B122" t="s">
        <v>345</v>
      </c>
      <c r="C122" t="e">
        <f>VLOOKUP(A122,MGR!A:A,2,FALSE)</f>
        <v>#N/A</v>
      </c>
    </row>
    <row r="123" spans="1:3" hidden="1" x14ac:dyDescent="0.25">
      <c r="A123" t="s">
        <v>105</v>
      </c>
      <c r="B123" t="s">
        <v>332</v>
      </c>
      <c r="C123" t="e">
        <f>VLOOKUP(A123,MGR!A:A,2,FALSE)</f>
        <v>#N/A</v>
      </c>
    </row>
    <row r="124" spans="1:3" hidden="1" x14ac:dyDescent="0.25">
      <c r="A124" t="s">
        <v>362</v>
      </c>
      <c r="B124" t="s">
        <v>363</v>
      </c>
      <c r="C124" t="e">
        <f>VLOOKUP(A124,MGR!A:A,2,FALSE)</f>
        <v>#N/A</v>
      </c>
    </row>
    <row r="125" spans="1:3" hidden="1" x14ac:dyDescent="0.25">
      <c r="A125" t="s">
        <v>139</v>
      </c>
      <c r="B125" t="s">
        <v>273</v>
      </c>
      <c r="C125" t="e">
        <f>VLOOKUP(A125,MGR!A:A,2,FALSE)</f>
        <v>#N/A</v>
      </c>
    </row>
    <row r="126" spans="1:3" hidden="1" x14ac:dyDescent="0.25">
      <c r="A126" t="s">
        <v>131</v>
      </c>
      <c r="B126" t="s">
        <v>333</v>
      </c>
      <c r="C126" t="e">
        <f>VLOOKUP(A126,MGR!A:A,2,FALSE)</f>
        <v>#N/A</v>
      </c>
    </row>
    <row r="127" spans="1:3" hidden="1" x14ac:dyDescent="0.25">
      <c r="A127" t="s">
        <v>383</v>
      </c>
      <c r="B127" t="s">
        <v>384</v>
      </c>
      <c r="C127" t="e">
        <f>VLOOKUP(A127,MGR!A:A,2,FALSE)</f>
        <v>#N/A</v>
      </c>
    </row>
    <row r="128" spans="1:3" hidden="1" x14ac:dyDescent="0.25">
      <c r="A128" t="s">
        <v>387</v>
      </c>
      <c r="B128" t="s">
        <v>388</v>
      </c>
      <c r="C128" t="e">
        <f>VLOOKUP(A128,MGR!A:A,2,FALSE)</f>
        <v>#N/A</v>
      </c>
    </row>
    <row r="129" spans="1:3" hidden="1" x14ac:dyDescent="0.25">
      <c r="A129" t="s">
        <v>389</v>
      </c>
      <c r="B129" t="s">
        <v>390</v>
      </c>
      <c r="C129" t="e">
        <f>VLOOKUP(A129,MGR!A:A,2,FALSE)</f>
        <v>#N/A</v>
      </c>
    </row>
    <row r="130" spans="1:3" hidden="1" x14ac:dyDescent="0.25">
      <c r="A130" t="s">
        <v>385</v>
      </c>
      <c r="B130" t="s">
        <v>386</v>
      </c>
      <c r="C130" t="e">
        <f>VLOOKUP(A130,MGR!A:A,2,FALSE)</f>
        <v>#N/A</v>
      </c>
    </row>
    <row r="131" spans="1:3" hidden="1" x14ac:dyDescent="0.25">
      <c r="A131" t="s">
        <v>391</v>
      </c>
      <c r="B131" t="s">
        <v>392</v>
      </c>
      <c r="C131" t="e">
        <f>VLOOKUP(A131,MGR!A:A,2,FALSE)</f>
        <v>#N/A</v>
      </c>
    </row>
    <row r="132" spans="1:3" hidden="1" x14ac:dyDescent="0.25">
      <c r="A132" t="s">
        <v>140</v>
      </c>
      <c r="B132" t="s">
        <v>275</v>
      </c>
      <c r="C132" t="e">
        <f>VLOOKUP(A132,MGR!A:A,2,FALSE)</f>
        <v>#N/A</v>
      </c>
    </row>
    <row r="133" spans="1:3" hidden="1" x14ac:dyDescent="0.25">
      <c r="A133" t="s">
        <v>47</v>
      </c>
      <c r="B133" t="s">
        <v>276</v>
      </c>
      <c r="C133" t="e">
        <f>VLOOKUP(A133,MGR!A:A,2,FALSE)</f>
        <v>#N/A</v>
      </c>
    </row>
    <row r="134" spans="1:3" hidden="1" x14ac:dyDescent="0.25">
      <c r="A134" t="s">
        <v>61</v>
      </c>
      <c r="B134" t="s">
        <v>277</v>
      </c>
      <c r="C134" t="e">
        <f>VLOOKUP(A134,MGR!A:A,2,FALSE)</f>
        <v>#N/A</v>
      </c>
    </row>
    <row r="135" spans="1:3" hidden="1" x14ac:dyDescent="0.25">
      <c r="A135" t="s">
        <v>60</v>
      </c>
      <c r="B135" t="s">
        <v>278</v>
      </c>
      <c r="C135" t="e">
        <f>VLOOKUP(A135,MGR!A:A,2,FALSE)</f>
        <v>#N/A</v>
      </c>
    </row>
    <row r="136" spans="1:3" hidden="1" x14ac:dyDescent="0.25">
      <c r="A136" t="s">
        <v>104</v>
      </c>
      <c r="B136" t="s">
        <v>279</v>
      </c>
      <c r="C136" t="e">
        <f>VLOOKUP(A136,MGR!A:A,2,FALSE)</f>
        <v>#N/A</v>
      </c>
    </row>
    <row r="137" spans="1:3" hidden="1" x14ac:dyDescent="0.25">
      <c r="A137" t="s">
        <v>141</v>
      </c>
      <c r="B137" t="s">
        <v>280</v>
      </c>
      <c r="C137" t="e">
        <f>VLOOKUP(A137,MGR!A:A,2,FALSE)</f>
        <v>#N/A</v>
      </c>
    </row>
    <row r="138" spans="1:3" hidden="1" x14ac:dyDescent="0.25">
      <c r="A138" t="s">
        <v>146</v>
      </c>
      <c r="B138" t="s">
        <v>281</v>
      </c>
      <c r="C138" t="e">
        <f>VLOOKUP(A138,MGR!A:A,2,FALSE)</f>
        <v>#N/A</v>
      </c>
    </row>
    <row r="139" spans="1:3" hidden="1" x14ac:dyDescent="0.25">
      <c r="A139" t="s">
        <v>169</v>
      </c>
      <c r="B139" t="s">
        <v>282</v>
      </c>
      <c r="C139" t="e">
        <f>VLOOKUP(A139,MGR!A:A,2,FALSE)</f>
        <v>#N/A</v>
      </c>
    </row>
    <row r="140" spans="1:3" hidden="1" x14ac:dyDescent="0.25">
      <c r="A140" t="s">
        <v>393</v>
      </c>
      <c r="B140" t="s">
        <v>394</v>
      </c>
      <c r="C140" t="e">
        <f>VLOOKUP(A140,MGR!A:A,2,FALSE)</f>
        <v>#N/A</v>
      </c>
    </row>
    <row r="141" spans="1:3" hidden="1" x14ac:dyDescent="0.25">
      <c r="A141" t="s">
        <v>130</v>
      </c>
      <c r="B141" t="s">
        <v>283</v>
      </c>
      <c r="C141" t="e">
        <f>VLOOKUP(A141,MGR!A:A,2,FALSE)</f>
        <v>#N/A</v>
      </c>
    </row>
    <row r="142" spans="1:3" hidden="1" x14ac:dyDescent="0.25">
      <c r="A142" t="s">
        <v>102</v>
      </c>
      <c r="B142" t="s">
        <v>284</v>
      </c>
      <c r="C142" t="e">
        <f>VLOOKUP(A142,MGR!A:A,2,FALSE)</f>
        <v>#N/A</v>
      </c>
    </row>
    <row r="143" spans="1:3" hidden="1" x14ac:dyDescent="0.25">
      <c r="A143" t="s">
        <v>48</v>
      </c>
      <c r="B143" t="s">
        <v>334</v>
      </c>
      <c r="C143" t="e">
        <f>VLOOKUP(A143,MGR!A:A,2,FALSE)</f>
        <v>#N/A</v>
      </c>
    </row>
    <row r="144" spans="1:3" hidden="1" x14ac:dyDescent="0.25">
      <c r="A144" t="s">
        <v>49</v>
      </c>
      <c r="B144" t="s">
        <v>335</v>
      </c>
      <c r="C144" t="e">
        <f>VLOOKUP(A144,MGR!A:A,2,FALSE)</f>
        <v>#N/A</v>
      </c>
    </row>
    <row r="145" spans="1:3" hidden="1" x14ac:dyDescent="0.25">
      <c r="A145" t="s">
        <v>50</v>
      </c>
      <c r="B145" t="s">
        <v>336</v>
      </c>
      <c r="C145" t="e">
        <f>VLOOKUP(A145,MGR!A:A,2,FALSE)</f>
        <v>#N/A</v>
      </c>
    </row>
    <row r="146" spans="1:3" hidden="1" x14ac:dyDescent="0.25">
      <c r="A146" t="s">
        <v>51</v>
      </c>
      <c r="B146" t="s">
        <v>337</v>
      </c>
      <c r="C146" t="e">
        <f>VLOOKUP(A146,MGR!A:A,2,FALSE)</f>
        <v>#N/A</v>
      </c>
    </row>
    <row r="147" spans="1:3" hidden="1" x14ac:dyDescent="0.25">
      <c r="A147" t="s">
        <v>123</v>
      </c>
      <c r="B147" t="s">
        <v>285</v>
      </c>
      <c r="C147" t="e">
        <f>VLOOKUP(A147,MGR!A:A,2,FALSE)</f>
        <v>#N/A</v>
      </c>
    </row>
    <row r="148" spans="1:3" hidden="1" x14ac:dyDescent="0.25">
      <c r="A148" t="s">
        <v>132</v>
      </c>
      <c r="B148" t="s">
        <v>133</v>
      </c>
      <c r="C148" t="e">
        <f>VLOOKUP(A148,MGR!A:A,2,FALSE)</f>
        <v>#N/A</v>
      </c>
    </row>
    <row r="149" spans="1:3" hidden="1" x14ac:dyDescent="0.25">
      <c r="A149" t="s">
        <v>147</v>
      </c>
      <c r="B149" t="s">
        <v>148</v>
      </c>
      <c r="C149" t="e">
        <f>VLOOKUP(A149,MGR!A:A,2,FALSE)</f>
        <v>#N/A</v>
      </c>
    </row>
    <row r="150" spans="1:3" hidden="1" x14ac:dyDescent="0.25">
      <c r="A150" t="s">
        <v>364</v>
      </c>
      <c r="B150" t="s">
        <v>365</v>
      </c>
      <c r="C150" t="e">
        <f>VLOOKUP(A150,MGR!A:A,2,FALSE)</f>
        <v>#N/A</v>
      </c>
    </row>
    <row r="151" spans="1:3" hidden="1" x14ac:dyDescent="0.25">
      <c r="A151" t="s">
        <v>370</v>
      </c>
      <c r="B151" t="s">
        <v>371</v>
      </c>
      <c r="C151" t="e">
        <f>VLOOKUP(A151,MGR!A:A,2,FALSE)</f>
        <v>#N/A</v>
      </c>
    </row>
    <row r="152" spans="1:3" hidden="1" x14ac:dyDescent="0.25">
      <c r="A152" t="s">
        <v>175</v>
      </c>
      <c r="B152" t="s">
        <v>286</v>
      </c>
      <c r="C152" t="e">
        <f>VLOOKUP(A152,MGR!A:A,2,FALSE)</f>
        <v>#N/A</v>
      </c>
    </row>
    <row r="153" spans="1:3" hidden="1" x14ac:dyDescent="0.25">
      <c r="A153" t="s">
        <v>128</v>
      </c>
      <c r="B153" t="s">
        <v>274</v>
      </c>
      <c r="C153" t="e">
        <f>VLOOKUP(A153,MGR!A:A,2,FALSE)</f>
        <v>#N/A</v>
      </c>
    </row>
    <row r="154" spans="1:3" hidden="1" x14ac:dyDescent="0.25">
      <c r="A154" t="s">
        <v>167</v>
      </c>
      <c r="B154" t="s">
        <v>288</v>
      </c>
      <c r="C154" t="e">
        <f>VLOOKUP(A154,MGR!A:A,2,FALSE)</f>
        <v>#N/A</v>
      </c>
    </row>
    <row r="155" spans="1:3" hidden="1" x14ac:dyDescent="0.25">
      <c r="A155" t="s">
        <v>346</v>
      </c>
      <c r="B155" t="s">
        <v>372</v>
      </c>
      <c r="C155" t="e">
        <f>VLOOKUP(A155,MGR!A:A,2,FALSE)</f>
        <v>#N/A</v>
      </c>
    </row>
    <row r="156" spans="1:3" hidden="1" x14ac:dyDescent="0.25">
      <c r="A156" t="s">
        <v>94</v>
      </c>
      <c r="B156" t="s">
        <v>289</v>
      </c>
      <c r="C156" t="e">
        <f>VLOOKUP(A156,MGR!A:A,2,FALSE)</f>
        <v>#N/A</v>
      </c>
    </row>
    <row r="157" spans="1:3" hidden="1" x14ac:dyDescent="0.25">
      <c r="A157" t="s">
        <v>62</v>
      </c>
      <c r="B157" t="s">
        <v>290</v>
      </c>
      <c r="C157" t="e">
        <f>VLOOKUP(A157,MGR!A:A,2,FALSE)</f>
        <v>#N/A</v>
      </c>
    </row>
    <row r="158" spans="1:3" hidden="1" x14ac:dyDescent="0.25">
      <c r="A158" t="s">
        <v>347</v>
      </c>
      <c r="B158" t="s">
        <v>348</v>
      </c>
      <c r="C158" t="e">
        <f>VLOOKUP(A158,MGR!A:A,2,FALSE)</f>
        <v>#N/A</v>
      </c>
    </row>
    <row r="159" spans="1:3" hidden="1" x14ac:dyDescent="0.25">
      <c r="A159" t="s">
        <v>129</v>
      </c>
      <c r="B159" t="s">
        <v>291</v>
      </c>
      <c r="C159" t="e">
        <f>VLOOKUP(A159,MGR!A:A,2,FALSE)</f>
        <v>#N/A</v>
      </c>
    </row>
    <row r="160" spans="1:3" hidden="1" x14ac:dyDescent="0.25">
      <c r="A160" t="s">
        <v>149</v>
      </c>
      <c r="B160" t="s">
        <v>287</v>
      </c>
      <c r="C160" t="e">
        <f>VLOOKUP(A160,MGR!A:A,2,FALSE)</f>
        <v>#N/A</v>
      </c>
    </row>
    <row r="161" spans="1:3" hidden="1" x14ac:dyDescent="0.25">
      <c r="A161" t="s">
        <v>159</v>
      </c>
      <c r="B161" t="s">
        <v>292</v>
      </c>
      <c r="C161" t="e">
        <f>VLOOKUP(A161,MGR!A:A,2,FALSE)</f>
        <v>#N/A</v>
      </c>
    </row>
    <row r="162" spans="1:3" hidden="1" x14ac:dyDescent="0.25">
      <c r="A162" t="s">
        <v>293</v>
      </c>
      <c r="B162" t="s">
        <v>294</v>
      </c>
      <c r="C162" t="e">
        <f>VLOOKUP(A162,MGR!A:A,2,FALSE)</f>
        <v>#N/A</v>
      </c>
    </row>
    <row r="163" spans="1:3" x14ac:dyDescent="0.25">
      <c r="A163" t="s">
        <v>57</v>
      </c>
      <c r="B163" t="s">
        <v>57</v>
      </c>
      <c r="C163" t="e">
        <f>VLOOKUP(A163,MGR!A:A,2,FALSE)</f>
        <v>#N/A</v>
      </c>
    </row>
    <row r="164" spans="1:3" x14ac:dyDescent="0.25">
      <c r="C164" t="e">
        <f>VLOOKUP(A164,MGR!A:A,2,FALSE)</f>
        <v>#N/A</v>
      </c>
    </row>
    <row r="165" spans="1:3" x14ac:dyDescent="0.25">
      <c r="C165" t="e">
        <f>VLOOKUP(A165,MGR!A:A,2,FALSE)</f>
        <v>#N/A</v>
      </c>
    </row>
    <row r="166" spans="1:3" x14ac:dyDescent="0.25">
      <c r="C166" t="e">
        <f>VLOOKUP(A166,MGR!A:A,2,FALSE)</f>
        <v>#N/A</v>
      </c>
    </row>
    <row r="167" spans="1:3" x14ac:dyDescent="0.25">
      <c r="C167" t="e">
        <f>VLOOKUP(A167,MGR!A:A,2,FALSE)</f>
        <v>#N/A</v>
      </c>
    </row>
    <row r="168" spans="1:3" x14ac:dyDescent="0.25">
      <c r="C168" t="e">
        <f>VLOOKUP(A168,MGR!A:A,2,FALSE)</f>
        <v>#N/A</v>
      </c>
    </row>
    <row r="169" spans="1:3" x14ac:dyDescent="0.25">
      <c r="C169" t="e">
        <f>VLOOKUP(A169,MGR!A:A,2,FALSE)</f>
        <v>#N/A</v>
      </c>
    </row>
    <row r="170" spans="1:3" x14ac:dyDescent="0.25">
      <c r="C170" t="e">
        <f>VLOOKUP(A170,MGR!A:A,2,FALSE)</f>
        <v>#N/A</v>
      </c>
    </row>
    <row r="171" spans="1:3" x14ac:dyDescent="0.25">
      <c r="C171" t="e">
        <f>VLOOKUP(A171,MGR!A:A,2,FALSE)</f>
        <v>#N/A</v>
      </c>
    </row>
    <row r="172" spans="1:3" x14ac:dyDescent="0.25">
      <c r="C172" t="e">
        <f>VLOOKUP(A172,MGR!A:A,2,FALSE)</f>
        <v>#N/A</v>
      </c>
    </row>
    <row r="173" spans="1:3" x14ac:dyDescent="0.25">
      <c r="C173" t="e">
        <f>VLOOKUP(A173,MGR!A:A,2,FALSE)</f>
        <v>#N/A</v>
      </c>
    </row>
    <row r="174" spans="1:3" x14ac:dyDescent="0.25">
      <c r="C174" t="e">
        <f>VLOOKUP(A174,MGR!A:A,2,FALSE)</f>
        <v>#N/A</v>
      </c>
    </row>
    <row r="175" spans="1:3" x14ac:dyDescent="0.25">
      <c r="C175" t="e">
        <f>VLOOKUP(A175,MGR!A:A,2,FALSE)</f>
        <v>#N/A</v>
      </c>
    </row>
    <row r="176" spans="1:3" x14ac:dyDescent="0.25">
      <c r="C176" t="e">
        <f>VLOOKUP(A176,MGR!A:A,2,FALSE)</f>
        <v>#N/A</v>
      </c>
    </row>
    <row r="177" spans="3:3" x14ac:dyDescent="0.25">
      <c r="C177" t="e">
        <f>VLOOKUP(A177,MGR!A:A,2,FALSE)</f>
        <v>#N/A</v>
      </c>
    </row>
    <row r="178" spans="3:3" x14ac:dyDescent="0.25">
      <c r="C178" t="e">
        <f>VLOOKUP(A178,MGR!A:A,2,FALSE)</f>
        <v>#N/A</v>
      </c>
    </row>
    <row r="179" spans="3:3" x14ac:dyDescent="0.25">
      <c r="C179" t="e">
        <f>VLOOKUP(A179,MGR!A:A,2,FALSE)</f>
        <v>#N/A</v>
      </c>
    </row>
    <row r="180" spans="3:3" x14ac:dyDescent="0.25">
      <c r="C180" t="e">
        <f>VLOOKUP(A180,MGR!A:A,2,FALSE)</f>
        <v>#N/A</v>
      </c>
    </row>
    <row r="181" spans="3:3" x14ac:dyDescent="0.25">
      <c r="C181" t="e">
        <f>VLOOKUP(A181,MGR!A:A,2,FALSE)</f>
        <v>#N/A</v>
      </c>
    </row>
    <row r="182" spans="3:3" x14ac:dyDescent="0.25">
      <c r="C182" t="e">
        <f>VLOOKUP(A182,MGR!A:A,2,FALSE)</f>
        <v>#N/A</v>
      </c>
    </row>
    <row r="183" spans="3:3" x14ac:dyDescent="0.25">
      <c r="C183" t="e">
        <f>VLOOKUP(A183,MGR!A:A,2,FALSE)</f>
        <v>#N/A</v>
      </c>
    </row>
    <row r="184" spans="3:3" x14ac:dyDescent="0.25">
      <c r="C184" t="e">
        <f>VLOOKUP(A184,MGR!A:A,2,FALSE)</f>
        <v>#N/A</v>
      </c>
    </row>
    <row r="185" spans="3:3" x14ac:dyDescent="0.25">
      <c r="C185" t="e">
        <f>VLOOKUP(A185,MGR!A:A,2,FALSE)</f>
        <v>#N/A</v>
      </c>
    </row>
    <row r="186" spans="3:3" x14ac:dyDescent="0.25">
      <c r="C186" t="e">
        <f>VLOOKUP(A186,MGR!A:A,2,FALSE)</f>
        <v>#N/A</v>
      </c>
    </row>
    <row r="187" spans="3:3" x14ac:dyDescent="0.25">
      <c r="C187" t="e">
        <f>VLOOKUP(A187,MGR!A:A,2,FALSE)</f>
        <v>#N/A</v>
      </c>
    </row>
    <row r="188" spans="3:3" x14ac:dyDescent="0.25">
      <c r="C188" t="e">
        <f>VLOOKUP(A188,MGR!A:A,2,FALSE)</f>
        <v>#N/A</v>
      </c>
    </row>
    <row r="189" spans="3:3" x14ac:dyDescent="0.25">
      <c r="C189" t="e">
        <f>VLOOKUP(A189,MGR!A:A,2,FALSE)</f>
        <v>#N/A</v>
      </c>
    </row>
    <row r="190" spans="3:3" x14ac:dyDescent="0.25">
      <c r="C190" t="e">
        <f>VLOOKUP(A190,MGR!A:A,2,FALSE)</f>
        <v>#N/A</v>
      </c>
    </row>
    <row r="191" spans="3:3" x14ac:dyDescent="0.25">
      <c r="C191" t="e">
        <f>VLOOKUP(A191,MGR!A:A,2,FALSE)</f>
        <v>#N/A</v>
      </c>
    </row>
    <row r="192" spans="3:3" x14ac:dyDescent="0.25">
      <c r="C192" t="e">
        <f>VLOOKUP(A192,MGR!A:A,2,FALSE)</f>
        <v>#N/A</v>
      </c>
    </row>
    <row r="193" spans="3:3" x14ac:dyDescent="0.25">
      <c r="C193" t="e">
        <f>VLOOKUP(A193,MGR!A:A,2,FALSE)</f>
        <v>#N/A</v>
      </c>
    </row>
    <row r="194" spans="3:3" x14ac:dyDescent="0.25">
      <c r="C194" t="e">
        <f>VLOOKUP(A194,MGR!A:A,2,FALSE)</f>
        <v>#N/A</v>
      </c>
    </row>
    <row r="195" spans="3:3" x14ac:dyDescent="0.25">
      <c r="C195" t="e">
        <f>VLOOKUP(A195,MGR!A:A,2,FALSE)</f>
        <v>#N/A</v>
      </c>
    </row>
    <row r="196" spans="3:3" x14ac:dyDescent="0.25">
      <c r="C196" t="e">
        <f>VLOOKUP(A196,MGR!A:A,2,FALSE)</f>
        <v>#N/A</v>
      </c>
    </row>
    <row r="197" spans="3:3" x14ac:dyDescent="0.25">
      <c r="C197" t="e">
        <f>VLOOKUP(A197,MGR!A:A,2,FALSE)</f>
        <v>#N/A</v>
      </c>
    </row>
    <row r="198" spans="3:3" hidden="1" x14ac:dyDescent="0.25"/>
    <row r="199" spans="3:3" hidden="1" x14ac:dyDescent="0.25"/>
    <row r="200" spans="3:3" hidden="1" x14ac:dyDescent="0.25"/>
    <row r="201" spans="3:3" hidden="1" x14ac:dyDescent="0.25"/>
    <row r="202" spans="3:3" hidden="1" x14ac:dyDescent="0.25"/>
    <row r="203" spans="3:3" hidden="1" x14ac:dyDescent="0.25"/>
  </sheetData>
  <autoFilter ref="A3:C203" xr:uid="{780DDE16-F01C-47A0-B409-413F22DADA33}">
    <filterColumn colId="2">
      <filters>
        <filter val="#N/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0C3A-AA40-4EE9-BDE3-05E55F363BF5}">
  <sheetPr>
    <tabColor theme="4"/>
  </sheetPr>
  <dimension ref="A3:O141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1" sqref="E11"/>
    </sheetView>
  </sheetViews>
  <sheetFormatPr defaultRowHeight="15.75" x14ac:dyDescent="0.25"/>
  <cols>
    <col min="1" max="1" width="13" customWidth="1"/>
    <col min="2" max="2" width="15.77734375" customWidth="1"/>
    <col min="3" max="3" width="13.21875" customWidth="1"/>
    <col min="4" max="6" width="13.21875" style="2" customWidth="1"/>
    <col min="7" max="7" width="13.21875" style="1" customWidth="1"/>
    <col min="8" max="10" width="13.21875" style="2" customWidth="1"/>
    <col min="11" max="11" width="16.21875" style="2" customWidth="1"/>
    <col min="12" max="12" width="13.21875" style="2" customWidth="1"/>
    <col min="13" max="13" width="16.44140625" style="2" customWidth="1"/>
    <col min="14" max="14" width="13.21875" style="1" customWidth="1"/>
    <col min="15" max="15" width="8.88671875" style="4"/>
  </cols>
  <sheetData>
    <row r="3" spans="1:15" ht="16.5" thickBot="1" x14ac:dyDescent="0.3">
      <c r="C3" s="6"/>
      <c r="D3" s="254" t="s">
        <v>22</v>
      </c>
      <c r="E3" s="254"/>
      <c r="F3" s="254"/>
      <c r="G3" s="254"/>
      <c r="H3" s="7"/>
      <c r="I3" s="7"/>
      <c r="J3" s="7"/>
      <c r="K3" s="254" t="s">
        <v>19</v>
      </c>
      <c r="L3" s="254"/>
      <c r="M3" s="254"/>
      <c r="N3" s="254"/>
    </row>
    <row r="4" spans="1:15" s="3" customFormat="1" ht="31.5" x14ac:dyDescent="0.25">
      <c r="A4" s="8" t="s">
        <v>25</v>
      </c>
      <c r="B4" s="8" t="s">
        <v>7</v>
      </c>
      <c r="C4" s="10" t="s">
        <v>12</v>
      </c>
      <c r="D4" s="11" t="s">
        <v>20</v>
      </c>
      <c r="E4" s="11" t="s">
        <v>21</v>
      </c>
      <c r="F4" s="11" t="s">
        <v>15</v>
      </c>
      <c r="G4" s="12" t="s">
        <v>16</v>
      </c>
      <c r="H4" s="13" t="s">
        <v>6</v>
      </c>
      <c r="I4" s="13" t="s">
        <v>17</v>
      </c>
      <c r="J4" s="13" t="s">
        <v>18</v>
      </c>
      <c r="K4" s="11" t="s">
        <v>24</v>
      </c>
      <c r="L4" s="11" t="s">
        <v>55</v>
      </c>
      <c r="M4" s="11" t="s">
        <v>23</v>
      </c>
      <c r="N4" s="12" t="s">
        <v>26</v>
      </c>
      <c r="O4" s="5" t="s">
        <v>52</v>
      </c>
    </row>
    <row r="5" spans="1:15" x14ac:dyDescent="0.25">
      <c r="A5" t="e">
        <f>LEFT(C5,FIND(" ",C5)-1)</f>
        <v>#VALUE!</v>
      </c>
      <c r="B5" t="e">
        <f t="shared" ref="B5:B68" si="0">RIGHT(C5,LEN(C5)-FIND(" ",C5))</f>
        <v>#VALUE!</v>
      </c>
      <c r="C5" t="s">
        <v>69</v>
      </c>
      <c r="D5" t="s">
        <v>70</v>
      </c>
      <c r="E5"/>
      <c r="F5"/>
      <c r="G5"/>
      <c r="H5"/>
      <c r="I5"/>
      <c r="J5"/>
      <c r="K5"/>
      <c r="L5"/>
      <c r="M5"/>
      <c r="N5"/>
    </row>
    <row r="6" spans="1:15" x14ac:dyDescent="0.25">
      <c r="A6" t="e">
        <f t="shared" ref="A6:A68" si="1">LEFT(C6,FIND(" ",C6)-1)</f>
        <v>#VALUE!</v>
      </c>
      <c r="B6" t="e">
        <f t="shared" si="0"/>
        <v>#VALUE!</v>
      </c>
      <c r="D6"/>
      <c r="E6"/>
      <c r="F6"/>
      <c r="G6"/>
      <c r="H6"/>
      <c r="I6"/>
      <c r="J6"/>
      <c r="K6"/>
      <c r="L6"/>
      <c r="M6"/>
      <c r="N6"/>
    </row>
    <row r="7" spans="1:15" x14ac:dyDescent="0.25">
      <c r="A7" t="e">
        <f t="shared" si="1"/>
        <v>#VALUE!</v>
      </c>
      <c r="B7" t="e">
        <f t="shared" si="0"/>
        <v>#VALUE!</v>
      </c>
      <c r="C7" s="14">
        <v>0</v>
      </c>
      <c r="D7" s="14">
        <v>0</v>
      </c>
      <c r="E7"/>
      <c r="F7"/>
      <c r="G7"/>
      <c r="H7"/>
      <c r="I7"/>
      <c r="J7"/>
      <c r="K7"/>
      <c r="L7"/>
      <c r="M7"/>
      <c r="N7"/>
    </row>
    <row r="8" spans="1:15" x14ac:dyDescent="0.25">
      <c r="A8" t="e">
        <f t="shared" si="1"/>
        <v>#VALUE!</v>
      </c>
      <c r="B8" t="e">
        <f t="shared" si="0"/>
        <v>#VALUE!</v>
      </c>
      <c r="D8"/>
      <c r="E8"/>
      <c r="F8"/>
      <c r="G8"/>
      <c r="H8"/>
      <c r="I8"/>
      <c r="J8"/>
      <c r="K8"/>
      <c r="L8"/>
      <c r="M8"/>
      <c r="N8"/>
    </row>
    <row r="9" spans="1:15" x14ac:dyDescent="0.25">
      <c r="A9" t="e">
        <f t="shared" si="1"/>
        <v>#VALUE!</v>
      </c>
      <c r="B9" t="e">
        <f t="shared" si="0"/>
        <v>#VALUE!</v>
      </c>
      <c r="D9" s="14">
        <v>0</v>
      </c>
      <c r="E9"/>
      <c r="F9"/>
      <c r="G9"/>
      <c r="H9"/>
      <c r="I9"/>
      <c r="J9"/>
      <c r="K9"/>
      <c r="L9"/>
      <c r="M9"/>
      <c r="N9"/>
    </row>
    <row r="10" spans="1:15" x14ac:dyDescent="0.25">
      <c r="A10" t="str">
        <f t="shared" si="1"/>
        <v>00INDOH</v>
      </c>
      <c r="B10" t="str">
        <f t="shared" si="0"/>
        <v xml:space="preserve"> 00 - Indirect Cost</v>
      </c>
      <c r="C10" t="s">
        <v>71</v>
      </c>
      <c r="D10" s="15">
        <v>10153.5</v>
      </c>
      <c r="E10" s="15">
        <v>777175.44</v>
      </c>
      <c r="F10" s="15">
        <v>-767021.94</v>
      </c>
      <c r="G10" s="34">
        <v>-7554.2614861870297</v>
      </c>
      <c r="H10" s="15">
        <v>112638</v>
      </c>
      <c r="I10" s="15">
        <v>0</v>
      </c>
      <c r="J10" s="15">
        <v>0</v>
      </c>
      <c r="K10" s="15">
        <v>112638</v>
      </c>
      <c r="L10" s="15">
        <v>43187998.020000003</v>
      </c>
      <c r="M10" s="15">
        <v>-43075360.020000003</v>
      </c>
      <c r="N10" s="34">
        <v>-38242.298354019098</v>
      </c>
    </row>
    <row r="11" spans="1:15" x14ac:dyDescent="0.25">
      <c r="A11" t="e">
        <f t="shared" si="1"/>
        <v>#VALUE!</v>
      </c>
      <c r="B11" t="e">
        <f t="shared" si="0"/>
        <v>#VALUE!</v>
      </c>
      <c r="C11" t="s">
        <v>69</v>
      </c>
      <c r="D11" t="s">
        <v>70</v>
      </c>
      <c r="E11" s="15">
        <v>10153.5</v>
      </c>
      <c r="F11" s="15">
        <v>-767021.94</v>
      </c>
      <c r="G11" s="15">
        <v>112638</v>
      </c>
      <c r="H11" s="15">
        <v>112638</v>
      </c>
      <c r="I11" s="15">
        <v>-43075360.020000003</v>
      </c>
      <c r="J11" s="15">
        <v>777175.44</v>
      </c>
      <c r="K11" s="14">
        <v>-7554.2614861870297</v>
      </c>
      <c r="L11" s="15">
        <v>0</v>
      </c>
      <c r="M11" s="15">
        <v>43187998.020000003</v>
      </c>
      <c r="N11" s="14">
        <v>-38242.298354019098</v>
      </c>
    </row>
    <row r="12" spans="1:15" x14ac:dyDescent="0.25">
      <c r="A12" t="e">
        <f t="shared" si="1"/>
        <v>#VALUE!</v>
      </c>
      <c r="B12" t="e">
        <f t="shared" si="0"/>
        <v>#VALUE!</v>
      </c>
      <c r="C12" t="s">
        <v>436</v>
      </c>
      <c r="D12" t="s">
        <v>437</v>
      </c>
      <c r="E12"/>
      <c r="F12"/>
      <c r="G12"/>
      <c r="H12"/>
      <c r="I12"/>
      <c r="J12"/>
      <c r="K12"/>
      <c r="L12"/>
      <c r="M12"/>
      <c r="N12"/>
    </row>
    <row r="13" spans="1:15" x14ac:dyDescent="0.25">
      <c r="A13" t="e">
        <f t="shared" si="1"/>
        <v>#VALUE!</v>
      </c>
      <c r="B13" t="e">
        <f t="shared" si="0"/>
        <v>#VALUE!</v>
      </c>
      <c r="D13"/>
      <c r="E13"/>
      <c r="F13"/>
      <c r="G13"/>
      <c r="H13"/>
      <c r="I13"/>
      <c r="J13"/>
      <c r="K13"/>
      <c r="L13"/>
      <c r="M13"/>
      <c r="N13"/>
    </row>
    <row r="14" spans="1:15" x14ac:dyDescent="0.25">
      <c r="A14" t="e">
        <f t="shared" si="1"/>
        <v>#VALUE!</v>
      </c>
      <c r="B14" t="e">
        <f t="shared" si="0"/>
        <v>#VALUE!</v>
      </c>
      <c r="C14" s="14">
        <v>0</v>
      </c>
      <c r="D14" s="14">
        <v>0</v>
      </c>
      <c r="E14"/>
      <c r="F14"/>
      <c r="G14"/>
      <c r="H14"/>
      <c r="I14"/>
      <c r="J14"/>
      <c r="K14"/>
      <c r="L14"/>
      <c r="M14"/>
      <c r="N14"/>
    </row>
    <row r="15" spans="1:15" x14ac:dyDescent="0.25">
      <c r="A15" t="e">
        <f t="shared" si="1"/>
        <v>#VALUE!</v>
      </c>
      <c r="B15" t="e">
        <f t="shared" si="0"/>
        <v>#VALUE!</v>
      </c>
      <c r="D15"/>
      <c r="E15"/>
      <c r="F15"/>
      <c r="G15"/>
      <c r="H15"/>
      <c r="I15"/>
      <c r="J15"/>
      <c r="K15"/>
      <c r="L15"/>
      <c r="M15"/>
      <c r="N15"/>
    </row>
    <row r="16" spans="1:15" x14ac:dyDescent="0.25">
      <c r="A16" t="e">
        <f t="shared" si="1"/>
        <v>#VALUE!</v>
      </c>
      <c r="B16" t="e">
        <f t="shared" si="0"/>
        <v>#VALUE!</v>
      </c>
      <c r="D16" s="14">
        <v>0</v>
      </c>
      <c r="E16"/>
      <c r="F16"/>
      <c r="G16"/>
      <c r="H16"/>
      <c r="I16"/>
      <c r="J16"/>
      <c r="K16"/>
      <c r="L16"/>
      <c r="M16"/>
      <c r="N16"/>
    </row>
    <row r="17" spans="1:14" x14ac:dyDescent="0.25">
      <c r="A17" t="str">
        <f t="shared" si="1"/>
        <v>1056119</v>
      </c>
      <c r="B17" t="str">
        <f t="shared" si="0"/>
        <v xml:space="preserve"> SierraTel - Coarsegold Yosemite - Ph 4A</v>
      </c>
      <c r="C17" t="s">
        <v>417</v>
      </c>
      <c r="D17" s="15">
        <v>-36000</v>
      </c>
      <c r="E17" s="15">
        <v>-24771.599999999999</v>
      </c>
      <c r="F17" s="15">
        <v>-11228.4</v>
      </c>
      <c r="G17" s="34">
        <v>0</v>
      </c>
      <c r="H17" s="15">
        <v>2912357.35</v>
      </c>
      <c r="I17" s="15">
        <v>-36000</v>
      </c>
      <c r="J17" s="15">
        <v>0</v>
      </c>
      <c r="K17" s="15">
        <v>2876357.35</v>
      </c>
      <c r="L17" s="15">
        <v>2891407.41</v>
      </c>
      <c r="M17" s="15">
        <v>-15050.06</v>
      </c>
      <c r="N17" s="34">
        <v>-0.523233318002021</v>
      </c>
    </row>
    <row r="18" spans="1:14" x14ac:dyDescent="0.25">
      <c r="A18" t="e">
        <f t="shared" si="1"/>
        <v>#VALUE!</v>
      </c>
      <c r="B18" t="e">
        <f t="shared" si="0"/>
        <v>#VALUE!</v>
      </c>
      <c r="D18"/>
      <c r="E18"/>
      <c r="F18"/>
      <c r="G18"/>
      <c r="H18"/>
      <c r="I18"/>
      <c r="J18"/>
      <c r="K18"/>
      <c r="L18"/>
      <c r="M18"/>
      <c r="N18"/>
    </row>
    <row r="19" spans="1:14" x14ac:dyDescent="0.25">
      <c r="A19" t="e">
        <f t="shared" si="1"/>
        <v>#VALUE!</v>
      </c>
      <c r="B19" t="e">
        <f t="shared" si="0"/>
        <v>#VALUE!</v>
      </c>
      <c r="C19" s="14">
        <v>0</v>
      </c>
      <c r="D19" s="14">
        <v>0</v>
      </c>
      <c r="E19"/>
      <c r="F19"/>
      <c r="G19"/>
      <c r="H19"/>
      <c r="I19"/>
      <c r="J19"/>
      <c r="K19"/>
      <c r="L19"/>
      <c r="M19"/>
      <c r="N19"/>
    </row>
    <row r="20" spans="1:14" x14ac:dyDescent="0.25">
      <c r="A20" t="e">
        <f t="shared" si="1"/>
        <v>#VALUE!</v>
      </c>
      <c r="B20" t="e">
        <f t="shared" si="0"/>
        <v>#VALUE!</v>
      </c>
      <c r="D20"/>
      <c r="E20"/>
      <c r="F20"/>
      <c r="G20"/>
      <c r="H20"/>
      <c r="I20"/>
      <c r="J20"/>
      <c r="K20"/>
      <c r="L20"/>
      <c r="M20"/>
      <c r="N20"/>
    </row>
    <row r="21" spans="1:14" x14ac:dyDescent="0.25">
      <c r="A21" t="e">
        <f t="shared" si="1"/>
        <v>#VALUE!</v>
      </c>
      <c r="B21" t="e">
        <f t="shared" si="0"/>
        <v>#VALUE!</v>
      </c>
      <c r="D21" s="14">
        <v>0</v>
      </c>
      <c r="E21"/>
      <c r="F21"/>
      <c r="G21"/>
      <c r="H21"/>
      <c r="I21"/>
      <c r="J21"/>
      <c r="K21"/>
      <c r="L21"/>
      <c r="M21"/>
      <c r="N21"/>
    </row>
    <row r="22" spans="1:14" x14ac:dyDescent="0.25">
      <c r="A22" t="str">
        <f t="shared" si="1"/>
        <v>1056136</v>
      </c>
      <c r="B22" t="str">
        <f t="shared" si="0"/>
        <v xml:space="preserve"> Frontier - Maint SSP Valley (2025-27)</v>
      </c>
      <c r="C22" t="s">
        <v>685</v>
      </c>
      <c r="D22" s="15">
        <v>241329.62</v>
      </c>
      <c r="E22" s="15">
        <v>219177.3</v>
      </c>
      <c r="F22" s="15">
        <v>22152.32</v>
      </c>
      <c r="G22" s="34">
        <v>9.1792793607349203</v>
      </c>
      <c r="H22" s="15">
        <v>1271043.3</v>
      </c>
      <c r="I22" s="15">
        <v>463995.06</v>
      </c>
      <c r="J22" s="15">
        <v>0</v>
      </c>
      <c r="K22" s="15">
        <v>1735038.36</v>
      </c>
      <c r="L22" s="15">
        <v>1460289.72</v>
      </c>
      <c r="M22" s="15">
        <v>274748.64</v>
      </c>
      <c r="N22" s="34">
        <v>15.835306373283901</v>
      </c>
    </row>
    <row r="23" spans="1:14" x14ac:dyDescent="0.25">
      <c r="A23" t="e">
        <f t="shared" si="1"/>
        <v>#VALUE!</v>
      </c>
      <c r="B23" t="e">
        <f t="shared" si="0"/>
        <v>#VALUE!</v>
      </c>
      <c r="D23"/>
      <c r="E23"/>
      <c r="F23"/>
      <c r="G23"/>
      <c r="H23"/>
      <c r="I23"/>
      <c r="J23"/>
      <c r="K23"/>
      <c r="L23"/>
      <c r="M23"/>
      <c r="N23"/>
    </row>
    <row r="24" spans="1:14" x14ac:dyDescent="0.25">
      <c r="A24" t="e">
        <f t="shared" si="1"/>
        <v>#VALUE!</v>
      </c>
      <c r="B24" t="e">
        <f t="shared" si="0"/>
        <v>#VALUE!</v>
      </c>
      <c r="C24" s="14">
        <v>1998808.98</v>
      </c>
      <c r="D24" s="14">
        <v>1998808.98</v>
      </c>
      <c r="E24"/>
      <c r="F24"/>
      <c r="G24"/>
      <c r="H24"/>
      <c r="I24"/>
      <c r="J24"/>
      <c r="K24"/>
      <c r="L24"/>
      <c r="M24"/>
      <c r="N24"/>
    </row>
    <row r="25" spans="1:14" x14ac:dyDescent="0.25">
      <c r="A25" t="e">
        <f t="shared" si="1"/>
        <v>#VALUE!</v>
      </c>
      <c r="B25" t="e">
        <f t="shared" si="0"/>
        <v>#VALUE!</v>
      </c>
      <c r="D25"/>
      <c r="E25"/>
      <c r="F25"/>
      <c r="G25"/>
      <c r="H25"/>
      <c r="I25"/>
      <c r="J25"/>
      <c r="K25"/>
      <c r="L25"/>
      <c r="M25"/>
      <c r="N25"/>
    </row>
    <row r="26" spans="1:14" x14ac:dyDescent="0.25">
      <c r="A26" t="e">
        <f t="shared" si="1"/>
        <v>#VALUE!</v>
      </c>
      <c r="B26" t="e">
        <f t="shared" si="0"/>
        <v>#VALUE!</v>
      </c>
      <c r="D26" s="14">
        <v>0</v>
      </c>
      <c r="E26"/>
      <c r="F26"/>
      <c r="G26"/>
      <c r="H26"/>
      <c r="I26"/>
      <c r="J26"/>
      <c r="K26"/>
      <c r="L26"/>
      <c r="M26"/>
      <c r="N26"/>
    </row>
    <row r="27" spans="1:14" x14ac:dyDescent="0.25">
      <c r="A27" t="str">
        <f t="shared" si="1"/>
        <v>1056155</v>
      </c>
      <c r="B27" t="str">
        <f t="shared" si="0"/>
        <v xml:space="preserve"> Ponderosa - Reconnect 3 - Build 1</v>
      </c>
      <c r="C27" t="s">
        <v>781</v>
      </c>
      <c r="D27" s="15">
        <v>0</v>
      </c>
      <c r="E27" s="15">
        <v>1566.25</v>
      </c>
      <c r="F27" s="15">
        <v>-1566.25</v>
      </c>
      <c r="G27" s="34">
        <v>0</v>
      </c>
      <c r="H27" s="15">
        <v>1199115.3</v>
      </c>
      <c r="I27" s="15">
        <v>0</v>
      </c>
      <c r="J27" s="15">
        <v>1998808.98</v>
      </c>
      <c r="K27" s="15">
        <v>1199115.3</v>
      </c>
      <c r="L27" s="15">
        <v>921004.71</v>
      </c>
      <c r="M27" s="15">
        <v>278110.59000000003</v>
      </c>
      <c r="N27" s="34">
        <v>23.192981525629801</v>
      </c>
    </row>
    <row r="28" spans="1:14" x14ac:dyDescent="0.25">
      <c r="A28" t="e">
        <f t="shared" si="1"/>
        <v>#VALUE!</v>
      </c>
      <c r="B28" t="e">
        <f t="shared" si="0"/>
        <v>#VALUE!</v>
      </c>
      <c r="D28"/>
      <c r="E28"/>
      <c r="F28"/>
      <c r="G28"/>
      <c r="H28"/>
      <c r="I28"/>
      <c r="J28"/>
      <c r="K28"/>
      <c r="L28"/>
      <c r="M28"/>
      <c r="N28"/>
    </row>
    <row r="29" spans="1:14" x14ac:dyDescent="0.25">
      <c r="A29" t="e">
        <f t="shared" si="1"/>
        <v>#VALUE!</v>
      </c>
      <c r="B29" t="e">
        <f t="shared" si="0"/>
        <v>#VALUE!</v>
      </c>
      <c r="C29" s="14">
        <v>9016.2999999999993</v>
      </c>
      <c r="D29" s="14">
        <v>9016.2999999999993</v>
      </c>
      <c r="E29"/>
      <c r="F29"/>
      <c r="G29"/>
      <c r="H29"/>
      <c r="I29"/>
      <c r="J29"/>
      <c r="K29"/>
      <c r="L29"/>
      <c r="M29"/>
      <c r="N29"/>
    </row>
    <row r="30" spans="1:14" x14ac:dyDescent="0.25">
      <c r="A30" t="e">
        <f t="shared" si="1"/>
        <v>#VALUE!</v>
      </c>
      <c r="B30" t="e">
        <f t="shared" si="0"/>
        <v>#VALUE!</v>
      </c>
      <c r="D30"/>
      <c r="E30"/>
      <c r="F30"/>
      <c r="G30"/>
      <c r="H30"/>
      <c r="I30"/>
      <c r="J30"/>
      <c r="K30"/>
      <c r="L30"/>
      <c r="M30"/>
      <c r="N30"/>
    </row>
    <row r="31" spans="1:14" x14ac:dyDescent="0.25">
      <c r="A31" t="e">
        <f t="shared" si="1"/>
        <v>#VALUE!</v>
      </c>
      <c r="B31" t="e">
        <f t="shared" si="0"/>
        <v>#VALUE!</v>
      </c>
      <c r="D31" s="14">
        <v>0</v>
      </c>
      <c r="E31"/>
      <c r="F31"/>
      <c r="G31"/>
      <c r="H31"/>
      <c r="I31"/>
      <c r="J31"/>
      <c r="K31"/>
      <c r="L31"/>
      <c r="M31"/>
      <c r="N31"/>
    </row>
    <row r="32" spans="1:14" x14ac:dyDescent="0.25">
      <c r="A32" t="str">
        <f t="shared" si="1"/>
        <v>1056168</v>
      </c>
      <c r="B32" t="str">
        <f t="shared" si="0"/>
        <v xml:space="preserve"> Lumen - Bakersfield to Delano II - Splic</v>
      </c>
      <c r="C32" t="s">
        <v>745</v>
      </c>
      <c r="D32" s="15">
        <v>0</v>
      </c>
      <c r="E32" s="15">
        <v>0</v>
      </c>
      <c r="F32" s="15">
        <v>0</v>
      </c>
      <c r="G32" s="34">
        <v>0</v>
      </c>
      <c r="H32" s="15">
        <v>12555.3</v>
      </c>
      <c r="I32" s="15">
        <v>-9.0949470177292804E-13</v>
      </c>
      <c r="J32" s="15">
        <v>9016.2999999999993</v>
      </c>
      <c r="K32" s="15">
        <v>12555.3</v>
      </c>
      <c r="L32" s="15">
        <v>8022.58</v>
      </c>
      <c r="M32" s="15">
        <v>4532.72</v>
      </c>
      <c r="N32" s="34">
        <v>36.102044554889197</v>
      </c>
    </row>
    <row r="33" spans="1:14" x14ac:dyDescent="0.25">
      <c r="A33" t="e">
        <f t="shared" si="1"/>
        <v>#VALUE!</v>
      </c>
      <c r="B33" t="e">
        <f t="shared" si="0"/>
        <v>#VALUE!</v>
      </c>
      <c r="D33"/>
      <c r="E33"/>
      <c r="F33"/>
      <c r="G33"/>
      <c r="H33"/>
      <c r="I33"/>
      <c r="J33"/>
      <c r="K33"/>
      <c r="L33"/>
      <c r="M33"/>
      <c r="N33"/>
    </row>
    <row r="34" spans="1:14" x14ac:dyDescent="0.25">
      <c r="A34" t="e">
        <f t="shared" si="1"/>
        <v>#VALUE!</v>
      </c>
      <c r="B34" t="e">
        <f t="shared" si="0"/>
        <v>#VALUE!</v>
      </c>
      <c r="C34" s="14">
        <v>71930</v>
      </c>
      <c r="D34" s="14">
        <v>71930</v>
      </c>
      <c r="E34"/>
      <c r="F34"/>
      <c r="G34"/>
      <c r="H34"/>
      <c r="I34"/>
      <c r="J34"/>
      <c r="K34"/>
      <c r="L34"/>
      <c r="M34"/>
      <c r="N34"/>
    </row>
    <row r="35" spans="1:14" x14ac:dyDescent="0.25">
      <c r="A35" t="e">
        <f t="shared" si="1"/>
        <v>#VALUE!</v>
      </c>
      <c r="B35" t="e">
        <f t="shared" si="0"/>
        <v>#VALUE!</v>
      </c>
      <c r="D35"/>
      <c r="E35"/>
      <c r="F35"/>
      <c r="G35"/>
      <c r="H35"/>
      <c r="I35"/>
      <c r="J35"/>
      <c r="K35"/>
      <c r="L35"/>
      <c r="M35"/>
      <c r="N35"/>
    </row>
    <row r="36" spans="1:14" x14ac:dyDescent="0.25">
      <c r="A36" t="e">
        <f t="shared" si="1"/>
        <v>#VALUE!</v>
      </c>
      <c r="B36" t="e">
        <f t="shared" si="0"/>
        <v>#VALUE!</v>
      </c>
      <c r="D36" s="14">
        <v>0</v>
      </c>
      <c r="E36"/>
      <c r="F36"/>
      <c r="G36"/>
      <c r="H36"/>
      <c r="I36"/>
      <c r="J36"/>
      <c r="K36"/>
      <c r="L36"/>
      <c r="M36"/>
      <c r="N36"/>
    </row>
    <row r="37" spans="1:14" x14ac:dyDescent="0.25">
      <c r="A37" t="str">
        <f t="shared" si="1"/>
        <v>1056218</v>
      </c>
      <c r="B37" t="str">
        <f t="shared" si="0"/>
        <v xml:space="preserve"> BNCSI - Pine Flat to Dam Aerial Feed</v>
      </c>
      <c r="C37" t="s">
        <v>801</v>
      </c>
      <c r="D37" s="15">
        <v>0</v>
      </c>
      <c r="E37" s="15">
        <v>0</v>
      </c>
      <c r="F37" s="15">
        <v>0</v>
      </c>
      <c r="G37" s="34">
        <v>0</v>
      </c>
      <c r="H37" s="15">
        <v>79190</v>
      </c>
      <c r="I37" s="15">
        <v>0</v>
      </c>
      <c r="J37" s="15">
        <v>71930</v>
      </c>
      <c r="K37" s="15">
        <v>79190</v>
      </c>
      <c r="L37" s="15">
        <v>45732.67</v>
      </c>
      <c r="M37" s="15">
        <v>33457.33</v>
      </c>
      <c r="N37" s="34">
        <v>42.2494380603612</v>
      </c>
    </row>
    <row r="38" spans="1:14" x14ac:dyDescent="0.25">
      <c r="A38" t="e">
        <f t="shared" si="1"/>
        <v>#VALUE!</v>
      </c>
      <c r="B38" t="e">
        <f t="shared" si="0"/>
        <v>#VALUE!</v>
      </c>
      <c r="D38"/>
      <c r="E38"/>
      <c r="F38"/>
      <c r="G38"/>
      <c r="H38"/>
      <c r="I38"/>
      <c r="J38"/>
      <c r="K38"/>
      <c r="L38"/>
      <c r="M38"/>
      <c r="N38"/>
    </row>
    <row r="39" spans="1:14" x14ac:dyDescent="0.25">
      <c r="A39" t="e">
        <f t="shared" si="1"/>
        <v>#VALUE!</v>
      </c>
      <c r="B39" t="e">
        <f t="shared" si="0"/>
        <v>#VALUE!</v>
      </c>
      <c r="C39" s="14">
        <v>431760</v>
      </c>
      <c r="D39" s="14">
        <v>431760</v>
      </c>
      <c r="E39"/>
      <c r="F39"/>
      <c r="G39"/>
      <c r="H39"/>
      <c r="I39"/>
      <c r="J39"/>
      <c r="K39"/>
      <c r="L39"/>
      <c r="M39"/>
      <c r="N39"/>
    </row>
    <row r="40" spans="1:14" x14ac:dyDescent="0.25">
      <c r="A40" t="e">
        <f t="shared" si="1"/>
        <v>#VALUE!</v>
      </c>
      <c r="B40" t="e">
        <f t="shared" si="0"/>
        <v>#VALUE!</v>
      </c>
      <c r="D40"/>
      <c r="E40"/>
      <c r="F40"/>
      <c r="G40"/>
      <c r="H40"/>
      <c r="I40"/>
      <c r="J40"/>
      <c r="K40"/>
      <c r="L40"/>
      <c r="M40"/>
      <c r="N40"/>
    </row>
    <row r="41" spans="1:14" x14ac:dyDescent="0.25">
      <c r="A41" t="e">
        <f t="shared" si="1"/>
        <v>#VALUE!</v>
      </c>
      <c r="B41" t="e">
        <f t="shared" si="0"/>
        <v>#VALUE!</v>
      </c>
      <c r="D41" s="14">
        <v>0</v>
      </c>
      <c r="E41"/>
      <c r="F41"/>
      <c r="G41"/>
      <c r="H41"/>
      <c r="I41"/>
      <c r="J41"/>
      <c r="K41"/>
      <c r="L41"/>
      <c r="M41"/>
      <c r="N41"/>
    </row>
    <row r="42" spans="1:14" x14ac:dyDescent="0.25">
      <c r="A42" t="str">
        <f t="shared" si="1"/>
        <v>1056282</v>
      </c>
      <c r="B42" t="str">
        <f t="shared" si="0"/>
        <v xml:space="preserve"> ATT - A05AJGW - Coulterville</v>
      </c>
      <c r="C42" t="s">
        <v>1017</v>
      </c>
      <c r="D42" s="15">
        <v>174232.11</v>
      </c>
      <c r="E42" s="15">
        <v>257849.01</v>
      </c>
      <c r="F42" s="15">
        <v>-83616.899999999994</v>
      </c>
      <c r="G42" s="34">
        <v>-47.991670421715</v>
      </c>
      <c r="H42" s="15">
        <v>0</v>
      </c>
      <c r="I42" s="15">
        <v>354095.06</v>
      </c>
      <c r="J42" s="15">
        <v>431760</v>
      </c>
      <c r="K42" s="15">
        <v>354095.06</v>
      </c>
      <c r="L42" s="15">
        <v>425639.22</v>
      </c>
      <c r="M42" s="15">
        <v>-71544.160000000003</v>
      </c>
      <c r="N42" s="34">
        <v>-20.2047890755663</v>
      </c>
    </row>
    <row r="43" spans="1:14" x14ac:dyDescent="0.25">
      <c r="A43" t="e">
        <f t="shared" si="1"/>
        <v>#VALUE!</v>
      </c>
      <c r="B43" t="e">
        <f t="shared" si="0"/>
        <v>#VALUE!</v>
      </c>
      <c r="D43"/>
      <c r="E43"/>
      <c r="F43"/>
      <c r="G43"/>
      <c r="H43"/>
      <c r="I43"/>
      <c r="J43"/>
      <c r="K43"/>
      <c r="L43"/>
      <c r="M43"/>
      <c r="N43"/>
    </row>
    <row r="44" spans="1:14" x14ac:dyDescent="0.25">
      <c r="A44" t="e">
        <f t="shared" si="1"/>
        <v>#VALUE!</v>
      </c>
      <c r="B44" t="e">
        <f t="shared" si="0"/>
        <v>#VALUE!</v>
      </c>
      <c r="C44" s="14">
        <v>89270</v>
      </c>
      <c r="D44" s="14">
        <v>89270</v>
      </c>
      <c r="E44"/>
      <c r="F44"/>
      <c r="G44"/>
      <c r="H44"/>
      <c r="I44"/>
      <c r="J44"/>
      <c r="K44"/>
      <c r="L44"/>
      <c r="M44"/>
      <c r="N44"/>
    </row>
    <row r="45" spans="1:14" x14ac:dyDescent="0.25">
      <c r="A45" t="e">
        <f t="shared" si="1"/>
        <v>#VALUE!</v>
      </c>
      <c r="B45" t="e">
        <f t="shared" si="0"/>
        <v>#VALUE!</v>
      </c>
      <c r="D45"/>
      <c r="E45"/>
      <c r="F45"/>
      <c r="G45"/>
      <c r="H45"/>
      <c r="I45"/>
      <c r="J45"/>
      <c r="K45"/>
      <c r="L45"/>
      <c r="M45"/>
      <c r="N45"/>
    </row>
    <row r="46" spans="1:14" x14ac:dyDescent="0.25">
      <c r="A46" t="e">
        <f t="shared" si="1"/>
        <v>#VALUE!</v>
      </c>
      <c r="B46" t="e">
        <f t="shared" si="0"/>
        <v>#VALUE!</v>
      </c>
      <c r="D46" s="14">
        <v>0</v>
      </c>
      <c r="E46"/>
      <c r="F46"/>
      <c r="G46"/>
      <c r="H46"/>
      <c r="I46"/>
      <c r="J46"/>
      <c r="K46"/>
      <c r="L46"/>
      <c r="M46"/>
      <c r="N46"/>
    </row>
    <row r="47" spans="1:14" x14ac:dyDescent="0.25">
      <c r="A47" t="str">
        <f t="shared" si="1"/>
        <v>2051013</v>
      </c>
      <c r="B47" t="str">
        <f t="shared" si="0"/>
        <v xml:space="preserve"> Sprint-Maintenance-Selma</v>
      </c>
      <c r="C47" t="s">
        <v>828</v>
      </c>
      <c r="D47" s="15">
        <v>0</v>
      </c>
      <c r="E47" s="15">
        <v>2375</v>
      </c>
      <c r="F47" s="15">
        <v>-2375</v>
      </c>
      <c r="G47" s="34">
        <v>0</v>
      </c>
      <c r="H47" s="15">
        <v>53180.25</v>
      </c>
      <c r="I47" s="15">
        <v>-17122.560000000001</v>
      </c>
      <c r="J47" s="15">
        <v>89270</v>
      </c>
      <c r="K47" s="15">
        <v>36057.69</v>
      </c>
      <c r="L47" s="15">
        <v>28022.39</v>
      </c>
      <c r="M47" s="15">
        <v>8035.3</v>
      </c>
      <c r="N47" s="34">
        <v>22.284566759545601</v>
      </c>
    </row>
    <row r="48" spans="1:14" x14ac:dyDescent="0.25">
      <c r="A48" t="e">
        <f t="shared" si="1"/>
        <v>#VALUE!</v>
      </c>
      <c r="B48" t="e">
        <f t="shared" si="0"/>
        <v>#VALUE!</v>
      </c>
      <c r="D48"/>
      <c r="E48"/>
      <c r="F48"/>
      <c r="G48"/>
      <c r="H48"/>
      <c r="I48"/>
      <c r="J48"/>
      <c r="K48"/>
      <c r="L48"/>
      <c r="M48"/>
      <c r="N48"/>
    </row>
    <row r="49" spans="1:14" x14ac:dyDescent="0.25">
      <c r="A49" t="e">
        <f t="shared" si="1"/>
        <v>#VALUE!</v>
      </c>
      <c r="B49" t="e">
        <f t="shared" si="0"/>
        <v>#VALUE!</v>
      </c>
      <c r="C49" s="14">
        <v>0</v>
      </c>
      <c r="D49" s="14">
        <v>0</v>
      </c>
      <c r="E49"/>
      <c r="F49"/>
      <c r="G49"/>
      <c r="H49"/>
      <c r="I49"/>
      <c r="J49"/>
      <c r="K49"/>
      <c r="L49"/>
      <c r="M49"/>
      <c r="N49"/>
    </row>
    <row r="50" spans="1:14" x14ac:dyDescent="0.25">
      <c r="A50" t="e">
        <f t="shared" si="1"/>
        <v>#VALUE!</v>
      </c>
      <c r="B50" t="e">
        <f t="shared" si="0"/>
        <v>#VALUE!</v>
      </c>
      <c r="D50"/>
      <c r="E50"/>
      <c r="F50"/>
      <c r="G50"/>
      <c r="H50"/>
      <c r="I50"/>
      <c r="J50"/>
      <c r="K50"/>
      <c r="L50"/>
      <c r="M50"/>
      <c r="N50"/>
    </row>
    <row r="51" spans="1:14" x14ac:dyDescent="0.25">
      <c r="A51" t="e">
        <f t="shared" si="1"/>
        <v>#VALUE!</v>
      </c>
      <c r="B51" t="e">
        <f t="shared" si="0"/>
        <v>#VALUE!</v>
      </c>
      <c r="D51" s="14">
        <v>0</v>
      </c>
      <c r="E51"/>
      <c r="F51"/>
      <c r="G51"/>
      <c r="H51"/>
      <c r="I51"/>
      <c r="J51"/>
      <c r="K51"/>
      <c r="L51"/>
      <c r="M51"/>
      <c r="N51"/>
    </row>
    <row r="52" spans="1:14" x14ac:dyDescent="0.25">
      <c r="A52" t="str">
        <f t="shared" si="1"/>
        <v>2052056</v>
      </c>
      <c r="B52" t="str">
        <f t="shared" si="0"/>
        <v xml:space="preserve"> Lumen - NAT OSP CENCAL MSA 2022-Selma</v>
      </c>
      <c r="C52" t="s">
        <v>1078</v>
      </c>
      <c r="D52" s="15">
        <v>0</v>
      </c>
      <c r="E52" s="15">
        <v>0</v>
      </c>
      <c r="F52" s="15">
        <v>0</v>
      </c>
      <c r="G52" s="34">
        <v>0</v>
      </c>
      <c r="H52" s="15">
        <v>178270.16</v>
      </c>
      <c r="I52" s="15">
        <v>11945.34</v>
      </c>
      <c r="J52" s="15">
        <v>0</v>
      </c>
      <c r="K52" s="15">
        <v>190215.5</v>
      </c>
      <c r="L52" s="15">
        <v>176044.71</v>
      </c>
      <c r="M52" s="15">
        <v>14170.79</v>
      </c>
      <c r="N52" s="34">
        <v>7.4498608157589699</v>
      </c>
    </row>
    <row r="53" spans="1:14" x14ac:dyDescent="0.25">
      <c r="A53" t="e">
        <f t="shared" si="1"/>
        <v>#VALUE!</v>
      </c>
      <c r="B53" t="e">
        <f t="shared" si="0"/>
        <v>#VALUE!</v>
      </c>
      <c r="D53"/>
      <c r="E53"/>
      <c r="F53"/>
      <c r="G53"/>
      <c r="H53"/>
      <c r="I53"/>
      <c r="J53"/>
      <c r="K53"/>
      <c r="L53"/>
      <c r="M53"/>
      <c r="N53"/>
    </row>
    <row r="54" spans="1:14" x14ac:dyDescent="0.25">
      <c r="A54" t="e">
        <f t="shared" si="1"/>
        <v>#VALUE!</v>
      </c>
      <c r="B54" t="e">
        <f t="shared" si="0"/>
        <v>#VALUE!</v>
      </c>
      <c r="C54" s="14">
        <v>0</v>
      </c>
      <c r="D54" s="14">
        <v>0</v>
      </c>
      <c r="E54"/>
      <c r="F54"/>
      <c r="G54"/>
      <c r="H54"/>
      <c r="I54"/>
      <c r="J54"/>
      <c r="K54"/>
      <c r="L54"/>
      <c r="M54"/>
      <c r="N54"/>
    </row>
    <row r="55" spans="1:14" x14ac:dyDescent="0.25">
      <c r="A55" t="e">
        <f t="shared" si="1"/>
        <v>#VALUE!</v>
      </c>
      <c r="B55" t="e">
        <f t="shared" si="0"/>
        <v>#VALUE!</v>
      </c>
      <c r="D55"/>
      <c r="E55"/>
      <c r="F55"/>
      <c r="G55"/>
      <c r="H55"/>
      <c r="I55"/>
      <c r="J55"/>
      <c r="K55"/>
      <c r="L55"/>
      <c r="M55"/>
      <c r="N55"/>
    </row>
    <row r="56" spans="1:14" x14ac:dyDescent="0.25">
      <c r="A56" t="e">
        <f t="shared" si="1"/>
        <v>#VALUE!</v>
      </c>
      <c r="B56" t="e">
        <f t="shared" si="0"/>
        <v>#VALUE!</v>
      </c>
      <c r="D56" s="14">
        <v>0</v>
      </c>
      <c r="E56"/>
      <c r="F56"/>
      <c r="G56"/>
      <c r="H56"/>
      <c r="I56"/>
      <c r="J56"/>
      <c r="K56"/>
      <c r="L56"/>
      <c r="M56"/>
      <c r="N56"/>
    </row>
    <row r="57" spans="1:14" x14ac:dyDescent="0.25">
      <c r="A57" t="str">
        <f t="shared" si="1"/>
        <v>2052069</v>
      </c>
      <c r="B57" t="str">
        <f t="shared" si="0"/>
        <v xml:space="preserve"> Frontier - Maint SSP Selma (2022-25)</v>
      </c>
      <c r="C57" t="s">
        <v>686</v>
      </c>
      <c r="D57" s="15">
        <v>0</v>
      </c>
      <c r="E57" s="15">
        <v>212.28</v>
      </c>
      <c r="F57" s="15">
        <v>-212.28</v>
      </c>
      <c r="G57" s="34">
        <v>0</v>
      </c>
      <c r="H57" s="15">
        <v>860253.47</v>
      </c>
      <c r="I57" s="15">
        <v>-407976.44</v>
      </c>
      <c r="J57" s="15">
        <v>0</v>
      </c>
      <c r="K57" s="15">
        <v>452277.03</v>
      </c>
      <c r="L57" s="15">
        <v>374791.18</v>
      </c>
      <c r="M57" s="15">
        <v>77485.850000000006</v>
      </c>
      <c r="N57" s="34">
        <v>17.132386758620001</v>
      </c>
    </row>
    <row r="58" spans="1:14" x14ac:dyDescent="0.25">
      <c r="A58" t="e">
        <f t="shared" si="1"/>
        <v>#VALUE!</v>
      </c>
      <c r="B58" t="e">
        <f t="shared" si="0"/>
        <v>#VALUE!</v>
      </c>
      <c r="D58"/>
      <c r="E58"/>
      <c r="F58"/>
      <c r="G58"/>
      <c r="H58"/>
      <c r="I58"/>
      <c r="J58"/>
      <c r="K58"/>
      <c r="L58"/>
      <c r="M58"/>
      <c r="N58"/>
    </row>
    <row r="59" spans="1:14" x14ac:dyDescent="0.25">
      <c r="A59" t="e">
        <f t="shared" si="1"/>
        <v>#VALUE!</v>
      </c>
      <c r="B59" t="e">
        <f t="shared" si="0"/>
        <v>#VALUE!</v>
      </c>
      <c r="C59" s="14">
        <v>1320962</v>
      </c>
      <c r="D59" s="14">
        <v>1320962</v>
      </c>
      <c r="E59"/>
      <c r="F59"/>
      <c r="G59"/>
      <c r="H59"/>
      <c r="I59"/>
      <c r="J59"/>
      <c r="K59"/>
      <c r="L59"/>
      <c r="M59"/>
      <c r="N59"/>
    </row>
    <row r="60" spans="1:14" x14ac:dyDescent="0.25">
      <c r="A60" t="e">
        <f t="shared" si="1"/>
        <v>#VALUE!</v>
      </c>
      <c r="B60" t="e">
        <f t="shared" si="0"/>
        <v>#VALUE!</v>
      </c>
      <c r="D60"/>
      <c r="E60"/>
      <c r="F60"/>
      <c r="G60"/>
      <c r="H60"/>
      <c r="I60"/>
      <c r="J60"/>
      <c r="K60"/>
      <c r="L60"/>
      <c r="M60"/>
      <c r="N60"/>
    </row>
    <row r="61" spans="1:14" x14ac:dyDescent="0.25">
      <c r="A61" t="e">
        <f t="shared" si="1"/>
        <v>#VALUE!</v>
      </c>
      <c r="B61" t="e">
        <f t="shared" si="0"/>
        <v>#VALUE!</v>
      </c>
      <c r="D61" s="14">
        <v>0</v>
      </c>
      <c r="E61"/>
      <c r="F61"/>
      <c r="G61"/>
      <c r="H61"/>
      <c r="I61"/>
      <c r="J61"/>
      <c r="K61"/>
      <c r="L61"/>
      <c r="M61"/>
      <c r="N61"/>
    </row>
    <row r="62" spans="1:14" x14ac:dyDescent="0.25">
      <c r="A62" t="str">
        <f t="shared" si="1"/>
        <v>2052108</v>
      </c>
      <c r="B62" t="str">
        <f t="shared" si="0"/>
        <v xml:space="preserve"> Ponderosa-Wishon Phase 2</v>
      </c>
      <c r="C62" t="s">
        <v>551</v>
      </c>
      <c r="D62" s="15">
        <v>0</v>
      </c>
      <c r="E62" s="15">
        <v>0</v>
      </c>
      <c r="F62" s="15">
        <v>0</v>
      </c>
      <c r="G62" s="34">
        <v>0</v>
      </c>
      <c r="H62" s="15">
        <v>50745.72</v>
      </c>
      <c r="I62" s="15">
        <v>-28222.5</v>
      </c>
      <c r="J62" s="15">
        <v>1320962</v>
      </c>
      <c r="K62" s="15">
        <v>22523.22</v>
      </c>
      <c r="L62" s="15">
        <v>2044</v>
      </c>
      <c r="M62" s="15">
        <v>20479.22</v>
      </c>
      <c r="N62" s="34">
        <v>90.924921037045294</v>
      </c>
    </row>
    <row r="63" spans="1:14" x14ac:dyDescent="0.25">
      <c r="A63" t="e">
        <f t="shared" si="1"/>
        <v>#VALUE!</v>
      </c>
      <c r="B63" t="e">
        <f t="shared" si="0"/>
        <v>#VALUE!</v>
      </c>
      <c r="D63"/>
      <c r="E63"/>
      <c r="F63"/>
      <c r="G63"/>
      <c r="H63"/>
      <c r="I63"/>
      <c r="J63"/>
      <c r="K63"/>
      <c r="L63"/>
      <c r="M63"/>
      <c r="N63"/>
    </row>
    <row r="64" spans="1:14" x14ac:dyDescent="0.25">
      <c r="A64" t="e">
        <f t="shared" si="1"/>
        <v>#VALUE!</v>
      </c>
      <c r="B64" t="e">
        <f t="shared" si="0"/>
        <v>#VALUE!</v>
      </c>
      <c r="C64" s="14">
        <v>0</v>
      </c>
      <c r="D64" s="14">
        <v>0</v>
      </c>
      <c r="E64"/>
      <c r="F64"/>
      <c r="G64"/>
      <c r="H64"/>
      <c r="I64"/>
      <c r="J64"/>
      <c r="K64"/>
      <c r="L64"/>
      <c r="M64"/>
      <c r="N64"/>
    </row>
    <row r="65" spans="1:14" x14ac:dyDescent="0.25">
      <c r="A65" t="e">
        <f t="shared" si="1"/>
        <v>#VALUE!</v>
      </c>
      <c r="B65" t="e">
        <f t="shared" si="0"/>
        <v>#VALUE!</v>
      </c>
      <c r="D65"/>
      <c r="E65"/>
      <c r="F65"/>
      <c r="G65"/>
      <c r="H65"/>
      <c r="I65"/>
      <c r="J65"/>
      <c r="K65"/>
      <c r="L65"/>
      <c r="M65"/>
      <c r="N65"/>
    </row>
    <row r="66" spans="1:14" x14ac:dyDescent="0.25">
      <c r="A66" t="e">
        <f t="shared" si="1"/>
        <v>#VALUE!</v>
      </c>
      <c r="B66" t="e">
        <f t="shared" si="0"/>
        <v>#VALUE!</v>
      </c>
      <c r="D66" s="14">
        <v>0</v>
      </c>
      <c r="E66"/>
      <c r="F66"/>
      <c r="G66"/>
      <c r="H66"/>
      <c r="I66"/>
      <c r="J66"/>
      <c r="K66"/>
      <c r="L66"/>
      <c r="M66"/>
      <c r="N66"/>
    </row>
    <row r="67" spans="1:14" x14ac:dyDescent="0.25">
      <c r="A67" t="str">
        <f t="shared" si="1"/>
        <v>2052135</v>
      </c>
      <c r="B67" t="str">
        <f t="shared" si="0"/>
        <v xml:space="preserve"> ATT - 2024 T&amp;M Rates-Valley</v>
      </c>
      <c r="C67" t="s">
        <v>782</v>
      </c>
      <c r="D67" s="15">
        <v>0</v>
      </c>
      <c r="E67" s="15">
        <v>0</v>
      </c>
      <c r="F67" s="15">
        <v>0</v>
      </c>
      <c r="G67" s="34">
        <v>0</v>
      </c>
      <c r="H67" s="15">
        <v>5719</v>
      </c>
      <c r="I67" s="15">
        <v>3320</v>
      </c>
      <c r="J67" s="15">
        <v>0</v>
      </c>
      <c r="K67" s="15">
        <v>9039</v>
      </c>
      <c r="L67" s="15">
        <v>3427.98</v>
      </c>
      <c r="M67" s="15">
        <v>5611.02</v>
      </c>
      <c r="N67" s="34">
        <v>62.075672087620298</v>
      </c>
    </row>
    <row r="68" spans="1:14" x14ac:dyDescent="0.25">
      <c r="A68" t="e">
        <f t="shared" si="1"/>
        <v>#VALUE!</v>
      </c>
      <c r="B68" t="e">
        <f t="shared" si="0"/>
        <v>#VALUE!</v>
      </c>
      <c r="D68"/>
      <c r="E68"/>
      <c r="F68"/>
      <c r="G68"/>
      <c r="H68"/>
      <c r="I68"/>
      <c r="J68"/>
      <c r="K68"/>
      <c r="L68"/>
      <c r="M68"/>
      <c r="N68"/>
    </row>
    <row r="69" spans="1:14" x14ac:dyDescent="0.25">
      <c r="A69" t="e">
        <f t="shared" ref="A69:A132" si="2">LEFT(C69,FIND(" ",C69)-1)</f>
        <v>#VALUE!</v>
      </c>
      <c r="B69" t="e">
        <f t="shared" ref="B69:B132" si="3">RIGHT(C69,LEN(C69)-FIND(" ",C69))</f>
        <v>#VALUE!</v>
      </c>
      <c r="C69" s="14">
        <v>204703</v>
      </c>
      <c r="D69" s="14">
        <v>204703</v>
      </c>
      <c r="E69"/>
      <c r="F69"/>
      <c r="G69"/>
      <c r="H69"/>
      <c r="I69"/>
      <c r="J69"/>
      <c r="K69"/>
      <c r="L69"/>
      <c r="M69"/>
      <c r="N69"/>
    </row>
    <row r="70" spans="1:14" x14ac:dyDescent="0.25">
      <c r="A70" t="e">
        <f t="shared" si="2"/>
        <v>#VALUE!</v>
      </c>
      <c r="B70" t="e">
        <f t="shared" si="3"/>
        <v>#VALUE!</v>
      </c>
      <c r="D70"/>
      <c r="E70"/>
      <c r="F70"/>
      <c r="G70"/>
      <c r="H70"/>
      <c r="I70"/>
      <c r="J70"/>
      <c r="K70"/>
      <c r="L70"/>
      <c r="M70"/>
      <c r="N70"/>
    </row>
    <row r="71" spans="1:14" x14ac:dyDescent="0.25">
      <c r="A71" t="e">
        <f t="shared" si="2"/>
        <v>#VALUE!</v>
      </c>
      <c r="B71" t="e">
        <f t="shared" si="3"/>
        <v>#VALUE!</v>
      </c>
      <c r="D71" s="14">
        <v>0</v>
      </c>
      <c r="E71"/>
      <c r="F71"/>
      <c r="G71"/>
      <c r="H71"/>
      <c r="I71"/>
      <c r="J71"/>
      <c r="K71"/>
      <c r="L71"/>
      <c r="M71"/>
      <c r="N71"/>
    </row>
    <row r="72" spans="1:14" x14ac:dyDescent="0.25">
      <c r="A72" t="str">
        <f t="shared" si="2"/>
        <v>2052144</v>
      </c>
      <c r="B72" t="str">
        <f t="shared" si="3"/>
        <v xml:space="preserve"> Ponderosa-Windwood &amp; Silver Pine FTTH</v>
      </c>
      <c r="C72" t="s">
        <v>666</v>
      </c>
      <c r="D72" s="15">
        <v>-6153.5</v>
      </c>
      <c r="E72" s="15">
        <v>-2418.94</v>
      </c>
      <c r="F72" s="15">
        <v>-3734.56</v>
      </c>
      <c r="G72" s="34">
        <v>0</v>
      </c>
      <c r="H72" s="15">
        <v>165264.70000000001</v>
      </c>
      <c r="I72" s="15">
        <v>-157941.5</v>
      </c>
      <c r="J72" s="15">
        <v>204703</v>
      </c>
      <c r="K72" s="15">
        <v>7323.2</v>
      </c>
      <c r="L72" s="15">
        <v>6292.45</v>
      </c>
      <c r="M72" s="15">
        <v>1030.75</v>
      </c>
      <c r="N72" s="34">
        <v>14.0751310902338</v>
      </c>
    </row>
    <row r="73" spans="1:14" x14ac:dyDescent="0.25">
      <c r="A73" t="e">
        <f t="shared" si="2"/>
        <v>#VALUE!</v>
      </c>
      <c r="B73" t="e">
        <f t="shared" si="3"/>
        <v>#VALUE!</v>
      </c>
      <c r="D73"/>
      <c r="E73"/>
      <c r="F73"/>
      <c r="G73"/>
      <c r="H73"/>
      <c r="I73"/>
      <c r="J73"/>
      <c r="K73"/>
      <c r="L73"/>
      <c r="M73"/>
      <c r="N73"/>
    </row>
    <row r="74" spans="1:14" x14ac:dyDescent="0.25">
      <c r="A74" t="e">
        <f t="shared" si="2"/>
        <v>#VALUE!</v>
      </c>
      <c r="B74" t="e">
        <f t="shared" si="3"/>
        <v>#VALUE!</v>
      </c>
      <c r="C74" s="14">
        <v>390000</v>
      </c>
      <c r="D74" s="14">
        <v>390000</v>
      </c>
      <c r="E74"/>
      <c r="F74"/>
      <c r="G74"/>
      <c r="H74"/>
      <c r="I74"/>
      <c r="J74"/>
      <c r="K74"/>
      <c r="L74"/>
      <c r="M74"/>
      <c r="N74"/>
    </row>
    <row r="75" spans="1:14" x14ac:dyDescent="0.25">
      <c r="A75" t="e">
        <f t="shared" si="2"/>
        <v>#VALUE!</v>
      </c>
      <c r="B75" t="e">
        <f t="shared" si="3"/>
        <v>#VALUE!</v>
      </c>
      <c r="D75"/>
      <c r="E75"/>
      <c r="F75"/>
      <c r="G75"/>
      <c r="H75"/>
      <c r="I75"/>
      <c r="J75"/>
      <c r="K75"/>
      <c r="L75"/>
      <c r="M75"/>
      <c r="N75"/>
    </row>
    <row r="76" spans="1:14" x14ac:dyDescent="0.25">
      <c r="A76" t="e">
        <f t="shared" si="2"/>
        <v>#VALUE!</v>
      </c>
      <c r="B76" t="e">
        <f t="shared" si="3"/>
        <v>#VALUE!</v>
      </c>
      <c r="D76" s="14">
        <v>0</v>
      </c>
      <c r="E76"/>
      <c r="F76"/>
      <c r="G76"/>
      <c r="H76"/>
      <c r="I76"/>
      <c r="J76"/>
      <c r="K76"/>
      <c r="L76"/>
      <c r="M76"/>
      <c r="N76"/>
    </row>
    <row r="77" spans="1:14" x14ac:dyDescent="0.25">
      <c r="A77" t="str">
        <f t="shared" si="2"/>
        <v>2052148</v>
      </c>
      <c r="B77" t="str">
        <f t="shared" si="3"/>
        <v xml:space="preserve"> Ponderosa-Meadow Ranch SLC</v>
      </c>
      <c r="C77" t="s">
        <v>438</v>
      </c>
      <c r="D77" s="15">
        <v>0</v>
      </c>
      <c r="E77" s="15">
        <v>0</v>
      </c>
      <c r="F77" s="15">
        <v>0</v>
      </c>
      <c r="G77" s="34">
        <v>0</v>
      </c>
      <c r="H77" s="15">
        <v>158018.6</v>
      </c>
      <c r="I77" s="15">
        <v>-205411.6</v>
      </c>
      <c r="J77" s="15">
        <v>390000</v>
      </c>
      <c r="K77" s="15">
        <v>-47393</v>
      </c>
      <c r="L77" s="15">
        <v>-24552.52</v>
      </c>
      <c r="M77" s="15">
        <v>-22840.48</v>
      </c>
      <c r="N77" s="34">
        <v>0</v>
      </c>
    </row>
    <row r="78" spans="1:14" x14ac:dyDescent="0.25">
      <c r="A78" t="e">
        <f t="shared" si="2"/>
        <v>#VALUE!</v>
      </c>
      <c r="B78" t="e">
        <f t="shared" si="3"/>
        <v>#VALUE!</v>
      </c>
      <c r="D78"/>
      <c r="E78"/>
      <c r="F78"/>
      <c r="G78"/>
      <c r="H78"/>
      <c r="I78"/>
      <c r="J78"/>
      <c r="K78"/>
      <c r="L78"/>
      <c r="M78"/>
      <c r="N78"/>
    </row>
    <row r="79" spans="1:14" x14ac:dyDescent="0.25">
      <c r="A79" t="e">
        <f t="shared" si="2"/>
        <v>#VALUE!</v>
      </c>
      <c r="B79" t="e">
        <f t="shared" si="3"/>
        <v>#VALUE!</v>
      </c>
      <c r="C79" s="14">
        <v>235000</v>
      </c>
      <c r="D79" s="14">
        <v>235000</v>
      </c>
      <c r="E79"/>
      <c r="F79"/>
      <c r="G79"/>
      <c r="H79"/>
      <c r="I79"/>
      <c r="J79"/>
      <c r="K79"/>
      <c r="L79"/>
      <c r="M79"/>
      <c r="N79"/>
    </row>
    <row r="80" spans="1:14" x14ac:dyDescent="0.25">
      <c r="A80" t="e">
        <f t="shared" si="2"/>
        <v>#VALUE!</v>
      </c>
      <c r="B80" t="e">
        <f t="shared" si="3"/>
        <v>#VALUE!</v>
      </c>
      <c r="D80"/>
      <c r="E80"/>
      <c r="F80"/>
      <c r="G80"/>
      <c r="H80"/>
      <c r="I80"/>
      <c r="J80"/>
      <c r="K80"/>
      <c r="L80"/>
      <c r="M80"/>
      <c r="N80"/>
    </row>
    <row r="81" spans="1:14" x14ac:dyDescent="0.25">
      <c r="A81" t="e">
        <f t="shared" si="2"/>
        <v>#VALUE!</v>
      </c>
      <c r="B81" t="e">
        <f t="shared" si="3"/>
        <v>#VALUE!</v>
      </c>
      <c r="D81" s="14">
        <v>0</v>
      </c>
      <c r="E81"/>
      <c r="F81"/>
      <c r="G81"/>
      <c r="H81"/>
      <c r="I81"/>
      <c r="J81"/>
      <c r="K81"/>
      <c r="L81"/>
      <c r="M81"/>
      <c r="N81"/>
    </row>
    <row r="82" spans="1:14" x14ac:dyDescent="0.25">
      <c r="A82" t="str">
        <f t="shared" si="2"/>
        <v>2052149</v>
      </c>
      <c r="B82" t="str">
        <f t="shared" si="3"/>
        <v xml:space="preserve"> Ponderosa-Timberview SLC</v>
      </c>
      <c r="C82" t="s">
        <v>439</v>
      </c>
      <c r="D82" s="15">
        <v>0</v>
      </c>
      <c r="E82" s="15">
        <v>0</v>
      </c>
      <c r="F82" s="15">
        <v>0</v>
      </c>
      <c r="G82" s="34">
        <v>0</v>
      </c>
      <c r="H82" s="15">
        <v>235152.8</v>
      </c>
      <c r="I82" s="15">
        <v>-132846.79999999999</v>
      </c>
      <c r="J82" s="15">
        <v>235000</v>
      </c>
      <c r="K82" s="15">
        <v>102306</v>
      </c>
      <c r="L82" s="15">
        <v>67574.44</v>
      </c>
      <c r="M82" s="15">
        <v>34731.56</v>
      </c>
      <c r="N82" s="34">
        <v>33.948702910875198</v>
      </c>
    </row>
    <row r="83" spans="1:14" x14ac:dyDescent="0.25">
      <c r="A83" t="e">
        <f t="shared" si="2"/>
        <v>#VALUE!</v>
      </c>
      <c r="B83" t="e">
        <f t="shared" si="3"/>
        <v>#VALUE!</v>
      </c>
      <c r="D83"/>
      <c r="E83"/>
      <c r="F83"/>
      <c r="G83"/>
      <c r="H83"/>
      <c r="I83"/>
      <c r="J83"/>
      <c r="K83"/>
      <c r="L83"/>
      <c r="M83"/>
      <c r="N83"/>
    </row>
    <row r="84" spans="1:14" x14ac:dyDescent="0.25">
      <c r="A84" t="e">
        <f t="shared" si="2"/>
        <v>#VALUE!</v>
      </c>
      <c r="B84" t="e">
        <f t="shared" si="3"/>
        <v>#VALUE!</v>
      </c>
      <c r="C84" s="14">
        <v>0</v>
      </c>
      <c r="D84" s="14">
        <v>0</v>
      </c>
      <c r="E84"/>
      <c r="F84"/>
      <c r="G84"/>
      <c r="H84"/>
      <c r="I84"/>
      <c r="J84"/>
      <c r="K84"/>
      <c r="L84"/>
      <c r="M84"/>
      <c r="N84"/>
    </row>
    <row r="85" spans="1:14" x14ac:dyDescent="0.25">
      <c r="A85" t="e">
        <f t="shared" si="2"/>
        <v>#VALUE!</v>
      </c>
      <c r="B85" t="e">
        <f t="shared" si="3"/>
        <v>#VALUE!</v>
      </c>
      <c r="D85"/>
      <c r="E85"/>
      <c r="F85"/>
      <c r="G85"/>
      <c r="H85"/>
      <c r="I85"/>
      <c r="J85"/>
      <c r="K85"/>
      <c r="L85"/>
      <c r="M85"/>
      <c r="N85"/>
    </row>
    <row r="86" spans="1:14" x14ac:dyDescent="0.25">
      <c r="A86" t="e">
        <f t="shared" si="2"/>
        <v>#VALUE!</v>
      </c>
      <c r="B86" t="e">
        <f t="shared" si="3"/>
        <v>#VALUE!</v>
      </c>
      <c r="D86" s="14">
        <v>0</v>
      </c>
      <c r="E86"/>
      <c r="F86"/>
      <c r="G86"/>
      <c r="H86"/>
      <c r="I86"/>
      <c r="J86"/>
      <c r="K86"/>
      <c r="L86"/>
      <c r="M86"/>
      <c r="N86"/>
    </row>
    <row r="87" spans="1:14" x14ac:dyDescent="0.25">
      <c r="A87" t="str">
        <f t="shared" si="2"/>
        <v>NEDGSUFRS</v>
      </c>
      <c r="B87" t="str">
        <f t="shared" si="3"/>
        <v xml:space="preserve"> VZ-Verizon-NED-Fresno</v>
      </c>
      <c r="C87" t="s">
        <v>586</v>
      </c>
      <c r="D87" s="15">
        <v>0</v>
      </c>
      <c r="E87" s="15">
        <v>0</v>
      </c>
      <c r="F87" s="15">
        <v>0</v>
      </c>
      <c r="G87" s="34">
        <v>0</v>
      </c>
      <c r="H87" s="15">
        <v>289341.62</v>
      </c>
      <c r="I87" s="15">
        <v>993.23999999997102</v>
      </c>
      <c r="J87" s="15">
        <v>0</v>
      </c>
      <c r="K87" s="15">
        <v>290334.86</v>
      </c>
      <c r="L87" s="15">
        <v>189285.26</v>
      </c>
      <c r="M87" s="15">
        <v>101049.60000000001</v>
      </c>
      <c r="N87" s="34">
        <v>34.804501257616799</v>
      </c>
    </row>
    <row r="88" spans="1:14" x14ac:dyDescent="0.25">
      <c r="A88" t="e">
        <f t="shared" si="2"/>
        <v>#VALUE!</v>
      </c>
      <c r="B88" t="e">
        <f t="shared" si="3"/>
        <v>#VALUE!</v>
      </c>
      <c r="C88" t="s">
        <v>436</v>
      </c>
      <c r="D88" t="s">
        <v>437</v>
      </c>
      <c r="E88" s="15">
        <v>373408.23</v>
      </c>
      <c r="F88" s="15">
        <v>-80581.070000000007</v>
      </c>
      <c r="G88" s="15">
        <v>7470207.5700000003</v>
      </c>
      <c r="H88" s="15">
        <v>7319034.8700000001</v>
      </c>
      <c r="I88" s="15">
        <v>744008.67</v>
      </c>
      <c r="J88" s="15">
        <v>453989.3</v>
      </c>
      <c r="K88" s="14">
        <v>-21.579885906638999</v>
      </c>
      <c r="L88" s="15">
        <v>-151172.70000000001</v>
      </c>
      <c r="M88" s="15">
        <v>6575026.2000000002</v>
      </c>
      <c r="N88" s="14">
        <v>1.3806410516527601</v>
      </c>
    </row>
    <row r="89" spans="1:14" x14ac:dyDescent="0.25">
      <c r="A89" t="e">
        <f t="shared" si="2"/>
        <v>#VALUE!</v>
      </c>
      <c r="B89" t="e">
        <f t="shared" si="3"/>
        <v>#VALUE!</v>
      </c>
      <c r="C89" t="s">
        <v>440</v>
      </c>
      <c r="D89" t="s">
        <v>441</v>
      </c>
      <c r="E89"/>
      <c r="F89"/>
      <c r="G89"/>
      <c r="H89"/>
      <c r="I89"/>
      <c r="J89"/>
      <c r="K89"/>
      <c r="L89"/>
      <c r="M89"/>
      <c r="N89"/>
    </row>
    <row r="90" spans="1:14" x14ac:dyDescent="0.25">
      <c r="A90" t="e">
        <f t="shared" si="2"/>
        <v>#VALUE!</v>
      </c>
      <c r="B90" t="e">
        <f t="shared" si="3"/>
        <v>#VALUE!</v>
      </c>
      <c r="D90"/>
      <c r="E90"/>
      <c r="F90"/>
      <c r="G90"/>
      <c r="H90"/>
      <c r="I90"/>
      <c r="J90"/>
      <c r="K90"/>
      <c r="L90"/>
      <c r="M90"/>
      <c r="N90"/>
    </row>
    <row r="91" spans="1:14" x14ac:dyDescent="0.25">
      <c r="A91" t="e">
        <f t="shared" si="2"/>
        <v>#VALUE!</v>
      </c>
      <c r="B91" t="e">
        <f t="shared" si="3"/>
        <v>#VALUE!</v>
      </c>
      <c r="C91" s="14">
        <v>391527.45</v>
      </c>
      <c r="D91" s="14">
        <v>391527.45</v>
      </c>
      <c r="E91"/>
      <c r="F91"/>
      <c r="G91"/>
      <c r="H91"/>
      <c r="I91"/>
      <c r="J91"/>
      <c r="K91"/>
      <c r="L91"/>
      <c r="M91"/>
      <c r="N91"/>
    </row>
    <row r="92" spans="1:14" x14ac:dyDescent="0.25">
      <c r="A92" t="e">
        <f t="shared" si="2"/>
        <v>#VALUE!</v>
      </c>
      <c r="B92" t="e">
        <f t="shared" si="3"/>
        <v>#VALUE!</v>
      </c>
      <c r="D92"/>
      <c r="E92"/>
      <c r="F92"/>
      <c r="G92"/>
      <c r="H92"/>
      <c r="I92"/>
      <c r="J92"/>
      <c r="K92"/>
      <c r="L92"/>
      <c r="M92"/>
      <c r="N92"/>
    </row>
    <row r="93" spans="1:14" x14ac:dyDescent="0.25">
      <c r="A93" t="e">
        <f t="shared" si="2"/>
        <v>#VALUE!</v>
      </c>
      <c r="B93" t="e">
        <f t="shared" si="3"/>
        <v>#VALUE!</v>
      </c>
      <c r="D93" s="14">
        <v>0</v>
      </c>
      <c r="E93"/>
      <c r="F93"/>
      <c r="G93"/>
      <c r="H93"/>
      <c r="I93"/>
      <c r="J93"/>
      <c r="K93"/>
      <c r="L93"/>
      <c r="M93"/>
      <c r="N93"/>
    </row>
    <row r="94" spans="1:14" x14ac:dyDescent="0.25">
      <c r="A94" t="str">
        <f t="shared" si="2"/>
        <v>1056150</v>
      </c>
      <c r="B94" t="str">
        <f t="shared" si="3"/>
        <v xml:space="preserve"> Volcano - West Ferndale FTTH-Pioneer</v>
      </c>
      <c r="C94" t="s">
        <v>736</v>
      </c>
      <c r="D94" s="15">
        <v>0</v>
      </c>
      <c r="E94" s="15">
        <v>0</v>
      </c>
      <c r="F94" s="15">
        <v>0</v>
      </c>
      <c r="G94" s="34">
        <v>0</v>
      </c>
      <c r="H94" s="15">
        <v>316864.7</v>
      </c>
      <c r="I94" s="15">
        <v>-6.3664629124105001E-12</v>
      </c>
      <c r="J94" s="15">
        <v>391527.45</v>
      </c>
      <c r="K94" s="15">
        <v>316864.7</v>
      </c>
      <c r="L94" s="15">
        <v>269052.65999999997</v>
      </c>
      <c r="M94" s="15">
        <v>47812.04</v>
      </c>
      <c r="N94" s="34">
        <v>15.089102699038399</v>
      </c>
    </row>
    <row r="95" spans="1:14" x14ac:dyDescent="0.25">
      <c r="A95" t="e">
        <f t="shared" si="2"/>
        <v>#VALUE!</v>
      </c>
      <c r="B95" t="e">
        <f t="shared" si="3"/>
        <v>#VALUE!</v>
      </c>
      <c r="D95"/>
      <c r="E95"/>
      <c r="F95"/>
      <c r="G95"/>
      <c r="H95"/>
      <c r="I95"/>
      <c r="J95"/>
      <c r="K95"/>
      <c r="L95"/>
      <c r="M95"/>
      <c r="N95"/>
    </row>
    <row r="96" spans="1:14" x14ac:dyDescent="0.25">
      <c r="A96" t="e">
        <f t="shared" si="2"/>
        <v>#VALUE!</v>
      </c>
      <c r="B96" t="e">
        <f t="shared" si="3"/>
        <v>#VALUE!</v>
      </c>
      <c r="C96" s="14">
        <v>41466.58</v>
      </c>
      <c r="D96" s="14">
        <v>41466.58</v>
      </c>
      <c r="E96"/>
      <c r="F96"/>
      <c r="G96"/>
      <c r="H96"/>
      <c r="I96"/>
      <c r="J96"/>
      <c r="K96"/>
      <c r="L96"/>
      <c r="M96"/>
      <c r="N96"/>
    </row>
    <row r="97" spans="1:14" x14ac:dyDescent="0.25">
      <c r="A97" t="e">
        <f t="shared" si="2"/>
        <v>#VALUE!</v>
      </c>
      <c r="B97" t="e">
        <f t="shared" si="3"/>
        <v>#VALUE!</v>
      </c>
      <c r="D97"/>
      <c r="E97"/>
      <c r="F97"/>
      <c r="G97"/>
      <c r="H97"/>
      <c r="I97"/>
      <c r="J97"/>
      <c r="K97"/>
      <c r="L97"/>
      <c r="M97"/>
      <c r="N97"/>
    </row>
    <row r="98" spans="1:14" x14ac:dyDescent="0.25">
      <c r="A98" t="e">
        <f t="shared" si="2"/>
        <v>#VALUE!</v>
      </c>
      <c r="B98" t="e">
        <f t="shared" si="3"/>
        <v>#VALUE!</v>
      </c>
      <c r="D98" s="14">
        <v>0</v>
      </c>
      <c r="E98"/>
      <c r="F98"/>
      <c r="G98"/>
      <c r="H98"/>
      <c r="I98"/>
      <c r="J98"/>
      <c r="K98"/>
      <c r="L98"/>
      <c r="M98"/>
      <c r="N98"/>
    </row>
    <row r="99" spans="1:14" x14ac:dyDescent="0.25">
      <c r="A99" t="str">
        <f t="shared" si="2"/>
        <v>1056189</v>
      </c>
      <c r="B99" t="str">
        <f t="shared" si="3"/>
        <v xml:space="preserve"> Volcano Telephone - OXBO 1 - Splicing</v>
      </c>
      <c r="C99" t="s">
        <v>746</v>
      </c>
      <c r="D99" s="15">
        <v>0</v>
      </c>
      <c r="E99" s="15">
        <v>0</v>
      </c>
      <c r="F99" s="15">
        <v>0</v>
      </c>
      <c r="G99" s="34">
        <v>0</v>
      </c>
      <c r="H99" s="15">
        <v>0</v>
      </c>
      <c r="I99" s="15">
        <v>36835</v>
      </c>
      <c r="J99" s="15">
        <v>41466.58</v>
      </c>
      <c r="K99" s="15">
        <v>36835</v>
      </c>
      <c r="L99" s="15">
        <v>24421.82</v>
      </c>
      <c r="M99" s="15">
        <v>12413.18</v>
      </c>
      <c r="N99" s="34">
        <v>33.699416316003798</v>
      </c>
    </row>
    <row r="100" spans="1:14" x14ac:dyDescent="0.25">
      <c r="A100" t="e">
        <f t="shared" si="2"/>
        <v>#VALUE!</v>
      </c>
      <c r="B100" t="e">
        <f t="shared" si="3"/>
        <v>#VALUE!</v>
      </c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25">
      <c r="A101" t="e">
        <f t="shared" si="2"/>
        <v>#VALUE!</v>
      </c>
      <c r="B101" t="e">
        <f t="shared" si="3"/>
        <v>#VALUE!</v>
      </c>
      <c r="C101" s="14">
        <v>37137</v>
      </c>
      <c r="D101" s="14">
        <v>37137</v>
      </c>
      <c r="E101"/>
      <c r="F101"/>
      <c r="G101"/>
      <c r="H101"/>
      <c r="I101"/>
      <c r="J101"/>
      <c r="K101"/>
      <c r="L101"/>
      <c r="M101"/>
      <c r="N101"/>
    </row>
    <row r="102" spans="1:14" x14ac:dyDescent="0.25">
      <c r="A102" t="e">
        <f t="shared" si="2"/>
        <v>#VALUE!</v>
      </c>
      <c r="B102" t="e">
        <f t="shared" si="3"/>
        <v>#VALUE!</v>
      </c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25">
      <c r="A103" t="e">
        <f t="shared" si="2"/>
        <v>#VALUE!</v>
      </c>
      <c r="B103" t="e">
        <f t="shared" si="3"/>
        <v>#VALUE!</v>
      </c>
      <c r="D103" s="14">
        <v>0</v>
      </c>
      <c r="E103"/>
      <c r="F103"/>
      <c r="G103"/>
      <c r="H103"/>
      <c r="I103"/>
      <c r="J103"/>
      <c r="K103"/>
      <c r="L103"/>
      <c r="M103"/>
      <c r="N103"/>
    </row>
    <row r="104" spans="1:14" x14ac:dyDescent="0.25">
      <c r="A104" t="str">
        <f t="shared" si="2"/>
        <v>1056190</v>
      </c>
      <c r="B104" t="str">
        <f t="shared" si="3"/>
        <v xml:space="preserve"> Volcano Telephone - OXBO 2 - Splicing</v>
      </c>
      <c r="C104" t="s">
        <v>747</v>
      </c>
      <c r="D104" s="15">
        <v>1005</v>
      </c>
      <c r="E104" s="15">
        <v>1783.18</v>
      </c>
      <c r="F104" s="15">
        <v>-778.18</v>
      </c>
      <c r="G104" s="34">
        <v>-77.430845771144305</v>
      </c>
      <c r="H104" s="15">
        <v>0</v>
      </c>
      <c r="I104" s="15">
        <v>18960</v>
      </c>
      <c r="J104" s="15">
        <v>37137</v>
      </c>
      <c r="K104" s="15">
        <v>18960</v>
      </c>
      <c r="L104" s="15">
        <v>22922.02</v>
      </c>
      <c r="M104" s="15">
        <v>-3962.02</v>
      </c>
      <c r="N104" s="34">
        <v>-20.896729957805899</v>
      </c>
    </row>
    <row r="105" spans="1:14" x14ac:dyDescent="0.25">
      <c r="A105" t="e">
        <f t="shared" si="2"/>
        <v>#VALUE!</v>
      </c>
      <c r="B105" t="e">
        <f t="shared" si="3"/>
        <v>#VALUE!</v>
      </c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25">
      <c r="A106" t="e">
        <f t="shared" si="2"/>
        <v>#VALUE!</v>
      </c>
      <c r="B106" t="e">
        <f t="shared" si="3"/>
        <v>#VALUE!</v>
      </c>
      <c r="C106" s="14">
        <v>0</v>
      </c>
      <c r="D106" s="14">
        <v>0</v>
      </c>
      <c r="E106"/>
      <c r="F106"/>
      <c r="G106"/>
      <c r="H106"/>
      <c r="I106"/>
      <c r="J106"/>
      <c r="K106"/>
      <c r="L106"/>
      <c r="M106"/>
      <c r="N106"/>
    </row>
    <row r="107" spans="1:14" x14ac:dyDescent="0.25">
      <c r="A107" t="e">
        <f t="shared" si="2"/>
        <v>#VALUE!</v>
      </c>
      <c r="B107" t="e">
        <f t="shared" si="3"/>
        <v>#VALUE!</v>
      </c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25">
      <c r="A108" t="e">
        <f t="shared" si="2"/>
        <v>#VALUE!</v>
      </c>
      <c r="B108" t="e">
        <f t="shared" si="3"/>
        <v>#VALUE!</v>
      </c>
      <c r="D108" s="14">
        <v>0</v>
      </c>
      <c r="E108"/>
      <c r="F108"/>
      <c r="G108"/>
      <c r="H108"/>
      <c r="I108"/>
      <c r="J108"/>
      <c r="K108"/>
      <c r="L108"/>
      <c r="M108"/>
      <c r="N108"/>
    </row>
    <row r="109" spans="1:14" x14ac:dyDescent="0.25">
      <c r="A109" t="str">
        <f t="shared" si="2"/>
        <v>1056208</v>
      </c>
      <c r="B109" t="str">
        <f t="shared" si="3"/>
        <v xml:space="preserve"> Crown Castle - Network West Area Pricing</v>
      </c>
      <c r="C109" t="s">
        <v>760</v>
      </c>
      <c r="D109" s="15">
        <v>0</v>
      </c>
      <c r="E109" s="15">
        <v>0</v>
      </c>
      <c r="F109" s="15">
        <v>0</v>
      </c>
      <c r="G109" s="34">
        <v>0</v>
      </c>
      <c r="H109" s="15">
        <v>12210</v>
      </c>
      <c r="I109" s="15">
        <v>0</v>
      </c>
      <c r="J109" s="15">
        <v>0</v>
      </c>
      <c r="K109" s="15">
        <v>12210</v>
      </c>
      <c r="L109" s="15">
        <v>7458.74</v>
      </c>
      <c r="M109" s="15">
        <v>4751.26</v>
      </c>
      <c r="N109" s="34">
        <v>38.912858312858297</v>
      </c>
    </row>
    <row r="110" spans="1:14" x14ac:dyDescent="0.25">
      <c r="A110" t="e">
        <f t="shared" si="2"/>
        <v>#VALUE!</v>
      </c>
      <c r="B110" t="e">
        <f t="shared" si="3"/>
        <v>#VALUE!</v>
      </c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25">
      <c r="A111" t="e">
        <f t="shared" si="2"/>
        <v>#VALUE!</v>
      </c>
      <c r="B111" t="e">
        <f t="shared" si="3"/>
        <v>#VALUE!</v>
      </c>
      <c r="C111" s="14">
        <v>78782.14</v>
      </c>
      <c r="D111" s="14">
        <v>78782.14</v>
      </c>
      <c r="E111"/>
      <c r="F111"/>
      <c r="G111"/>
      <c r="H111"/>
      <c r="I111"/>
      <c r="J111"/>
      <c r="K111"/>
      <c r="L111"/>
      <c r="M111"/>
      <c r="N111"/>
    </row>
    <row r="112" spans="1:14" x14ac:dyDescent="0.25">
      <c r="A112" t="e">
        <f t="shared" si="2"/>
        <v>#VALUE!</v>
      </c>
      <c r="B112" t="e">
        <f t="shared" si="3"/>
        <v>#VALUE!</v>
      </c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25">
      <c r="A113" t="e">
        <f t="shared" si="2"/>
        <v>#VALUE!</v>
      </c>
      <c r="B113" t="e">
        <f t="shared" si="3"/>
        <v>#VALUE!</v>
      </c>
      <c r="D113" s="14">
        <v>0</v>
      </c>
      <c r="E113"/>
      <c r="F113"/>
      <c r="G113"/>
      <c r="H113"/>
      <c r="I113"/>
      <c r="J113"/>
      <c r="K113"/>
      <c r="L113"/>
      <c r="M113"/>
      <c r="N113"/>
    </row>
    <row r="114" spans="1:14" x14ac:dyDescent="0.25">
      <c r="A114" t="str">
        <f t="shared" si="2"/>
        <v>1056219</v>
      </c>
      <c r="B114" t="str">
        <f t="shared" si="3"/>
        <v xml:space="preserve"> Lumen - Road 66 - Splicing</v>
      </c>
      <c r="C114" t="s">
        <v>802</v>
      </c>
      <c r="D114" s="15">
        <v>0</v>
      </c>
      <c r="E114" s="15">
        <v>0</v>
      </c>
      <c r="F114" s="15">
        <v>0</v>
      </c>
      <c r="G114" s="34">
        <v>0</v>
      </c>
      <c r="H114" s="15">
        <v>72710.28</v>
      </c>
      <c r="I114" s="15">
        <v>0</v>
      </c>
      <c r="J114" s="15">
        <v>78782.14</v>
      </c>
      <c r="K114" s="15">
        <v>72710.28</v>
      </c>
      <c r="L114" s="15">
        <v>40682.5</v>
      </c>
      <c r="M114" s="15">
        <v>32027.78</v>
      </c>
      <c r="N114" s="34">
        <v>44.048489429555197</v>
      </c>
    </row>
    <row r="115" spans="1:14" x14ac:dyDescent="0.25">
      <c r="A115" t="e">
        <f t="shared" si="2"/>
        <v>#VALUE!</v>
      </c>
      <c r="B115" t="e">
        <f t="shared" si="3"/>
        <v>#VALUE!</v>
      </c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25">
      <c r="A116" t="e">
        <f t="shared" si="2"/>
        <v>#VALUE!</v>
      </c>
      <c r="B116" t="e">
        <f t="shared" si="3"/>
        <v>#VALUE!</v>
      </c>
      <c r="C116" s="14">
        <v>66450</v>
      </c>
      <c r="D116" s="14">
        <v>66450</v>
      </c>
      <c r="E116"/>
      <c r="F116"/>
      <c r="G116"/>
      <c r="H116"/>
      <c r="I116"/>
      <c r="J116"/>
      <c r="K116"/>
      <c r="L116"/>
      <c r="M116"/>
      <c r="N116"/>
    </row>
    <row r="117" spans="1:14" x14ac:dyDescent="0.25">
      <c r="A117" t="e">
        <f t="shared" si="2"/>
        <v>#VALUE!</v>
      </c>
      <c r="B117" t="e">
        <f t="shared" si="3"/>
        <v>#VALUE!</v>
      </c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25">
      <c r="A118" t="e">
        <f t="shared" si="2"/>
        <v>#VALUE!</v>
      </c>
      <c r="B118" t="e">
        <f t="shared" si="3"/>
        <v>#VALUE!</v>
      </c>
      <c r="D118" s="14">
        <v>0</v>
      </c>
      <c r="E118"/>
      <c r="F118"/>
      <c r="G118"/>
      <c r="H118"/>
      <c r="I118"/>
      <c r="J118"/>
      <c r="K118"/>
      <c r="L118"/>
      <c r="M118"/>
      <c r="N118"/>
    </row>
    <row r="119" spans="1:14" x14ac:dyDescent="0.25">
      <c r="A119" t="str">
        <f t="shared" si="2"/>
        <v>1056250</v>
      </c>
      <c r="B119" t="str">
        <f t="shared" si="3"/>
        <v xml:space="preserve"> Sprint - Alpine Rd Cable Damage</v>
      </c>
      <c r="C119" t="s">
        <v>1047</v>
      </c>
      <c r="D119" s="15">
        <v>0</v>
      </c>
      <c r="E119" s="15">
        <v>0</v>
      </c>
      <c r="F119" s="15">
        <v>0</v>
      </c>
      <c r="G119" s="34">
        <v>0</v>
      </c>
      <c r="H119" s="15">
        <v>0</v>
      </c>
      <c r="I119" s="15">
        <v>0</v>
      </c>
      <c r="J119" s="15">
        <v>66450</v>
      </c>
      <c r="K119" s="15">
        <v>0</v>
      </c>
      <c r="L119" s="15">
        <v>690.46</v>
      </c>
      <c r="M119" s="15">
        <v>-690.46</v>
      </c>
      <c r="N119" s="34">
        <v>0</v>
      </c>
    </row>
    <row r="120" spans="1:14" x14ac:dyDescent="0.25">
      <c r="A120" t="e">
        <f t="shared" si="2"/>
        <v>#VALUE!</v>
      </c>
      <c r="B120" t="e">
        <f t="shared" si="3"/>
        <v>#VALUE!</v>
      </c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25">
      <c r="A121" t="e">
        <f t="shared" si="2"/>
        <v>#VALUE!</v>
      </c>
      <c r="B121" t="e">
        <f t="shared" si="3"/>
        <v>#VALUE!</v>
      </c>
      <c r="C121" s="14">
        <v>436905</v>
      </c>
      <c r="D121" s="14">
        <v>436905</v>
      </c>
      <c r="E121"/>
      <c r="F121"/>
      <c r="G121"/>
      <c r="H121"/>
      <c r="I121"/>
      <c r="J121"/>
      <c r="K121"/>
      <c r="L121"/>
      <c r="M121"/>
      <c r="N121"/>
    </row>
    <row r="122" spans="1:14" x14ac:dyDescent="0.25">
      <c r="A122" t="e">
        <f t="shared" si="2"/>
        <v>#VALUE!</v>
      </c>
      <c r="B122" t="e">
        <f t="shared" si="3"/>
        <v>#VALUE!</v>
      </c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25">
      <c r="A123" t="e">
        <f t="shared" si="2"/>
        <v>#VALUE!</v>
      </c>
      <c r="B123" t="e">
        <f t="shared" si="3"/>
        <v>#VALUE!</v>
      </c>
      <c r="D123" s="14">
        <v>0</v>
      </c>
      <c r="E123"/>
      <c r="F123"/>
      <c r="G123"/>
      <c r="H123"/>
      <c r="I123"/>
      <c r="J123"/>
      <c r="K123"/>
      <c r="L123"/>
      <c r="M123"/>
      <c r="N123"/>
    </row>
    <row r="124" spans="1:14" x14ac:dyDescent="0.25">
      <c r="A124" t="str">
        <f t="shared" si="2"/>
        <v>1056255</v>
      </c>
      <c r="B124" t="str">
        <f t="shared" si="3"/>
        <v xml:space="preserve"> VOLCANO-West Ferndale Phase 2 FTTH-Pione</v>
      </c>
      <c r="C124" t="s">
        <v>897</v>
      </c>
      <c r="D124" s="15">
        <v>36813.050000000003</v>
      </c>
      <c r="E124" s="15">
        <v>41658.29</v>
      </c>
      <c r="F124" s="15">
        <v>-4845.24</v>
      </c>
      <c r="G124" s="34">
        <v>-13.1617456309651</v>
      </c>
      <c r="H124" s="15">
        <v>3.7252902984619103E-11</v>
      </c>
      <c r="I124" s="15">
        <v>188279.25</v>
      </c>
      <c r="J124" s="15">
        <v>436905</v>
      </c>
      <c r="K124" s="15">
        <v>188279.25</v>
      </c>
      <c r="L124" s="15">
        <v>164307.66</v>
      </c>
      <c r="M124" s="15">
        <v>23971.59</v>
      </c>
      <c r="N124" s="34">
        <v>12.7319340819554</v>
      </c>
    </row>
    <row r="125" spans="1:14" x14ac:dyDescent="0.25">
      <c r="A125" t="e">
        <f t="shared" si="2"/>
        <v>#VALUE!</v>
      </c>
      <c r="B125" t="e">
        <f t="shared" si="3"/>
        <v>#VALUE!</v>
      </c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25">
      <c r="A126" t="e">
        <f t="shared" si="2"/>
        <v>#VALUE!</v>
      </c>
      <c r="B126" t="e">
        <f t="shared" si="3"/>
        <v>#VALUE!</v>
      </c>
      <c r="C126" s="14">
        <v>8240</v>
      </c>
      <c r="D126" s="14">
        <v>8240</v>
      </c>
      <c r="E126"/>
      <c r="F126"/>
      <c r="G126"/>
      <c r="H126"/>
      <c r="I126"/>
      <c r="J126"/>
      <c r="K126"/>
      <c r="L126"/>
      <c r="M126"/>
      <c r="N126"/>
    </row>
    <row r="127" spans="1:14" x14ac:dyDescent="0.25">
      <c r="A127" t="e">
        <f t="shared" si="2"/>
        <v>#VALUE!</v>
      </c>
      <c r="B127" t="e">
        <f t="shared" si="3"/>
        <v>#VALUE!</v>
      </c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25">
      <c r="A128" t="e">
        <f t="shared" si="2"/>
        <v>#VALUE!</v>
      </c>
      <c r="B128" t="e">
        <f t="shared" si="3"/>
        <v>#VALUE!</v>
      </c>
      <c r="D128" s="14">
        <v>0</v>
      </c>
      <c r="E128"/>
      <c r="F128"/>
      <c r="G128"/>
      <c r="H128"/>
      <c r="I128"/>
      <c r="J128"/>
      <c r="K128"/>
      <c r="L128"/>
      <c r="M128"/>
      <c r="N128"/>
    </row>
    <row r="129" spans="1:14" x14ac:dyDescent="0.25">
      <c r="A129" t="str">
        <f t="shared" si="2"/>
        <v>1056286</v>
      </c>
      <c r="B129" t="str">
        <f t="shared" si="3"/>
        <v xml:space="preserve"> Succeed Inc - Splicing - Lincoln Crossin</v>
      </c>
      <c r="C129" t="s">
        <v>1038</v>
      </c>
      <c r="D129" s="15">
        <v>0</v>
      </c>
      <c r="E129" s="15">
        <v>0</v>
      </c>
      <c r="F129" s="15">
        <v>0</v>
      </c>
      <c r="G129" s="34">
        <v>0</v>
      </c>
      <c r="H129" s="15">
        <v>0</v>
      </c>
      <c r="I129" s="15">
        <v>8240</v>
      </c>
      <c r="J129" s="15">
        <v>8240</v>
      </c>
      <c r="K129" s="15">
        <v>8240</v>
      </c>
      <c r="L129" s="15">
        <v>4129.1400000000003</v>
      </c>
      <c r="M129" s="15">
        <v>4110.8599999999997</v>
      </c>
      <c r="N129" s="34">
        <v>49.889077669902903</v>
      </c>
    </row>
    <row r="130" spans="1:14" x14ac:dyDescent="0.25">
      <c r="A130" t="e">
        <f t="shared" si="2"/>
        <v>#VALUE!</v>
      </c>
      <c r="B130" t="e">
        <f t="shared" si="3"/>
        <v>#VALUE!</v>
      </c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25">
      <c r="A131" t="e">
        <f t="shared" si="2"/>
        <v>#VALUE!</v>
      </c>
      <c r="B131" t="e">
        <f t="shared" si="3"/>
        <v>#VALUE!</v>
      </c>
      <c r="C131" s="14">
        <v>0</v>
      </c>
      <c r="D131" s="14">
        <v>0</v>
      </c>
      <c r="E131"/>
      <c r="F131"/>
      <c r="G131"/>
      <c r="H131"/>
      <c r="I131"/>
      <c r="J131"/>
      <c r="K131"/>
      <c r="L131"/>
      <c r="M131"/>
      <c r="N131"/>
    </row>
    <row r="132" spans="1:14" x14ac:dyDescent="0.25">
      <c r="A132" t="e">
        <f t="shared" si="2"/>
        <v>#VALUE!</v>
      </c>
      <c r="B132" t="e">
        <f t="shared" si="3"/>
        <v>#VALUE!</v>
      </c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25">
      <c r="A133" t="e">
        <f t="shared" ref="A133:A196" si="4">LEFT(C133,FIND(" ",C133)-1)</f>
        <v>#VALUE!</v>
      </c>
      <c r="B133" t="e">
        <f t="shared" ref="B133:B196" si="5">RIGHT(C133,LEN(C133)-FIND(" ",C133))</f>
        <v>#VALUE!</v>
      </c>
      <c r="D133" s="14">
        <v>0</v>
      </c>
      <c r="E133"/>
      <c r="F133"/>
      <c r="G133"/>
      <c r="H133"/>
      <c r="I133"/>
      <c r="J133"/>
      <c r="K133"/>
      <c r="L133"/>
      <c r="M133"/>
      <c r="N133"/>
    </row>
    <row r="134" spans="1:14" x14ac:dyDescent="0.25">
      <c r="A134" t="str">
        <f t="shared" si="4"/>
        <v>1056289</v>
      </c>
      <c r="B134" t="str">
        <f t="shared" si="5"/>
        <v xml:space="preserve"> Lumen - Valley CoCal (2025-26)</v>
      </c>
      <c r="C134" t="s">
        <v>1018</v>
      </c>
      <c r="D134" s="15">
        <v>68869.63</v>
      </c>
      <c r="E134" s="15">
        <v>76251.149999999994</v>
      </c>
      <c r="F134" s="15">
        <v>-7381.52</v>
      </c>
      <c r="G134" s="34">
        <v>-10.7181060795593</v>
      </c>
      <c r="H134" s="15">
        <v>0</v>
      </c>
      <c r="I134" s="15">
        <v>172222.79</v>
      </c>
      <c r="J134" s="15">
        <v>0</v>
      </c>
      <c r="K134" s="15">
        <v>172222.79</v>
      </c>
      <c r="L134" s="15">
        <v>139376.79</v>
      </c>
      <c r="M134" s="15">
        <v>32846</v>
      </c>
      <c r="N134" s="34">
        <v>19.0718080922972</v>
      </c>
    </row>
    <row r="135" spans="1:14" x14ac:dyDescent="0.25">
      <c r="A135" t="e">
        <f t="shared" si="4"/>
        <v>#VALUE!</v>
      </c>
      <c r="B135" t="e">
        <f t="shared" si="5"/>
        <v>#VALUE!</v>
      </c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25">
      <c r="A136" t="e">
        <f t="shared" si="4"/>
        <v>#VALUE!</v>
      </c>
      <c r="B136" t="e">
        <f t="shared" si="5"/>
        <v>#VALUE!</v>
      </c>
      <c r="C136" s="14">
        <v>3285</v>
      </c>
      <c r="D136" s="14">
        <v>3285</v>
      </c>
      <c r="E136"/>
      <c r="F136"/>
      <c r="G136"/>
      <c r="H136"/>
      <c r="I136"/>
      <c r="J136"/>
      <c r="K136"/>
      <c r="L136"/>
      <c r="M136"/>
      <c r="N136"/>
    </row>
    <row r="137" spans="1:14" x14ac:dyDescent="0.25">
      <c r="A137" t="e">
        <f t="shared" si="4"/>
        <v>#VALUE!</v>
      </c>
      <c r="B137" t="e">
        <f t="shared" si="5"/>
        <v>#VALUE!</v>
      </c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25">
      <c r="A138" t="e">
        <f t="shared" si="4"/>
        <v>#VALUE!</v>
      </c>
      <c r="B138" t="e">
        <f t="shared" si="5"/>
        <v>#VALUE!</v>
      </c>
      <c r="D138" s="14">
        <v>0</v>
      </c>
      <c r="E138"/>
      <c r="F138"/>
      <c r="G138"/>
      <c r="H138"/>
      <c r="I138"/>
      <c r="J138"/>
      <c r="K138"/>
      <c r="L138"/>
      <c r="M138"/>
      <c r="N138"/>
    </row>
    <row r="139" spans="1:14" x14ac:dyDescent="0.25">
      <c r="A139" t="str">
        <f t="shared" si="4"/>
        <v>1056297</v>
      </c>
      <c r="B139" t="str">
        <f t="shared" si="5"/>
        <v xml:space="preserve"> Unwired Broadband - Coalinga</v>
      </c>
      <c r="C139" t="s">
        <v>1115</v>
      </c>
      <c r="D139" s="15">
        <v>7905</v>
      </c>
      <c r="E139" s="15">
        <v>5423.01</v>
      </c>
      <c r="F139" s="15">
        <v>2481.9899999999998</v>
      </c>
      <c r="G139" s="34">
        <v>31.3977229601518</v>
      </c>
      <c r="H139" s="15">
        <v>0</v>
      </c>
      <c r="I139" s="15">
        <v>7905</v>
      </c>
      <c r="J139" s="15">
        <v>3285</v>
      </c>
      <c r="K139" s="15">
        <v>7905</v>
      </c>
      <c r="L139" s="15">
        <v>5423.01</v>
      </c>
      <c r="M139" s="15">
        <v>2481.9899999999998</v>
      </c>
      <c r="N139" s="34">
        <v>31.3977229601518</v>
      </c>
    </row>
    <row r="140" spans="1:14" x14ac:dyDescent="0.25">
      <c r="A140" t="e">
        <f t="shared" si="4"/>
        <v>#VALUE!</v>
      </c>
      <c r="B140" t="e">
        <f t="shared" si="5"/>
        <v>#VALUE!</v>
      </c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25">
      <c r="A141" t="e">
        <f t="shared" si="4"/>
        <v>#VALUE!</v>
      </c>
      <c r="B141" t="e">
        <f t="shared" si="5"/>
        <v>#VALUE!</v>
      </c>
      <c r="C141" s="14">
        <v>890</v>
      </c>
      <c r="D141" s="14">
        <v>890</v>
      </c>
      <c r="E141"/>
      <c r="F141"/>
      <c r="G141"/>
      <c r="H141"/>
      <c r="I141"/>
      <c r="J141"/>
      <c r="K141"/>
      <c r="L141"/>
      <c r="M141"/>
      <c r="N141"/>
    </row>
    <row r="142" spans="1:14" x14ac:dyDescent="0.25">
      <c r="A142" t="e">
        <f t="shared" si="4"/>
        <v>#VALUE!</v>
      </c>
      <c r="B142" t="e">
        <f t="shared" si="5"/>
        <v>#VALUE!</v>
      </c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25">
      <c r="A143" t="e">
        <f t="shared" si="4"/>
        <v>#VALUE!</v>
      </c>
      <c r="B143" t="e">
        <f t="shared" si="5"/>
        <v>#VALUE!</v>
      </c>
      <c r="D143" s="14">
        <v>0</v>
      </c>
      <c r="E143"/>
      <c r="F143"/>
      <c r="G143"/>
      <c r="H143"/>
      <c r="I143"/>
      <c r="J143"/>
      <c r="K143"/>
      <c r="L143"/>
      <c r="M143"/>
      <c r="N143"/>
    </row>
    <row r="144" spans="1:14" x14ac:dyDescent="0.25">
      <c r="A144" t="str">
        <f t="shared" si="4"/>
        <v>1056298</v>
      </c>
      <c r="B144" t="str">
        <f t="shared" si="5"/>
        <v xml:space="preserve"> Unwired Broadband - Gustine</v>
      </c>
      <c r="C144" t="s">
        <v>1116</v>
      </c>
      <c r="D144" s="15">
        <v>890</v>
      </c>
      <c r="E144" s="15">
        <v>1675.43</v>
      </c>
      <c r="F144" s="15">
        <v>-785.43</v>
      </c>
      <c r="G144" s="34">
        <v>-88.250561797752795</v>
      </c>
      <c r="H144" s="15">
        <v>0</v>
      </c>
      <c r="I144" s="15">
        <v>890</v>
      </c>
      <c r="J144" s="15">
        <v>890</v>
      </c>
      <c r="K144" s="15">
        <v>890</v>
      </c>
      <c r="L144" s="15">
        <v>1675.43</v>
      </c>
      <c r="M144" s="15">
        <v>-785.43</v>
      </c>
      <c r="N144" s="34">
        <v>-88.250561797752795</v>
      </c>
    </row>
    <row r="145" spans="1:14" x14ac:dyDescent="0.25">
      <c r="A145" t="e">
        <f t="shared" si="4"/>
        <v>#VALUE!</v>
      </c>
      <c r="B145" t="e">
        <f t="shared" si="5"/>
        <v>#VALUE!</v>
      </c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25">
      <c r="A146" t="e">
        <f t="shared" si="4"/>
        <v>#VALUE!</v>
      </c>
      <c r="B146" t="e">
        <f t="shared" si="5"/>
        <v>#VALUE!</v>
      </c>
      <c r="C146" s="14">
        <v>11195</v>
      </c>
      <c r="D146" s="14">
        <v>11195</v>
      </c>
      <c r="E146"/>
      <c r="F146"/>
      <c r="G146"/>
      <c r="H146"/>
      <c r="I146"/>
      <c r="J146"/>
      <c r="K146"/>
      <c r="L146"/>
      <c r="M146"/>
      <c r="N146"/>
    </row>
    <row r="147" spans="1:14" x14ac:dyDescent="0.25">
      <c r="A147" t="e">
        <f t="shared" si="4"/>
        <v>#VALUE!</v>
      </c>
      <c r="B147" t="e">
        <f t="shared" si="5"/>
        <v>#VALUE!</v>
      </c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25">
      <c r="A148" t="e">
        <f t="shared" si="4"/>
        <v>#VALUE!</v>
      </c>
      <c r="B148" t="e">
        <f t="shared" si="5"/>
        <v>#VALUE!</v>
      </c>
      <c r="D148" s="14">
        <v>0</v>
      </c>
      <c r="E148"/>
      <c r="F148"/>
      <c r="G148"/>
      <c r="H148"/>
      <c r="I148"/>
      <c r="J148"/>
      <c r="K148"/>
      <c r="L148"/>
      <c r="M148"/>
      <c r="N148"/>
    </row>
    <row r="149" spans="1:14" x14ac:dyDescent="0.25">
      <c r="A149" t="str">
        <f t="shared" si="4"/>
        <v>1056299</v>
      </c>
      <c r="B149" t="str">
        <f t="shared" si="5"/>
        <v xml:space="preserve"> ATT - A0578EH - Tulare MH T331 Cable Dam</v>
      </c>
      <c r="C149" t="s">
        <v>1099</v>
      </c>
      <c r="D149" s="15">
        <v>11195</v>
      </c>
      <c r="E149" s="15">
        <v>7724.15</v>
      </c>
      <c r="F149" s="15">
        <v>3470.85</v>
      </c>
      <c r="G149" s="34">
        <v>31.003573023671301</v>
      </c>
      <c r="H149" s="15">
        <v>0</v>
      </c>
      <c r="I149" s="15">
        <v>11195</v>
      </c>
      <c r="J149" s="15">
        <v>11195</v>
      </c>
      <c r="K149" s="15">
        <v>11195</v>
      </c>
      <c r="L149" s="15">
        <v>7724.15</v>
      </c>
      <c r="M149" s="15">
        <v>3470.85</v>
      </c>
      <c r="N149" s="34">
        <v>31.003573023671301</v>
      </c>
    </row>
    <row r="150" spans="1:14" x14ac:dyDescent="0.25">
      <c r="A150" t="e">
        <f t="shared" si="4"/>
        <v>#VALUE!</v>
      </c>
      <c r="B150" t="e">
        <f t="shared" si="5"/>
        <v>#VALUE!</v>
      </c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25">
      <c r="A151" t="e">
        <f t="shared" si="4"/>
        <v>#VALUE!</v>
      </c>
      <c r="B151" t="e">
        <f t="shared" si="5"/>
        <v>#VALUE!</v>
      </c>
      <c r="C151" s="14">
        <v>874142.9</v>
      </c>
      <c r="D151" s="14">
        <v>874142.9</v>
      </c>
      <c r="E151"/>
      <c r="F151"/>
      <c r="G151"/>
      <c r="H151"/>
      <c r="I151"/>
      <c r="J151"/>
      <c r="K151"/>
      <c r="L151"/>
      <c r="M151"/>
      <c r="N151"/>
    </row>
    <row r="152" spans="1:14" x14ac:dyDescent="0.25">
      <c r="A152" t="e">
        <f t="shared" si="4"/>
        <v>#VALUE!</v>
      </c>
      <c r="B152" t="e">
        <f t="shared" si="5"/>
        <v>#VALUE!</v>
      </c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25">
      <c r="A153" t="e">
        <f t="shared" si="4"/>
        <v>#VALUE!</v>
      </c>
      <c r="B153" t="e">
        <f t="shared" si="5"/>
        <v>#VALUE!</v>
      </c>
      <c r="D153" s="14">
        <v>0</v>
      </c>
      <c r="E153"/>
      <c r="F153"/>
      <c r="G153"/>
      <c r="H153"/>
      <c r="I153"/>
      <c r="J153"/>
      <c r="K153"/>
      <c r="L153"/>
      <c r="M153"/>
      <c r="N153"/>
    </row>
    <row r="154" spans="1:14" x14ac:dyDescent="0.25">
      <c r="A154" t="str">
        <f t="shared" si="4"/>
        <v>1252081</v>
      </c>
      <c r="B154" t="str">
        <f t="shared" si="5"/>
        <v xml:space="preserve"> Frontier - FTTH Susanville</v>
      </c>
      <c r="C154" t="s">
        <v>687</v>
      </c>
      <c r="D154" s="15">
        <v>0</v>
      </c>
      <c r="E154" s="15">
        <v>0</v>
      </c>
      <c r="F154" s="15">
        <v>0</v>
      </c>
      <c r="G154" s="34">
        <v>0</v>
      </c>
      <c r="H154" s="15">
        <v>2864294.41</v>
      </c>
      <c r="I154" s="15">
        <v>-633331.44999999995</v>
      </c>
      <c r="J154" s="15">
        <v>874142.9</v>
      </c>
      <c r="K154" s="15">
        <v>2230962.96</v>
      </c>
      <c r="L154" s="15">
        <v>1800079.92</v>
      </c>
      <c r="M154" s="15">
        <v>430883.04</v>
      </c>
      <c r="N154" s="34">
        <v>19.313769333041702</v>
      </c>
    </row>
    <row r="155" spans="1:14" x14ac:dyDescent="0.25">
      <c r="A155" t="e">
        <f t="shared" si="4"/>
        <v>#VALUE!</v>
      </c>
      <c r="B155" t="e">
        <f t="shared" si="5"/>
        <v>#VALUE!</v>
      </c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25">
      <c r="A156" t="e">
        <f t="shared" si="4"/>
        <v>#VALUE!</v>
      </c>
      <c r="B156" t="e">
        <f t="shared" si="5"/>
        <v>#VALUE!</v>
      </c>
      <c r="C156" s="14">
        <v>0</v>
      </c>
      <c r="D156" s="14">
        <v>0</v>
      </c>
      <c r="E156"/>
      <c r="F156"/>
      <c r="G156"/>
      <c r="H156"/>
      <c r="I156"/>
      <c r="J156"/>
      <c r="K156"/>
      <c r="L156"/>
      <c r="M156"/>
      <c r="N156"/>
    </row>
    <row r="157" spans="1:14" x14ac:dyDescent="0.25">
      <c r="A157" t="e">
        <f t="shared" si="4"/>
        <v>#VALUE!</v>
      </c>
      <c r="B157" t="e">
        <f t="shared" si="5"/>
        <v>#VALUE!</v>
      </c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25">
      <c r="A158" t="e">
        <f t="shared" si="4"/>
        <v>#VALUE!</v>
      </c>
      <c r="B158" t="e">
        <f t="shared" si="5"/>
        <v>#VALUE!</v>
      </c>
      <c r="D158" s="14">
        <v>0</v>
      </c>
      <c r="E158"/>
      <c r="F158"/>
      <c r="G158"/>
      <c r="H158"/>
      <c r="I158"/>
      <c r="J158"/>
      <c r="K158"/>
      <c r="L158"/>
      <c r="M158"/>
      <c r="N158"/>
    </row>
    <row r="159" spans="1:14" x14ac:dyDescent="0.25">
      <c r="A159" t="str">
        <f t="shared" si="4"/>
        <v>1252128</v>
      </c>
      <c r="B159" t="str">
        <f t="shared" si="5"/>
        <v xml:space="preserve"> Frontier- FTTH Valley</v>
      </c>
      <c r="C159" t="s">
        <v>829</v>
      </c>
      <c r="D159" s="15">
        <v>362679.78</v>
      </c>
      <c r="E159" s="15">
        <v>437255.14</v>
      </c>
      <c r="F159" s="15">
        <v>-74575.360000000001</v>
      </c>
      <c r="G159" s="34">
        <v>-20.5623153295174</v>
      </c>
      <c r="H159" s="15">
        <v>8586109.0399999991</v>
      </c>
      <c r="I159" s="15">
        <v>517724.12</v>
      </c>
      <c r="J159" s="15">
        <v>0</v>
      </c>
      <c r="K159" s="15">
        <v>9103833.1600000001</v>
      </c>
      <c r="L159" s="15">
        <v>7326754.2199999997</v>
      </c>
      <c r="M159" s="15">
        <v>1777078.94</v>
      </c>
      <c r="N159" s="34">
        <v>19.520117611645698</v>
      </c>
    </row>
    <row r="160" spans="1:14" x14ac:dyDescent="0.25">
      <c r="A160" t="e">
        <f t="shared" si="4"/>
        <v>#VALUE!</v>
      </c>
      <c r="B160" t="e">
        <f t="shared" si="5"/>
        <v>#VALUE!</v>
      </c>
      <c r="C160" t="s">
        <v>440</v>
      </c>
      <c r="D160" t="s">
        <v>441</v>
      </c>
      <c r="E160" s="15">
        <v>489357.46</v>
      </c>
      <c r="F160" s="15">
        <v>-82412.89</v>
      </c>
      <c r="G160" s="15">
        <v>11852188.43</v>
      </c>
      <c r="H160" s="15">
        <v>12181108.140000001</v>
      </c>
      <c r="I160" s="15">
        <v>2366409.62</v>
      </c>
      <c r="J160" s="15">
        <v>571770.35</v>
      </c>
      <c r="K160" s="14">
        <v>-16.841040902901501</v>
      </c>
      <c r="L160" s="15">
        <v>328919.71000000002</v>
      </c>
      <c r="M160" s="15">
        <v>9814698.5199999996</v>
      </c>
      <c r="N160" s="14">
        <v>14.588811786051499</v>
      </c>
    </row>
    <row r="161" spans="1:14" x14ac:dyDescent="0.25">
      <c r="A161" t="e">
        <f t="shared" si="4"/>
        <v>#VALUE!</v>
      </c>
      <c r="B161" t="e">
        <f t="shared" si="5"/>
        <v>#VALUE!</v>
      </c>
      <c r="C161" t="s">
        <v>72</v>
      </c>
      <c r="D161" t="s">
        <v>73</v>
      </c>
      <c r="E161"/>
      <c r="F161"/>
      <c r="G161"/>
      <c r="H161"/>
      <c r="I161"/>
      <c r="J161"/>
      <c r="K161"/>
      <c r="L161"/>
      <c r="M161"/>
      <c r="N161"/>
    </row>
    <row r="162" spans="1:14" x14ac:dyDescent="0.25">
      <c r="A162" t="e">
        <f t="shared" si="4"/>
        <v>#VALUE!</v>
      </c>
      <c r="B162" t="e">
        <f t="shared" si="5"/>
        <v>#VALUE!</v>
      </c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25">
      <c r="A163" t="e">
        <f t="shared" si="4"/>
        <v>#VALUE!</v>
      </c>
      <c r="B163" t="e">
        <f t="shared" si="5"/>
        <v>#VALUE!</v>
      </c>
      <c r="C163" s="14">
        <v>0</v>
      </c>
      <c r="D163" s="14">
        <v>0</v>
      </c>
      <c r="E163"/>
      <c r="F163"/>
      <c r="G163"/>
      <c r="H163"/>
      <c r="I163"/>
      <c r="J163"/>
      <c r="K163"/>
      <c r="L163"/>
      <c r="M163"/>
      <c r="N163"/>
    </row>
    <row r="164" spans="1:14" x14ac:dyDescent="0.25">
      <c r="A164" t="e">
        <f t="shared" si="4"/>
        <v>#VALUE!</v>
      </c>
      <c r="B164" t="e">
        <f t="shared" si="5"/>
        <v>#VALUE!</v>
      </c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25">
      <c r="A165" t="e">
        <f t="shared" si="4"/>
        <v>#VALUE!</v>
      </c>
      <c r="B165" t="e">
        <f t="shared" si="5"/>
        <v>#VALUE!</v>
      </c>
      <c r="D165" s="14">
        <v>0</v>
      </c>
      <c r="E165"/>
      <c r="F165"/>
      <c r="G165"/>
      <c r="H165"/>
      <c r="I165"/>
      <c r="J165"/>
      <c r="K165"/>
      <c r="L165"/>
      <c r="M165"/>
      <c r="N165"/>
    </row>
    <row r="166" spans="1:14" x14ac:dyDescent="0.25">
      <c r="A166" t="str">
        <f t="shared" si="4"/>
        <v>1380076</v>
      </c>
      <c r="B166" t="str">
        <f t="shared" si="5"/>
        <v xml:space="preserve"> Molalla-Maintenance Work Orders</v>
      </c>
      <c r="C166" t="s">
        <v>189</v>
      </c>
      <c r="D166" s="15">
        <v>19704.68</v>
      </c>
      <c r="E166" s="15">
        <v>18386.87</v>
      </c>
      <c r="F166" s="15">
        <v>1317.81</v>
      </c>
      <c r="G166" s="34">
        <v>6.6878020855959104</v>
      </c>
      <c r="H166" s="15">
        <v>4348561.8099999996</v>
      </c>
      <c r="I166" s="15">
        <v>-17799</v>
      </c>
      <c r="J166" s="15">
        <v>0</v>
      </c>
      <c r="K166" s="15">
        <v>4330762.8099999996</v>
      </c>
      <c r="L166" s="15">
        <v>3399160.97</v>
      </c>
      <c r="M166" s="15">
        <v>931601.84</v>
      </c>
      <c r="N166" s="34">
        <v>21.5112644324199</v>
      </c>
    </row>
    <row r="167" spans="1:14" x14ac:dyDescent="0.25">
      <c r="A167" t="e">
        <f t="shared" si="4"/>
        <v>#VALUE!</v>
      </c>
      <c r="B167" t="e">
        <f t="shared" si="5"/>
        <v>#VALUE!</v>
      </c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25">
      <c r="A168" t="e">
        <f t="shared" si="4"/>
        <v>#VALUE!</v>
      </c>
      <c r="B168" t="e">
        <f t="shared" si="5"/>
        <v>#VALUE!</v>
      </c>
      <c r="C168" s="14">
        <v>1653969</v>
      </c>
      <c r="D168" s="14">
        <v>1653969</v>
      </c>
      <c r="E168"/>
      <c r="F168"/>
      <c r="G168"/>
      <c r="H168"/>
      <c r="I168"/>
      <c r="J168"/>
      <c r="K168"/>
      <c r="L168"/>
      <c r="M168"/>
      <c r="N168"/>
    </row>
    <row r="169" spans="1:14" x14ac:dyDescent="0.25">
      <c r="A169" t="e">
        <f t="shared" si="4"/>
        <v>#VALUE!</v>
      </c>
      <c r="B169" t="e">
        <f t="shared" si="5"/>
        <v>#VALUE!</v>
      </c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25">
      <c r="A170" t="e">
        <f t="shared" si="4"/>
        <v>#VALUE!</v>
      </c>
      <c r="B170" t="e">
        <f t="shared" si="5"/>
        <v>#VALUE!</v>
      </c>
      <c r="D170" s="14">
        <v>0</v>
      </c>
      <c r="E170"/>
      <c r="F170"/>
      <c r="G170"/>
      <c r="H170"/>
      <c r="I170"/>
      <c r="J170"/>
      <c r="K170"/>
      <c r="L170"/>
      <c r="M170"/>
      <c r="N170"/>
    </row>
    <row r="171" spans="1:14" x14ac:dyDescent="0.25">
      <c r="A171" t="str">
        <f t="shared" si="4"/>
        <v>1384180</v>
      </c>
      <c r="B171" t="str">
        <f t="shared" si="5"/>
        <v xml:space="preserve"> Clear Creek-FTTH P1 Project</v>
      </c>
      <c r="C171" t="s">
        <v>190</v>
      </c>
      <c r="D171" s="15">
        <v>0</v>
      </c>
      <c r="E171" s="15">
        <v>0</v>
      </c>
      <c r="F171" s="15">
        <v>0</v>
      </c>
      <c r="G171" s="34">
        <v>0</v>
      </c>
      <c r="H171" s="15">
        <v>1085813.77</v>
      </c>
      <c r="I171" s="15">
        <v>-5.0874859880423198E-12</v>
      </c>
      <c r="J171" s="15">
        <v>1653969</v>
      </c>
      <c r="K171" s="15">
        <v>1085813.77</v>
      </c>
      <c r="L171" s="15">
        <v>952601.51</v>
      </c>
      <c r="M171" s="15">
        <v>133212.26</v>
      </c>
      <c r="N171" s="34">
        <v>12.2684261040454</v>
      </c>
    </row>
    <row r="172" spans="1:14" x14ac:dyDescent="0.25">
      <c r="A172" t="e">
        <f t="shared" si="4"/>
        <v>#VALUE!</v>
      </c>
      <c r="B172" t="e">
        <f t="shared" si="5"/>
        <v>#VALUE!</v>
      </c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25">
      <c r="A173" t="e">
        <f t="shared" si="4"/>
        <v>#VALUE!</v>
      </c>
      <c r="B173" t="e">
        <f t="shared" si="5"/>
        <v>#VALUE!</v>
      </c>
      <c r="C173" s="14">
        <v>1885898.54</v>
      </c>
      <c r="D173" s="14">
        <v>1885898.54</v>
      </c>
      <c r="E173"/>
      <c r="F173"/>
      <c r="G173"/>
      <c r="H173"/>
      <c r="I173"/>
      <c r="J173"/>
      <c r="K173"/>
      <c r="L173"/>
      <c r="M173"/>
      <c r="N173"/>
    </row>
    <row r="174" spans="1:14" x14ac:dyDescent="0.25">
      <c r="A174" t="e">
        <f t="shared" si="4"/>
        <v>#VALUE!</v>
      </c>
      <c r="B174" t="e">
        <f t="shared" si="5"/>
        <v>#VALUE!</v>
      </c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25">
      <c r="A175" t="e">
        <f t="shared" si="4"/>
        <v>#VALUE!</v>
      </c>
      <c r="B175" t="e">
        <f t="shared" si="5"/>
        <v>#VALUE!</v>
      </c>
      <c r="D175" s="14">
        <v>0</v>
      </c>
      <c r="E175"/>
      <c r="F175"/>
      <c r="G175"/>
      <c r="H175"/>
      <c r="I175"/>
      <c r="J175"/>
      <c r="K175"/>
      <c r="L175"/>
      <c r="M175"/>
      <c r="N175"/>
    </row>
    <row r="176" spans="1:14" x14ac:dyDescent="0.25">
      <c r="A176" t="str">
        <f t="shared" si="4"/>
        <v>1385143</v>
      </c>
      <c r="B176" t="str">
        <f t="shared" si="5"/>
        <v xml:space="preserve"> Clear Creek-FTTH Phase II</v>
      </c>
      <c r="C176" t="s">
        <v>297</v>
      </c>
      <c r="D176" s="15">
        <v>0</v>
      </c>
      <c r="E176" s="15">
        <v>250</v>
      </c>
      <c r="F176" s="15">
        <v>-250</v>
      </c>
      <c r="G176" s="34">
        <v>0</v>
      </c>
      <c r="H176" s="15">
        <v>1888923.81</v>
      </c>
      <c r="I176" s="15">
        <v>-4.2405190470162798E-11</v>
      </c>
      <c r="J176" s="15">
        <v>1885898.54</v>
      </c>
      <c r="K176" s="15">
        <v>1888923.81</v>
      </c>
      <c r="L176" s="15">
        <v>1596741.49</v>
      </c>
      <c r="M176" s="15">
        <v>292182.32</v>
      </c>
      <c r="N176" s="34">
        <v>15.4681897942723</v>
      </c>
    </row>
    <row r="177" spans="1:14" x14ac:dyDescent="0.25">
      <c r="A177" t="e">
        <f t="shared" si="4"/>
        <v>#VALUE!</v>
      </c>
      <c r="B177" t="e">
        <f t="shared" si="5"/>
        <v>#VALUE!</v>
      </c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25">
      <c r="A178" t="e">
        <f t="shared" si="4"/>
        <v>#VALUE!</v>
      </c>
      <c r="B178" t="e">
        <f t="shared" si="5"/>
        <v>#VALUE!</v>
      </c>
      <c r="C178" s="14">
        <v>1618102</v>
      </c>
      <c r="D178" s="14">
        <v>1618102</v>
      </c>
      <c r="E178"/>
      <c r="F178"/>
      <c r="G178"/>
      <c r="H178"/>
      <c r="I178"/>
      <c r="J178"/>
      <c r="K178"/>
      <c r="L178"/>
      <c r="M178"/>
      <c r="N178"/>
    </row>
    <row r="179" spans="1:14" x14ac:dyDescent="0.25">
      <c r="A179" t="e">
        <f t="shared" si="4"/>
        <v>#VALUE!</v>
      </c>
      <c r="B179" t="e">
        <f t="shared" si="5"/>
        <v>#VALUE!</v>
      </c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25">
      <c r="A180" t="e">
        <f t="shared" si="4"/>
        <v>#VALUE!</v>
      </c>
      <c r="B180" t="e">
        <f t="shared" si="5"/>
        <v>#VALUE!</v>
      </c>
      <c r="D180" s="14">
        <v>0</v>
      </c>
      <c r="E180"/>
      <c r="F180"/>
      <c r="G180"/>
      <c r="H180"/>
      <c r="I180"/>
      <c r="J180"/>
      <c r="K180"/>
      <c r="L180"/>
      <c r="M180"/>
      <c r="N180"/>
    </row>
    <row r="181" spans="1:14" x14ac:dyDescent="0.25">
      <c r="A181" t="str">
        <f t="shared" si="4"/>
        <v>1385258</v>
      </c>
      <c r="B181" t="str">
        <f t="shared" si="5"/>
        <v xml:space="preserve"> Clear Creek-2024 OSP Phase III</v>
      </c>
      <c r="C181" t="s">
        <v>191</v>
      </c>
      <c r="D181" s="15">
        <v>16848.43</v>
      </c>
      <c r="E181" s="15">
        <v>20040.759999999998</v>
      </c>
      <c r="F181" s="15">
        <v>-3192.33</v>
      </c>
      <c r="G181" s="34">
        <v>-18.947344055202802</v>
      </c>
      <c r="H181" s="15">
        <v>1225306.52</v>
      </c>
      <c r="I181" s="15">
        <v>39573.25</v>
      </c>
      <c r="J181" s="15">
        <v>1618102</v>
      </c>
      <c r="K181" s="15">
        <v>1264879.77</v>
      </c>
      <c r="L181" s="15">
        <v>1165524.75</v>
      </c>
      <c r="M181" s="15">
        <v>99355.02</v>
      </c>
      <c r="N181" s="34">
        <v>7.8548983355153199</v>
      </c>
    </row>
    <row r="182" spans="1:14" x14ac:dyDescent="0.25">
      <c r="A182" t="e">
        <f t="shared" si="4"/>
        <v>#VALUE!</v>
      </c>
      <c r="B182" t="e">
        <f t="shared" si="5"/>
        <v>#VALUE!</v>
      </c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25">
      <c r="A183" t="e">
        <f t="shared" si="4"/>
        <v>#VALUE!</v>
      </c>
      <c r="B183" t="e">
        <f t="shared" si="5"/>
        <v>#VALUE!</v>
      </c>
      <c r="C183" s="14">
        <v>2244797.5</v>
      </c>
      <c r="D183" s="14">
        <v>2244797.5</v>
      </c>
      <c r="E183"/>
      <c r="F183"/>
      <c r="G183"/>
      <c r="H183"/>
      <c r="I183"/>
      <c r="J183"/>
      <c r="K183"/>
      <c r="L183"/>
      <c r="M183"/>
      <c r="N183"/>
    </row>
    <row r="184" spans="1:14" x14ac:dyDescent="0.25">
      <c r="A184" t="e">
        <f t="shared" si="4"/>
        <v>#VALUE!</v>
      </c>
      <c r="B184" t="e">
        <f t="shared" si="5"/>
        <v>#VALUE!</v>
      </c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25">
      <c r="A185" t="e">
        <f t="shared" si="4"/>
        <v>#VALUE!</v>
      </c>
      <c r="B185" t="e">
        <f t="shared" si="5"/>
        <v>#VALUE!</v>
      </c>
      <c r="D185" s="14">
        <v>0</v>
      </c>
      <c r="E185"/>
      <c r="F185"/>
      <c r="G185"/>
      <c r="H185"/>
      <c r="I185"/>
      <c r="J185"/>
      <c r="K185"/>
      <c r="L185"/>
      <c r="M185"/>
      <c r="N185"/>
    </row>
    <row r="186" spans="1:14" x14ac:dyDescent="0.25">
      <c r="A186" t="str">
        <f t="shared" si="4"/>
        <v>1386100</v>
      </c>
      <c r="B186" t="str">
        <f t="shared" si="5"/>
        <v xml:space="preserve"> DirectLink - Mt Angel Town FTTH</v>
      </c>
      <c r="C186" t="s">
        <v>1137</v>
      </c>
      <c r="D186" s="15">
        <v>-1035</v>
      </c>
      <c r="E186" s="15">
        <v>-1186.05</v>
      </c>
      <c r="F186" s="15">
        <v>151.05000000000001</v>
      </c>
      <c r="G186" s="34">
        <v>0</v>
      </c>
      <c r="H186" s="15">
        <v>1774529.74</v>
      </c>
      <c r="I186" s="15">
        <v>1.71809233506792E-11</v>
      </c>
      <c r="J186" s="15">
        <v>2244797.5</v>
      </c>
      <c r="K186" s="15">
        <v>1774529.74</v>
      </c>
      <c r="L186" s="15">
        <v>1482763.62</v>
      </c>
      <c r="M186" s="15">
        <v>291766.12</v>
      </c>
      <c r="N186" s="34">
        <v>16.4418839213143</v>
      </c>
    </row>
    <row r="187" spans="1:14" x14ac:dyDescent="0.25">
      <c r="A187" t="e">
        <f t="shared" si="4"/>
        <v>#VALUE!</v>
      </c>
      <c r="B187" t="e">
        <f t="shared" si="5"/>
        <v>#VALUE!</v>
      </c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25">
      <c r="A188" t="e">
        <f t="shared" si="4"/>
        <v>#VALUE!</v>
      </c>
      <c r="B188" t="e">
        <f t="shared" si="5"/>
        <v>#VALUE!</v>
      </c>
      <c r="C188" s="14">
        <v>546525.5</v>
      </c>
      <c r="D188" s="14">
        <v>546525.5</v>
      </c>
      <c r="E188"/>
      <c r="F188"/>
      <c r="G188"/>
      <c r="H188"/>
      <c r="I188"/>
      <c r="J188"/>
      <c r="K188"/>
      <c r="L188"/>
      <c r="M188"/>
      <c r="N188"/>
    </row>
    <row r="189" spans="1:14" x14ac:dyDescent="0.25">
      <c r="A189" t="e">
        <f t="shared" si="4"/>
        <v>#VALUE!</v>
      </c>
      <c r="B189" t="e">
        <f t="shared" si="5"/>
        <v>#VALUE!</v>
      </c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25">
      <c r="A190" t="e">
        <f t="shared" si="4"/>
        <v>#VALUE!</v>
      </c>
      <c r="B190" t="e">
        <f t="shared" si="5"/>
        <v>#VALUE!</v>
      </c>
      <c r="D190" s="14">
        <v>0</v>
      </c>
      <c r="E190"/>
      <c r="F190"/>
      <c r="G190"/>
      <c r="H190"/>
      <c r="I190"/>
      <c r="J190"/>
      <c r="K190"/>
      <c r="L190"/>
      <c r="M190"/>
      <c r="N190"/>
    </row>
    <row r="191" spans="1:14" x14ac:dyDescent="0.25">
      <c r="A191" t="str">
        <f t="shared" si="4"/>
        <v>1386138</v>
      </c>
      <c r="B191" t="str">
        <f t="shared" si="5"/>
        <v xml:space="preserve"> Clear Creek - OSP Phase 3-1</v>
      </c>
      <c r="C191" t="s">
        <v>1138</v>
      </c>
      <c r="D191" s="15">
        <v>48339.47</v>
      </c>
      <c r="E191" s="15">
        <v>51063.88</v>
      </c>
      <c r="F191" s="15">
        <v>-2724.41</v>
      </c>
      <c r="G191" s="34">
        <v>-5.6359947678367197</v>
      </c>
      <c r="H191" s="15">
        <v>448080.53</v>
      </c>
      <c r="I191" s="15">
        <v>27372.44</v>
      </c>
      <c r="J191" s="15">
        <v>546525.5</v>
      </c>
      <c r="K191" s="15">
        <v>475452.97</v>
      </c>
      <c r="L191" s="15">
        <v>442270.58</v>
      </c>
      <c r="M191" s="15">
        <v>33182.39</v>
      </c>
      <c r="N191" s="34">
        <v>6.9791108887173401</v>
      </c>
    </row>
    <row r="192" spans="1:14" x14ac:dyDescent="0.25">
      <c r="A192" t="e">
        <f t="shared" si="4"/>
        <v>#VALUE!</v>
      </c>
      <c r="B192" t="e">
        <f t="shared" si="5"/>
        <v>#VALUE!</v>
      </c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25">
      <c r="A193" t="e">
        <f t="shared" si="4"/>
        <v>#VALUE!</v>
      </c>
      <c r="B193" t="e">
        <f t="shared" si="5"/>
        <v>#VALUE!</v>
      </c>
      <c r="C193" s="14">
        <v>3175</v>
      </c>
      <c r="D193" s="14">
        <v>3175</v>
      </c>
      <c r="E193"/>
      <c r="F193"/>
      <c r="G193"/>
      <c r="H193"/>
      <c r="I193"/>
      <c r="J193"/>
      <c r="K193"/>
      <c r="L193"/>
      <c r="M193"/>
      <c r="N193"/>
    </row>
    <row r="194" spans="1:14" x14ac:dyDescent="0.25">
      <c r="A194" t="e">
        <f t="shared" si="4"/>
        <v>#VALUE!</v>
      </c>
      <c r="B194" t="e">
        <f t="shared" si="5"/>
        <v>#VALUE!</v>
      </c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25">
      <c r="A195" t="e">
        <f t="shared" si="4"/>
        <v>#VALUE!</v>
      </c>
      <c r="B195" t="e">
        <f t="shared" si="5"/>
        <v>#VALUE!</v>
      </c>
      <c r="D195" s="14">
        <v>0</v>
      </c>
      <c r="E195"/>
      <c r="F195"/>
      <c r="G195"/>
      <c r="H195"/>
      <c r="I195"/>
      <c r="J195"/>
      <c r="K195"/>
      <c r="L195"/>
      <c r="M195"/>
      <c r="N195"/>
    </row>
    <row r="196" spans="1:14" x14ac:dyDescent="0.25">
      <c r="A196" t="str">
        <f t="shared" si="4"/>
        <v>1386204</v>
      </c>
      <c r="B196" t="str">
        <f t="shared" si="5"/>
        <v xml:space="preserve"> Directlink - Blount Rd Ped Removals</v>
      </c>
      <c r="C196" t="s">
        <v>1117</v>
      </c>
      <c r="D196" s="15">
        <v>2775</v>
      </c>
      <c r="E196" s="15">
        <v>2404.5700000000002</v>
      </c>
      <c r="F196" s="15">
        <v>370.43</v>
      </c>
      <c r="G196" s="34">
        <v>13.3488288288288</v>
      </c>
      <c r="H196" s="15">
        <v>2775</v>
      </c>
      <c r="I196" s="15">
        <v>0</v>
      </c>
      <c r="J196" s="15">
        <v>3175</v>
      </c>
      <c r="K196" s="15">
        <v>2775</v>
      </c>
      <c r="L196" s="15">
        <v>2404.5700000000002</v>
      </c>
      <c r="M196" s="15">
        <v>370.43</v>
      </c>
      <c r="N196" s="34">
        <v>13.3488288288288</v>
      </c>
    </row>
    <row r="197" spans="1:14" x14ac:dyDescent="0.25">
      <c r="A197" t="e">
        <f t="shared" ref="A197:A260" si="6">LEFT(C197,FIND(" ",C197)-1)</f>
        <v>#VALUE!</v>
      </c>
      <c r="B197" t="e">
        <f t="shared" ref="B197:B260" si="7">RIGHT(C197,LEN(C197)-FIND(" ",C197))</f>
        <v>#VALUE!</v>
      </c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25">
      <c r="A198" t="e">
        <f t="shared" si="6"/>
        <v>#VALUE!</v>
      </c>
      <c r="B198" t="e">
        <f t="shared" si="7"/>
        <v>#VALUE!</v>
      </c>
      <c r="C198" s="14">
        <v>0</v>
      </c>
      <c r="D198" s="14">
        <v>0</v>
      </c>
      <c r="E198"/>
      <c r="F198"/>
      <c r="G198"/>
      <c r="H198"/>
      <c r="I198"/>
      <c r="J198"/>
      <c r="K198"/>
      <c r="L198"/>
      <c r="M198"/>
      <c r="N198"/>
    </row>
    <row r="199" spans="1:14" x14ac:dyDescent="0.25">
      <c r="A199" t="e">
        <f t="shared" si="6"/>
        <v>#VALUE!</v>
      </c>
      <c r="B199" t="e">
        <f t="shared" si="7"/>
        <v>#VALUE!</v>
      </c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25">
      <c r="A200" t="e">
        <f t="shared" si="6"/>
        <v>#VALUE!</v>
      </c>
      <c r="B200" t="e">
        <f t="shared" si="7"/>
        <v>#VALUE!</v>
      </c>
      <c r="D200" s="14">
        <v>0</v>
      </c>
      <c r="E200"/>
      <c r="F200"/>
      <c r="G200"/>
      <c r="H200"/>
      <c r="I200"/>
      <c r="J200"/>
      <c r="K200"/>
      <c r="L200"/>
      <c r="M200"/>
      <c r="N200"/>
    </row>
    <row r="201" spans="1:14" x14ac:dyDescent="0.25">
      <c r="A201" t="str">
        <f t="shared" si="6"/>
        <v>1387065</v>
      </c>
      <c r="B201" t="str">
        <f t="shared" si="7"/>
        <v xml:space="preserve"> DirectLink - Hourly Work</v>
      </c>
      <c r="C201" t="s">
        <v>748</v>
      </c>
      <c r="D201" s="15">
        <v>4924.33</v>
      </c>
      <c r="E201" s="15">
        <v>5218.79</v>
      </c>
      <c r="F201" s="15">
        <v>-294.45999999999998</v>
      </c>
      <c r="G201" s="34">
        <v>-5.9796967303166104</v>
      </c>
      <c r="H201" s="15">
        <v>465405.9</v>
      </c>
      <c r="I201" s="15">
        <v>-5823.6</v>
      </c>
      <c r="J201" s="15">
        <v>0</v>
      </c>
      <c r="K201" s="15">
        <v>459582.3</v>
      </c>
      <c r="L201" s="15">
        <v>348983.2</v>
      </c>
      <c r="M201" s="15">
        <v>110599.1</v>
      </c>
      <c r="N201" s="34">
        <v>24.0651347974019</v>
      </c>
    </row>
    <row r="202" spans="1:14" x14ac:dyDescent="0.25">
      <c r="A202" t="e">
        <f t="shared" si="6"/>
        <v>#VALUE!</v>
      </c>
      <c r="B202" t="e">
        <f t="shared" si="7"/>
        <v>#VALUE!</v>
      </c>
      <c r="C202" t="s">
        <v>72</v>
      </c>
      <c r="D202" t="s">
        <v>73</v>
      </c>
      <c r="E202" s="15">
        <v>91556.91</v>
      </c>
      <c r="F202" s="15">
        <v>-4621.91</v>
      </c>
      <c r="G202" s="15">
        <v>11239397.08</v>
      </c>
      <c r="H202" s="15">
        <v>11282720.17</v>
      </c>
      <c r="I202" s="15">
        <v>1892269.48</v>
      </c>
      <c r="J202" s="15">
        <v>96178.82</v>
      </c>
      <c r="K202" s="14">
        <v>-5.0481279894657902</v>
      </c>
      <c r="L202" s="15">
        <v>43323.09</v>
      </c>
      <c r="M202" s="15">
        <v>9390450.6899999995</v>
      </c>
      <c r="N202" s="14">
        <v>0.980252087560193</v>
      </c>
    </row>
    <row r="203" spans="1:14" x14ac:dyDescent="0.25">
      <c r="A203" t="e">
        <f t="shared" si="6"/>
        <v>#VALUE!</v>
      </c>
      <c r="B203" t="e">
        <f t="shared" si="7"/>
        <v>#VALUE!</v>
      </c>
      <c r="C203" t="s">
        <v>74</v>
      </c>
      <c r="D203" t="s">
        <v>75</v>
      </c>
      <c r="E203"/>
      <c r="F203"/>
      <c r="G203"/>
      <c r="H203"/>
      <c r="I203"/>
      <c r="J203"/>
      <c r="K203"/>
      <c r="L203"/>
      <c r="M203"/>
      <c r="N203"/>
    </row>
    <row r="204" spans="1:14" x14ac:dyDescent="0.25">
      <c r="A204" t="e">
        <f t="shared" si="6"/>
        <v>#VALUE!</v>
      </c>
      <c r="B204" t="e">
        <f t="shared" si="7"/>
        <v>#VALUE!</v>
      </c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25">
      <c r="A205" t="e">
        <f t="shared" si="6"/>
        <v>#VALUE!</v>
      </c>
      <c r="B205" t="e">
        <f t="shared" si="7"/>
        <v>#VALUE!</v>
      </c>
      <c r="C205" s="14">
        <v>0</v>
      </c>
      <c r="D205" s="14">
        <v>0</v>
      </c>
      <c r="E205"/>
      <c r="F205"/>
      <c r="G205"/>
      <c r="H205"/>
      <c r="I205"/>
      <c r="J205"/>
      <c r="K205"/>
      <c r="L205"/>
      <c r="M205"/>
      <c r="N205"/>
    </row>
    <row r="206" spans="1:14" x14ac:dyDescent="0.25">
      <c r="A206" t="e">
        <f t="shared" si="6"/>
        <v>#VALUE!</v>
      </c>
      <c r="B206" t="e">
        <f t="shared" si="7"/>
        <v>#VALUE!</v>
      </c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25">
      <c r="A207" t="e">
        <f t="shared" si="6"/>
        <v>#VALUE!</v>
      </c>
      <c r="B207" t="e">
        <f t="shared" si="7"/>
        <v>#VALUE!</v>
      </c>
      <c r="D207" s="14">
        <v>0</v>
      </c>
      <c r="E207"/>
      <c r="F207"/>
      <c r="G207"/>
      <c r="H207"/>
      <c r="I207"/>
      <c r="J207"/>
      <c r="K207"/>
      <c r="L207"/>
      <c r="M207"/>
      <c r="N207"/>
    </row>
    <row r="208" spans="1:14" x14ac:dyDescent="0.25">
      <c r="A208" t="str">
        <f t="shared" si="6"/>
        <v>1380049</v>
      </c>
      <c r="B208" t="str">
        <f t="shared" si="7"/>
        <v xml:space="preserve"> Stayton Telephone - Unit Rates</v>
      </c>
      <c r="C208" t="s">
        <v>298</v>
      </c>
      <c r="D208" s="15">
        <v>121505.32</v>
      </c>
      <c r="E208" s="15">
        <v>88569.14</v>
      </c>
      <c r="F208" s="15">
        <v>32936.18</v>
      </c>
      <c r="G208" s="34">
        <v>27.106780180489199</v>
      </c>
      <c r="H208" s="15">
        <v>11607594.439999999</v>
      </c>
      <c r="I208" s="15">
        <v>9198.2799999998297</v>
      </c>
      <c r="J208" s="15">
        <v>0</v>
      </c>
      <c r="K208" s="15">
        <v>11616792.720000001</v>
      </c>
      <c r="L208" s="15">
        <v>9413301.3599999994</v>
      </c>
      <c r="M208" s="15">
        <v>2203491.36</v>
      </c>
      <c r="N208" s="34">
        <v>18.9681559541505</v>
      </c>
    </row>
    <row r="209" spans="1:14" x14ac:dyDescent="0.25">
      <c r="A209" t="e">
        <f t="shared" si="6"/>
        <v>#VALUE!</v>
      </c>
      <c r="B209" t="e">
        <f t="shared" si="7"/>
        <v>#VALUE!</v>
      </c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25">
      <c r="A210" t="e">
        <f t="shared" si="6"/>
        <v>#VALUE!</v>
      </c>
      <c r="B210" t="e">
        <f t="shared" si="7"/>
        <v>#VALUE!</v>
      </c>
      <c r="C210" s="14">
        <v>0</v>
      </c>
      <c r="D210" s="14">
        <v>0</v>
      </c>
      <c r="E210"/>
      <c r="F210"/>
      <c r="G210"/>
      <c r="H210"/>
      <c r="I210"/>
      <c r="J210"/>
      <c r="K210"/>
      <c r="L210"/>
      <c r="M210"/>
      <c r="N210"/>
    </row>
    <row r="211" spans="1:14" x14ac:dyDescent="0.25">
      <c r="A211" t="e">
        <f t="shared" si="6"/>
        <v>#VALUE!</v>
      </c>
      <c r="B211" t="e">
        <f t="shared" si="7"/>
        <v>#VALUE!</v>
      </c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25">
      <c r="A212" t="e">
        <f t="shared" si="6"/>
        <v>#VALUE!</v>
      </c>
      <c r="B212" t="e">
        <f t="shared" si="7"/>
        <v>#VALUE!</v>
      </c>
      <c r="D212" s="14">
        <v>0</v>
      </c>
      <c r="E212"/>
      <c r="F212"/>
      <c r="G212"/>
      <c r="H212"/>
      <c r="I212"/>
      <c r="J212"/>
      <c r="K212"/>
      <c r="L212"/>
      <c r="M212"/>
      <c r="N212"/>
    </row>
    <row r="213" spans="1:14" x14ac:dyDescent="0.25">
      <c r="A213" t="str">
        <f t="shared" si="6"/>
        <v>1380050</v>
      </c>
      <c r="B213" t="str">
        <f t="shared" si="7"/>
        <v xml:space="preserve"> Peoples Telephone - Unit Rates</v>
      </c>
      <c r="C213" t="s">
        <v>299</v>
      </c>
      <c r="D213" s="15">
        <v>10025.9</v>
      </c>
      <c r="E213" s="15">
        <v>6478.37</v>
      </c>
      <c r="F213" s="15">
        <v>3547.53</v>
      </c>
      <c r="G213" s="34">
        <v>35.383656330104998</v>
      </c>
      <c r="H213" s="15">
        <v>4058001.38</v>
      </c>
      <c r="I213" s="15">
        <v>-11189.299999999899</v>
      </c>
      <c r="J213" s="15">
        <v>0</v>
      </c>
      <c r="K213" s="15">
        <v>4046812.08</v>
      </c>
      <c r="L213" s="15">
        <v>2957864.54</v>
      </c>
      <c r="M213" s="15">
        <v>1088947.54</v>
      </c>
      <c r="N213" s="34">
        <v>26.908774572996698</v>
      </c>
    </row>
    <row r="214" spans="1:14" x14ac:dyDescent="0.25">
      <c r="A214" t="e">
        <f t="shared" si="6"/>
        <v>#VALUE!</v>
      </c>
      <c r="B214" t="e">
        <f t="shared" si="7"/>
        <v>#VALUE!</v>
      </c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25">
      <c r="A215" t="e">
        <f t="shared" si="6"/>
        <v>#VALUE!</v>
      </c>
      <c r="B215" t="e">
        <f t="shared" si="7"/>
        <v>#VALUE!</v>
      </c>
      <c r="C215" s="14">
        <v>0</v>
      </c>
      <c r="D215" s="14">
        <v>0</v>
      </c>
      <c r="E215"/>
      <c r="F215"/>
      <c r="G215"/>
      <c r="H215"/>
      <c r="I215"/>
      <c r="J215"/>
      <c r="K215"/>
      <c r="L215"/>
      <c r="M215"/>
      <c r="N215"/>
    </row>
    <row r="216" spans="1:14" x14ac:dyDescent="0.25">
      <c r="A216" t="e">
        <f t="shared" si="6"/>
        <v>#VALUE!</v>
      </c>
      <c r="B216" t="e">
        <f t="shared" si="7"/>
        <v>#VALUE!</v>
      </c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25">
      <c r="A217" t="e">
        <f t="shared" si="6"/>
        <v>#VALUE!</v>
      </c>
      <c r="B217" t="e">
        <f t="shared" si="7"/>
        <v>#VALUE!</v>
      </c>
      <c r="D217" s="14">
        <v>0</v>
      </c>
      <c r="E217"/>
      <c r="F217"/>
      <c r="G217"/>
      <c r="H217"/>
      <c r="I217"/>
      <c r="J217"/>
      <c r="K217"/>
      <c r="L217"/>
      <c r="M217"/>
      <c r="N217"/>
    </row>
    <row r="218" spans="1:14" x14ac:dyDescent="0.25">
      <c r="A218" t="str">
        <f t="shared" si="6"/>
        <v>1384188</v>
      </c>
      <c r="B218" t="str">
        <f t="shared" si="7"/>
        <v xml:space="preserve"> Scio Tel-Hourly Rate Projects</v>
      </c>
      <c r="C218" t="s">
        <v>192</v>
      </c>
      <c r="D218" s="15">
        <v>-644</v>
      </c>
      <c r="E218" s="15">
        <v>-324.89999999999998</v>
      </c>
      <c r="F218" s="15">
        <v>-319.10000000000002</v>
      </c>
      <c r="G218" s="34">
        <v>0</v>
      </c>
      <c r="H218" s="15">
        <v>206800.71</v>
      </c>
      <c r="I218" s="15">
        <v>0</v>
      </c>
      <c r="J218" s="15">
        <v>0</v>
      </c>
      <c r="K218" s="15">
        <v>206800.71</v>
      </c>
      <c r="L218" s="15">
        <v>152743.54999999999</v>
      </c>
      <c r="M218" s="15">
        <v>54057.16</v>
      </c>
      <c r="N218" s="34">
        <v>26.139736174019902</v>
      </c>
    </row>
    <row r="219" spans="1:14" x14ac:dyDescent="0.25">
      <c r="A219" t="e">
        <f t="shared" si="6"/>
        <v>#VALUE!</v>
      </c>
      <c r="B219" t="e">
        <f t="shared" si="7"/>
        <v>#VALUE!</v>
      </c>
      <c r="C219" t="s">
        <v>74</v>
      </c>
      <c r="D219" t="s">
        <v>75</v>
      </c>
      <c r="E219" s="15">
        <v>130887.22</v>
      </c>
      <c r="F219" s="15">
        <v>36164.61</v>
      </c>
      <c r="G219" s="15">
        <v>15872396.529999999</v>
      </c>
      <c r="H219" s="15">
        <v>15870405.51</v>
      </c>
      <c r="I219" s="15">
        <v>3346496.06</v>
      </c>
      <c r="J219" s="15">
        <v>94722.61</v>
      </c>
      <c r="K219" s="14">
        <v>27.630359938884801</v>
      </c>
      <c r="L219" s="15">
        <v>-1991.02000000002</v>
      </c>
      <c r="M219" s="15">
        <v>12523909.449999999</v>
      </c>
      <c r="N219" s="14">
        <v>0.340616123299045</v>
      </c>
    </row>
    <row r="220" spans="1:14" x14ac:dyDescent="0.25">
      <c r="A220" t="e">
        <f t="shared" si="6"/>
        <v>#VALUE!</v>
      </c>
      <c r="B220" t="e">
        <f t="shared" si="7"/>
        <v>#VALUE!</v>
      </c>
      <c r="C220" t="s">
        <v>114</v>
      </c>
      <c r="D220" t="s">
        <v>115</v>
      </c>
      <c r="E220"/>
      <c r="F220"/>
      <c r="G220"/>
      <c r="H220"/>
      <c r="I220"/>
      <c r="J220"/>
      <c r="K220"/>
      <c r="L220"/>
      <c r="M220"/>
      <c r="N220"/>
    </row>
    <row r="221" spans="1:14" x14ac:dyDescent="0.25">
      <c r="A221" t="e">
        <f t="shared" si="6"/>
        <v>#VALUE!</v>
      </c>
      <c r="B221" t="e">
        <f t="shared" si="7"/>
        <v>#VALUE!</v>
      </c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25">
      <c r="A222" t="e">
        <f t="shared" si="6"/>
        <v>#VALUE!</v>
      </c>
      <c r="B222" t="e">
        <f t="shared" si="7"/>
        <v>#VALUE!</v>
      </c>
      <c r="C222" s="14">
        <v>800000</v>
      </c>
      <c r="D222" s="14">
        <v>800000</v>
      </c>
      <c r="E222"/>
      <c r="F222"/>
      <c r="G222"/>
      <c r="H222"/>
      <c r="I222"/>
      <c r="J222"/>
      <c r="K222"/>
      <c r="L222"/>
      <c r="M222"/>
      <c r="N222"/>
    </row>
    <row r="223" spans="1:14" x14ac:dyDescent="0.25">
      <c r="A223" t="e">
        <f t="shared" si="6"/>
        <v>#VALUE!</v>
      </c>
      <c r="B223" t="e">
        <f t="shared" si="7"/>
        <v>#VALUE!</v>
      </c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25">
      <c r="A224" t="e">
        <f t="shared" si="6"/>
        <v>#VALUE!</v>
      </c>
      <c r="B224" t="e">
        <f t="shared" si="7"/>
        <v>#VALUE!</v>
      </c>
      <c r="D224" s="14">
        <v>0</v>
      </c>
      <c r="E224"/>
      <c r="F224"/>
      <c r="G224"/>
      <c r="H224"/>
      <c r="I224"/>
      <c r="J224"/>
      <c r="K224"/>
      <c r="L224"/>
      <c r="M224"/>
      <c r="N224"/>
    </row>
    <row r="225" spans="1:14" x14ac:dyDescent="0.25">
      <c r="A225" t="str">
        <f t="shared" si="6"/>
        <v>2014000</v>
      </c>
      <c r="B225" t="str">
        <f t="shared" si="7"/>
        <v xml:space="preserve"> CommPro Services, LLC - AL</v>
      </c>
      <c r="C225" t="s">
        <v>971</v>
      </c>
      <c r="D225" s="15">
        <v>0</v>
      </c>
      <c r="E225" s="15">
        <v>0</v>
      </c>
      <c r="F225" s="15">
        <v>0</v>
      </c>
      <c r="G225" s="34">
        <v>0</v>
      </c>
      <c r="H225" s="15">
        <v>1254963.79</v>
      </c>
      <c r="I225" s="15">
        <v>0</v>
      </c>
      <c r="J225" s="15">
        <v>800000</v>
      </c>
      <c r="K225" s="15">
        <v>1254963.79</v>
      </c>
      <c r="L225" s="15">
        <v>933382.57</v>
      </c>
      <c r="M225" s="15">
        <v>321581.21999999997</v>
      </c>
      <c r="N225" s="34">
        <v>25.6247409337603</v>
      </c>
    </row>
    <row r="226" spans="1:14" x14ac:dyDescent="0.25">
      <c r="A226" t="e">
        <f t="shared" si="6"/>
        <v>#VALUE!</v>
      </c>
      <c r="B226" t="e">
        <f t="shared" si="7"/>
        <v>#VALUE!</v>
      </c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25">
      <c r="A227" t="e">
        <f t="shared" si="6"/>
        <v>#VALUE!</v>
      </c>
      <c r="B227" t="e">
        <f t="shared" si="7"/>
        <v>#VALUE!</v>
      </c>
      <c r="C227" s="14">
        <v>2000000</v>
      </c>
      <c r="D227" s="14">
        <v>2000000</v>
      </c>
      <c r="E227"/>
      <c r="F227"/>
      <c r="G227"/>
      <c r="H227"/>
      <c r="I227"/>
      <c r="J227"/>
      <c r="K227"/>
      <c r="L227"/>
      <c r="M227"/>
      <c r="N227"/>
    </row>
    <row r="228" spans="1:14" x14ac:dyDescent="0.25">
      <c r="A228" t="e">
        <f t="shared" si="6"/>
        <v>#VALUE!</v>
      </c>
      <c r="B228" t="e">
        <f t="shared" si="7"/>
        <v>#VALUE!</v>
      </c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25">
      <c r="A229" t="e">
        <f t="shared" si="6"/>
        <v>#VALUE!</v>
      </c>
      <c r="B229" t="e">
        <f t="shared" si="7"/>
        <v>#VALUE!</v>
      </c>
      <c r="D229" s="14">
        <v>0</v>
      </c>
      <c r="E229"/>
      <c r="F229"/>
      <c r="G229"/>
      <c r="H229"/>
      <c r="I229"/>
      <c r="J229"/>
      <c r="K229"/>
      <c r="L229"/>
      <c r="M229"/>
      <c r="N229"/>
    </row>
    <row r="230" spans="1:14" x14ac:dyDescent="0.25">
      <c r="A230" t="str">
        <f t="shared" si="6"/>
        <v>2036000</v>
      </c>
      <c r="B230" t="str">
        <f t="shared" si="7"/>
        <v xml:space="preserve"> Google-Google Fiber MSA (AZ)</v>
      </c>
      <c r="C230" t="s">
        <v>963</v>
      </c>
      <c r="D230" s="15">
        <v>132530</v>
      </c>
      <c r="E230" s="15">
        <v>130532.88</v>
      </c>
      <c r="F230" s="15">
        <v>1997.12</v>
      </c>
      <c r="G230" s="34">
        <v>1.5069191881083499</v>
      </c>
      <c r="H230" s="15">
        <v>26990</v>
      </c>
      <c r="I230" s="15">
        <v>150705</v>
      </c>
      <c r="J230" s="15">
        <v>2000000</v>
      </c>
      <c r="K230" s="15">
        <v>177695</v>
      </c>
      <c r="L230" s="15">
        <v>161947.35999999999</v>
      </c>
      <c r="M230" s="15">
        <v>15747.64</v>
      </c>
      <c r="N230" s="34">
        <v>8.8621739497453493</v>
      </c>
    </row>
    <row r="231" spans="1:14" x14ac:dyDescent="0.25">
      <c r="A231" t="e">
        <f t="shared" si="6"/>
        <v>#VALUE!</v>
      </c>
      <c r="B231" t="e">
        <f t="shared" si="7"/>
        <v>#VALUE!</v>
      </c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25">
      <c r="A232" t="e">
        <f t="shared" si="6"/>
        <v>#VALUE!</v>
      </c>
      <c r="B232" t="e">
        <f t="shared" si="7"/>
        <v>#VALUE!</v>
      </c>
      <c r="C232" s="14">
        <v>1300000</v>
      </c>
      <c r="D232" s="14">
        <v>1300000</v>
      </c>
      <c r="E232"/>
      <c r="F232"/>
      <c r="G232"/>
      <c r="H232"/>
      <c r="I232"/>
      <c r="J232"/>
      <c r="K232"/>
      <c r="L232"/>
      <c r="M232"/>
      <c r="N232"/>
    </row>
    <row r="233" spans="1:14" x14ac:dyDescent="0.25">
      <c r="A233" t="e">
        <f t="shared" si="6"/>
        <v>#VALUE!</v>
      </c>
      <c r="B233" t="e">
        <f t="shared" si="7"/>
        <v>#VALUE!</v>
      </c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25">
      <c r="A234" t="e">
        <f t="shared" si="6"/>
        <v>#VALUE!</v>
      </c>
      <c r="B234" t="e">
        <f t="shared" si="7"/>
        <v>#VALUE!</v>
      </c>
      <c r="D234" s="14">
        <v>0</v>
      </c>
      <c r="E234"/>
      <c r="F234"/>
      <c r="G234"/>
      <c r="H234"/>
      <c r="I234"/>
      <c r="J234"/>
      <c r="K234"/>
      <c r="L234"/>
      <c r="M234"/>
      <c r="N234"/>
    </row>
    <row r="235" spans="1:14" x14ac:dyDescent="0.25">
      <c r="A235" t="str">
        <f t="shared" si="6"/>
        <v>2065000</v>
      </c>
      <c r="B235" t="str">
        <f t="shared" si="7"/>
        <v xml:space="preserve"> Google-Fiber FTTH MDU CO</v>
      </c>
      <c r="C235" t="s">
        <v>193</v>
      </c>
      <c r="D235" s="15">
        <v>74535.28</v>
      </c>
      <c r="E235" s="15">
        <v>101213.03</v>
      </c>
      <c r="F235" s="15">
        <v>-26677.75</v>
      </c>
      <c r="G235" s="34">
        <v>-35.792110796390702</v>
      </c>
      <c r="H235" s="15">
        <v>1295436.68</v>
      </c>
      <c r="I235" s="15">
        <v>516913.67</v>
      </c>
      <c r="J235" s="15">
        <v>1300000</v>
      </c>
      <c r="K235" s="15">
        <v>1812350.35</v>
      </c>
      <c r="L235" s="15">
        <v>1680799.37</v>
      </c>
      <c r="M235" s="15">
        <v>131550.98000000001</v>
      </c>
      <c r="N235" s="34">
        <v>7.2585844122247103</v>
      </c>
    </row>
    <row r="236" spans="1:14" x14ac:dyDescent="0.25">
      <c r="A236" t="e">
        <f t="shared" si="6"/>
        <v>#VALUE!</v>
      </c>
      <c r="B236" t="e">
        <f t="shared" si="7"/>
        <v>#VALUE!</v>
      </c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25">
      <c r="A237" t="e">
        <f t="shared" si="6"/>
        <v>#VALUE!</v>
      </c>
      <c r="B237" t="e">
        <f t="shared" si="7"/>
        <v>#VALUE!</v>
      </c>
      <c r="C237" s="14">
        <v>100000</v>
      </c>
      <c r="D237" s="14">
        <v>100000</v>
      </c>
      <c r="E237"/>
      <c r="F237"/>
      <c r="G237"/>
      <c r="H237"/>
      <c r="I237"/>
      <c r="J237"/>
      <c r="K237"/>
      <c r="L237"/>
      <c r="M237"/>
      <c r="N237"/>
    </row>
    <row r="238" spans="1:14" x14ac:dyDescent="0.25">
      <c r="A238" t="e">
        <f t="shared" si="6"/>
        <v>#VALUE!</v>
      </c>
      <c r="B238" t="e">
        <f t="shared" si="7"/>
        <v>#VALUE!</v>
      </c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25">
      <c r="A239" t="e">
        <f t="shared" si="6"/>
        <v>#VALUE!</v>
      </c>
      <c r="B239" t="e">
        <f t="shared" si="7"/>
        <v>#VALUE!</v>
      </c>
      <c r="D239" s="14">
        <v>0</v>
      </c>
      <c r="E239"/>
      <c r="F239"/>
      <c r="G239"/>
      <c r="H239"/>
      <c r="I239"/>
      <c r="J239"/>
      <c r="K239"/>
      <c r="L239"/>
      <c r="M239"/>
      <c r="N239"/>
    </row>
    <row r="240" spans="1:14" x14ac:dyDescent="0.25">
      <c r="A240" t="str">
        <f t="shared" si="6"/>
        <v>2065002</v>
      </c>
      <c r="B240" t="str">
        <f t="shared" si="7"/>
        <v xml:space="preserve"> Google-Fiber FTTH Greenfields CO</v>
      </c>
      <c r="C240" t="s">
        <v>338</v>
      </c>
      <c r="D240" s="15">
        <v>1122.5</v>
      </c>
      <c r="E240" s="15">
        <v>1904.38</v>
      </c>
      <c r="F240" s="15">
        <v>-781.88</v>
      </c>
      <c r="G240" s="34">
        <v>-69.655233853006706</v>
      </c>
      <c r="H240" s="15">
        <v>189390</v>
      </c>
      <c r="I240" s="15">
        <v>47476.5</v>
      </c>
      <c r="J240" s="15">
        <v>100000</v>
      </c>
      <c r="K240" s="15">
        <v>236866.5</v>
      </c>
      <c r="L240" s="15">
        <v>178751.43</v>
      </c>
      <c r="M240" s="15">
        <v>58115.07</v>
      </c>
      <c r="N240" s="34">
        <v>24.534946900469301</v>
      </c>
    </row>
    <row r="241" spans="1:14" x14ac:dyDescent="0.25">
      <c r="A241" t="e">
        <f t="shared" si="6"/>
        <v>#VALUE!</v>
      </c>
      <c r="B241" t="e">
        <f t="shared" si="7"/>
        <v>#VALUE!</v>
      </c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25">
      <c r="A242" t="e">
        <f t="shared" si="6"/>
        <v>#VALUE!</v>
      </c>
      <c r="B242" t="e">
        <f t="shared" si="7"/>
        <v>#VALUE!</v>
      </c>
      <c r="C242" s="14">
        <v>167510</v>
      </c>
      <c r="D242" s="14">
        <v>167510</v>
      </c>
      <c r="E242"/>
      <c r="F242"/>
      <c r="G242"/>
      <c r="H242"/>
      <c r="I242"/>
      <c r="J242"/>
      <c r="K242"/>
      <c r="L242"/>
      <c r="M242"/>
      <c r="N242"/>
    </row>
    <row r="243" spans="1:14" x14ac:dyDescent="0.25">
      <c r="A243" t="e">
        <f t="shared" si="6"/>
        <v>#VALUE!</v>
      </c>
      <c r="B243" t="e">
        <f t="shared" si="7"/>
        <v>#VALUE!</v>
      </c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25">
      <c r="A244" t="e">
        <f t="shared" si="6"/>
        <v>#VALUE!</v>
      </c>
      <c r="B244" t="e">
        <f t="shared" si="7"/>
        <v>#VALUE!</v>
      </c>
      <c r="D244" s="14">
        <v>0</v>
      </c>
      <c r="E244"/>
      <c r="F244"/>
      <c r="G244"/>
      <c r="H244"/>
      <c r="I244"/>
      <c r="J244"/>
      <c r="K244"/>
      <c r="L244"/>
      <c r="M244"/>
      <c r="N244"/>
    </row>
    <row r="245" spans="1:14" x14ac:dyDescent="0.25">
      <c r="A245" t="str">
        <f t="shared" si="6"/>
        <v>2066100</v>
      </c>
      <c r="B245" t="str">
        <f t="shared" si="7"/>
        <v xml:space="preserve"> Ubiquity Services-Retreat at City Center</v>
      </c>
      <c r="C245" t="s">
        <v>946</v>
      </c>
      <c r="D245" s="15">
        <v>0</v>
      </c>
      <c r="E245" s="15">
        <v>1666.82</v>
      </c>
      <c r="F245" s="15">
        <v>-1666.82</v>
      </c>
      <c r="G245" s="34">
        <v>0</v>
      </c>
      <c r="H245" s="15">
        <v>0</v>
      </c>
      <c r="I245" s="15">
        <v>150485</v>
      </c>
      <c r="J245" s="15">
        <v>167510</v>
      </c>
      <c r="K245" s="15">
        <v>150485</v>
      </c>
      <c r="L245" s="15">
        <v>129210.99</v>
      </c>
      <c r="M245" s="15">
        <v>21274.01</v>
      </c>
      <c r="N245" s="34">
        <v>14.136963816991701</v>
      </c>
    </row>
    <row r="246" spans="1:14" x14ac:dyDescent="0.25">
      <c r="A246" t="e">
        <f t="shared" si="6"/>
        <v>#VALUE!</v>
      </c>
      <c r="B246" t="e">
        <f t="shared" si="7"/>
        <v>#VALUE!</v>
      </c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25">
      <c r="A247" t="e">
        <f t="shared" si="6"/>
        <v>#VALUE!</v>
      </c>
      <c r="B247" t="e">
        <f t="shared" si="7"/>
        <v>#VALUE!</v>
      </c>
      <c r="C247" s="14">
        <v>0</v>
      </c>
      <c r="D247" s="14">
        <v>0</v>
      </c>
      <c r="E247"/>
      <c r="F247"/>
      <c r="G247"/>
      <c r="H247"/>
      <c r="I247"/>
      <c r="J247"/>
      <c r="K247"/>
      <c r="L247"/>
      <c r="M247"/>
      <c r="N247"/>
    </row>
    <row r="248" spans="1:14" x14ac:dyDescent="0.25">
      <c r="A248" t="e">
        <f t="shared" si="6"/>
        <v>#VALUE!</v>
      </c>
      <c r="B248" t="e">
        <f t="shared" si="7"/>
        <v>#VALUE!</v>
      </c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25">
      <c r="A249" t="e">
        <f t="shared" si="6"/>
        <v>#VALUE!</v>
      </c>
      <c r="B249" t="e">
        <f t="shared" si="7"/>
        <v>#VALUE!</v>
      </c>
      <c r="D249" s="14">
        <v>0</v>
      </c>
      <c r="E249"/>
      <c r="F249"/>
      <c r="G249"/>
      <c r="H249"/>
      <c r="I249"/>
      <c r="J249"/>
      <c r="K249"/>
      <c r="L249"/>
      <c r="M249"/>
      <c r="N249"/>
    </row>
    <row r="250" spans="1:14" x14ac:dyDescent="0.25">
      <c r="A250" t="str">
        <f t="shared" si="6"/>
        <v>2113000</v>
      </c>
      <c r="B250" t="str">
        <f t="shared" si="7"/>
        <v xml:space="preserve"> CommPro Services, LLC - GA</v>
      </c>
      <c r="C250" t="s">
        <v>1139</v>
      </c>
      <c r="D250" s="15">
        <v>0</v>
      </c>
      <c r="E250" s="15">
        <v>0</v>
      </c>
      <c r="F250" s="15">
        <v>0</v>
      </c>
      <c r="G250" s="34">
        <v>0</v>
      </c>
      <c r="H250" s="15">
        <v>1279794.76</v>
      </c>
      <c r="I250" s="15">
        <v>0</v>
      </c>
      <c r="J250" s="15">
        <v>0</v>
      </c>
      <c r="K250" s="15">
        <v>1279794.76</v>
      </c>
      <c r="L250" s="15">
        <v>952412.8</v>
      </c>
      <c r="M250" s="15">
        <v>327381.96000000002</v>
      </c>
      <c r="N250" s="34">
        <v>25.5808173491818</v>
      </c>
    </row>
    <row r="251" spans="1:14" x14ac:dyDescent="0.25">
      <c r="A251" t="e">
        <f t="shared" si="6"/>
        <v>#VALUE!</v>
      </c>
      <c r="B251" t="e">
        <f t="shared" si="7"/>
        <v>#VALUE!</v>
      </c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25">
      <c r="A252" t="e">
        <f t="shared" si="6"/>
        <v>#VALUE!</v>
      </c>
      <c r="B252" t="e">
        <f t="shared" si="7"/>
        <v>#VALUE!</v>
      </c>
      <c r="C252" s="14">
        <v>119748</v>
      </c>
      <c r="D252" s="14">
        <v>119748</v>
      </c>
      <c r="E252"/>
      <c r="F252"/>
      <c r="G252"/>
      <c r="H252"/>
      <c r="I252"/>
      <c r="J252"/>
      <c r="K252"/>
      <c r="L252"/>
      <c r="M252"/>
      <c r="N252"/>
    </row>
    <row r="253" spans="1:14" x14ac:dyDescent="0.25">
      <c r="A253" t="e">
        <f t="shared" si="6"/>
        <v>#VALUE!</v>
      </c>
      <c r="B253" t="e">
        <f t="shared" si="7"/>
        <v>#VALUE!</v>
      </c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25">
      <c r="A254" t="e">
        <f t="shared" si="6"/>
        <v>#VALUE!</v>
      </c>
      <c r="B254" t="e">
        <f t="shared" si="7"/>
        <v>#VALUE!</v>
      </c>
      <c r="D254" s="14">
        <v>0</v>
      </c>
      <c r="E254"/>
      <c r="F254"/>
      <c r="G254"/>
      <c r="H254"/>
      <c r="I254"/>
      <c r="J254"/>
      <c r="K254"/>
      <c r="L254"/>
      <c r="M254"/>
      <c r="N254"/>
    </row>
    <row r="255" spans="1:14" x14ac:dyDescent="0.25">
      <c r="A255" t="str">
        <f t="shared" si="6"/>
        <v>2156000</v>
      </c>
      <c r="B255" t="str">
        <f t="shared" si="7"/>
        <v xml:space="preserve"> CommPro Services, LLC - IN</v>
      </c>
      <c r="C255" t="s">
        <v>898</v>
      </c>
      <c r="D255" s="15">
        <v>5892</v>
      </c>
      <c r="E255" s="15">
        <v>4231.8500000000004</v>
      </c>
      <c r="F255" s="15">
        <v>1660.15</v>
      </c>
      <c r="G255" s="34">
        <v>28.176340801086202</v>
      </c>
      <c r="H255" s="15">
        <v>123244.2</v>
      </c>
      <c r="I255" s="15">
        <v>0</v>
      </c>
      <c r="J255" s="15">
        <v>119748</v>
      </c>
      <c r="K255" s="15">
        <v>123244.2</v>
      </c>
      <c r="L255" s="15">
        <v>96533.03</v>
      </c>
      <c r="M255" s="15">
        <v>26711.17</v>
      </c>
      <c r="N255" s="34">
        <v>21.673368807619301</v>
      </c>
    </row>
    <row r="256" spans="1:14" x14ac:dyDescent="0.25">
      <c r="A256" t="e">
        <f t="shared" si="6"/>
        <v>#VALUE!</v>
      </c>
      <c r="B256" t="e">
        <f t="shared" si="7"/>
        <v>#VALUE!</v>
      </c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25">
      <c r="A257" t="e">
        <f t="shared" si="6"/>
        <v>#VALUE!</v>
      </c>
      <c r="B257" t="e">
        <f t="shared" si="7"/>
        <v>#VALUE!</v>
      </c>
      <c r="C257" s="14">
        <v>100000</v>
      </c>
      <c r="D257" s="14">
        <v>100000</v>
      </c>
      <c r="E257"/>
      <c r="F257"/>
      <c r="G257"/>
      <c r="H257"/>
      <c r="I257"/>
      <c r="J257"/>
      <c r="K257"/>
      <c r="L257"/>
      <c r="M257"/>
      <c r="N257"/>
    </row>
    <row r="258" spans="1:14" x14ac:dyDescent="0.25">
      <c r="A258" t="e">
        <f t="shared" si="6"/>
        <v>#VALUE!</v>
      </c>
      <c r="B258" t="e">
        <f t="shared" si="7"/>
        <v>#VALUE!</v>
      </c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25">
      <c r="A259" t="e">
        <f t="shared" si="6"/>
        <v>#VALUE!</v>
      </c>
      <c r="B259" t="e">
        <f t="shared" si="7"/>
        <v>#VALUE!</v>
      </c>
      <c r="D259" s="14">
        <v>0</v>
      </c>
      <c r="E259"/>
      <c r="F259"/>
      <c r="G259"/>
      <c r="H259"/>
      <c r="I259"/>
      <c r="J259"/>
      <c r="K259"/>
      <c r="L259"/>
      <c r="M259"/>
      <c r="N259"/>
    </row>
    <row r="260" spans="1:14" x14ac:dyDescent="0.25">
      <c r="A260" t="str">
        <f t="shared" si="6"/>
        <v>2180000</v>
      </c>
      <c r="B260" t="str">
        <f t="shared" si="7"/>
        <v xml:space="preserve"> CommPro Services, LLC - KY</v>
      </c>
      <c r="C260" t="s">
        <v>915</v>
      </c>
      <c r="D260" s="15">
        <v>135675</v>
      </c>
      <c r="E260" s="15">
        <v>118668.13</v>
      </c>
      <c r="F260" s="15">
        <v>17006.87</v>
      </c>
      <c r="G260" s="34">
        <v>12.535006449235301</v>
      </c>
      <c r="H260" s="15">
        <v>352493</v>
      </c>
      <c r="I260" s="15">
        <v>0</v>
      </c>
      <c r="J260" s="15">
        <v>100000</v>
      </c>
      <c r="K260" s="15">
        <v>352493</v>
      </c>
      <c r="L260" s="15">
        <v>307527.02</v>
      </c>
      <c r="M260" s="15">
        <v>44965.98</v>
      </c>
      <c r="N260" s="34">
        <v>12.7565597047317</v>
      </c>
    </row>
    <row r="261" spans="1:14" x14ac:dyDescent="0.25">
      <c r="A261" t="e">
        <f t="shared" ref="A261:A324" si="8">LEFT(C261,FIND(" ",C261)-1)</f>
        <v>#VALUE!</v>
      </c>
      <c r="B261" t="e">
        <f t="shared" ref="B261:B324" si="9">RIGHT(C261,LEN(C261)-FIND(" ",C261))</f>
        <v>#VALUE!</v>
      </c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25">
      <c r="A262" t="e">
        <f t="shared" si="8"/>
        <v>#VALUE!</v>
      </c>
      <c r="B262" t="e">
        <f t="shared" si="9"/>
        <v>#VALUE!</v>
      </c>
      <c r="C262" s="14">
        <v>363300</v>
      </c>
      <c r="D262" s="14">
        <v>363300</v>
      </c>
      <c r="E262"/>
      <c r="F262"/>
      <c r="G262"/>
      <c r="H262"/>
      <c r="I262"/>
      <c r="J262"/>
      <c r="K262"/>
      <c r="L262"/>
      <c r="M262"/>
      <c r="N262"/>
    </row>
    <row r="263" spans="1:14" x14ac:dyDescent="0.25">
      <c r="A263" t="e">
        <f t="shared" si="8"/>
        <v>#VALUE!</v>
      </c>
      <c r="B263" t="e">
        <f t="shared" si="9"/>
        <v>#VALUE!</v>
      </c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25">
      <c r="A264" t="e">
        <f t="shared" si="8"/>
        <v>#VALUE!</v>
      </c>
      <c r="B264" t="e">
        <f t="shared" si="9"/>
        <v>#VALUE!</v>
      </c>
      <c r="D264" s="14">
        <v>0</v>
      </c>
      <c r="E264"/>
      <c r="F264"/>
      <c r="G264"/>
      <c r="H264"/>
      <c r="I264"/>
      <c r="J264"/>
      <c r="K264"/>
      <c r="L264"/>
      <c r="M264"/>
      <c r="N264"/>
    </row>
    <row r="265" spans="1:14" x14ac:dyDescent="0.25">
      <c r="A265" t="str">
        <f t="shared" si="8"/>
        <v>2254000</v>
      </c>
      <c r="B265" t="str">
        <f t="shared" si="9"/>
        <v xml:space="preserve"> CommPro Services, LLC - MS</v>
      </c>
      <c r="C265" t="s">
        <v>1140</v>
      </c>
      <c r="D265" s="15">
        <v>42292</v>
      </c>
      <c r="E265" s="15">
        <v>36344.199999999997</v>
      </c>
      <c r="F265" s="15">
        <v>5947.8</v>
      </c>
      <c r="G265" s="34">
        <v>14.0636527002743</v>
      </c>
      <c r="H265" s="15">
        <v>455149</v>
      </c>
      <c r="I265" s="15">
        <v>0</v>
      </c>
      <c r="J265" s="15">
        <v>363300</v>
      </c>
      <c r="K265" s="15">
        <v>455149</v>
      </c>
      <c r="L265" s="15">
        <v>327680.33</v>
      </c>
      <c r="M265" s="15">
        <v>127468.67</v>
      </c>
      <c r="N265" s="34">
        <v>28.005921137913099</v>
      </c>
    </row>
    <row r="266" spans="1:14" x14ac:dyDescent="0.25">
      <c r="A266" t="e">
        <f t="shared" si="8"/>
        <v>#VALUE!</v>
      </c>
      <c r="B266" t="e">
        <f t="shared" si="9"/>
        <v>#VALUE!</v>
      </c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25">
      <c r="A267" t="e">
        <f t="shared" si="8"/>
        <v>#VALUE!</v>
      </c>
      <c r="B267" t="e">
        <f t="shared" si="9"/>
        <v>#VALUE!</v>
      </c>
      <c r="C267" s="14">
        <v>401900</v>
      </c>
      <c r="D267" s="14">
        <v>401900</v>
      </c>
      <c r="E267"/>
      <c r="F267"/>
      <c r="G267"/>
      <c r="H267"/>
      <c r="I267"/>
      <c r="J267"/>
      <c r="K267"/>
      <c r="L267"/>
      <c r="M267"/>
      <c r="N267"/>
    </row>
    <row r="268" spans="1:14" x14ac:dyDescent="0.25">
      <c r="A268" t="e">
        <f t="shared" si="8"/>
        <v>#VALUE!</v>
      </c>
      <c r="B268" t="e">
        <f t="shared" si="9"/>
        <v>#VALUE!</v>
      </c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25">
      <c r="A269" t="e">
        <f t="shared" si="8"/>
        <v>#VALUE!</v>
      </c>
      <c r="B269" t="e">
        <f t="shared" si="9"/>
        <v>#VALUE!</v>
      </c>
      <c r="D269" s="14">
        <v>0</v>
      </c>
      <c r="E269"/>
      <c r="F269"/>
      <c r="G269"/>
      <c r="H269"/>
      <c r="I269"/>
      <c r="J269"/>
      <c r="K269"/>
      <c r="L269"/>
      <c r="M269"/>
      <c r="N269"/>
    </row>
    <row r="270" spans="1:14" x14ac:dyDescent="0.25">
      <c r="A270" t="str">
        <f t="shared" si="8"/>
        <v>2413000</v>
      </c>
      <c r="B270" t="str">
        <f t="shared" si="9"/>
        <v xml:space="preserve"> CommPro Services, LLC - SC</v>
      </c>
      <c r="C270" t="s">
        <v>972</v>
      </c>
      <c r="D270" s="15">
        <v>0</v>
      </c>
      <c r="E270" s="15">
        <v>0</v>
      </c>
      <c r="F270" s="15">
        <v>0</v>
      </c>
      <c r="G270" s="34">
        <v>0</v>
      </c>
      <c r="H270" s="15">
        <v>813313.93</v>
      </c>
      <c r="I270" s="15">
        <v>0</v>
      </c>
      <c r="J270" s="15">
        <v>401900</v>
      </c>
      <c r="K270" s="15">
        <v>813313.93</v>
      </c>
      <c r="L270" s="15">
        <v>599502.51</v>
      </c>
      <c r="M270" s="15">
        <v>213811.42</v>
      </c>
      <c r="N270" s="34">
        <v>26.288916507307299</v>
      </c>
    </row>
    <row r="271" spans="1:14" x14ac:dyDescent="0.25">
      <c r="A271" t="e">
        <f t="shared" si="8"/>
        <v>#VALUE!</v>
      </c>
      <c r="B271" t="e">
        <f t="shared" si="9"/>
        <v>#VALUE!</v>
      </c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25">
      <c r="A272" t="e">
        <f t="shared" si="8"/>
        <v>#VALUE!</v>
      </c>
      <c r="B272" t="e">
        <f t="shared" si="9"/>
        <v>#VALUE!</v>
      </c>
      <c r="C272" s="14">
        <v>716097</v>
      </c>
      <c r="D272" s="14">
        <v>716097</v>
      </c>
      <c r="E272"/>
      <c r="F272"/>
      <c r="G272"/>
      <c r="H272"/>
      <c r="I272"/>
      <c r="J272"/>
      <c r="K272"/>
      <c r="L272"/>
      <c r="M272"/>
      <c r="N272"/>
    </row>
    <row r="273" spans="1:14" x14ac:dyDescent="0.25">
      <c r="A273" t="e">
        <f t="shared" si="8"/>
        <v>#VALUE!</v>
      </c>
      <c r="B273" t="e">
        <f t="shared" si="9"/>
        <v>#VALUE!</v>
      </c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25">
      <c r="A274" t="e">
        <f t="shared" si="8"/>
        <v>#VALUE!</v>
      </c>
      <c r="B274" t="e">
        <f t="shared" si="9"/>
        <v>#VALUE!</v>
      </c>
      <c r="D274" s="14">
        <v>0</v>
      </c>
      <c r="E274"/>
      <c r="F274"/>
      <c r="G274"/>
      <c r="H274"/>
      <c r="I274"/>
      <c r="J274"/>
      <c r="K274"/>
      <c r="L274"/>
      <c r="M274"/>
      <c r="N274"/>
    </row>
    <row r="275" spans="1:14" x14ac:dyDescent="0.25">
      <c r="A275" t="str">
        <f t="shared" si="8"/>
        <v>2434000</v>
      </c>
      <c r="B275" t="str">
        <f t="shared" si="9"/>
        <v xml:space="preserve"> CommPro Services, LLC - TN</v>
      </c>
      <c r="C275" t="s">
        <v>885</v>
      </c>
      <c r="D275" s="15">
        <v>20340.5</v>
      </c>
      <c r="E275" s="15">
        <v>15009.74</v>
      </c>
      <c r="F275" s="15">
        <v>5330.76</v>
      </c>
      <c r="G275" s="34">
        <v>26.207615348688599</v>
      </c>
      <c r="H275" s="15">
        <v>732487.64</v>
      </c>
      <c r="I275" s="15">
        <v>0</v>
      </c>
      <c r="J275" s="15">
        <v>716097</v>
      </c>
      <c r="K275" s="15">
        <v>732487.64</v>
      </c>
      <c r="L275" s="15">
        <v>567116.87</v>
      </c>
      <c r="M275" s="15">
        <v>165370.76999999999</v>
      </c>
      <c r="N275" s="34">
        <v>22.576595285621501</v>
      </c>
    </row>
    <row r="276" spans="1:14" x14ac:dyDescent="0.25">
      <c r="A276" t="e">
        <f t="shared" si="8"/>
        <v>#VALUE!</v>
      </c>
      <c r="B276" t="e">
        <f t="shared" si="9"/>
        <v>#VALUE!</v>
      </c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25">
      <c r="A277" t="e">
        <f t="shared" si="8"/>
        <v>#VALUE!</v>
      </c>
      <c r="B277" t="e">
        <f t="shared" si="9"/>
        <v>#VALUE!</v>
      </c>
      <c r="C277" s="14">
        <v>11064899</v>
      </c>
      <c r="D277" s="14">
        <v>11064899</v>
      </c>
      <c r="E277"/>
      <c r="F277"/>
      <c r="G277"/>
      <c r="H277"/>
      <c r="I277"/>
      <c r="J277"/>
      <c r="K277"/>
      <c r="L277"/>
      <c r="M277"/>
      <c r="N277"/>
    </row>
    <row r="278" spans="1:14" x14ac:dyDescent="0.25">
      <c r="A278" t="e">
        <f t="shared" si="8"/>
        <v>#VALUE!</v>
      </c>
      <c r="B278" t="e">
        <f t="shared" si="9"/>
        <v>#VALUE!</v>
      </c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25">
      <c r="A279" t="e">
        <f t="shared" si="8"/>
        <v>#VALUE!</v>
      </c>
      <c r="B279" t="e">
        <f t="shared" si="9"/>
        <v>#VALUE!</v>
      </c>
      <c r="D279" s="14">
        <v>0</v>
      </c>
      <c r="E279"/>
      <c r="F279"/>
      <c r="G279"/>
      <c r="H279"/>
      <c r="I279"/>
      <c r="J279"/>
      <c r="K279"/>
      <c r="L279"/>
      <c r="M279"/>
      <c r="N279"/>
    </row>
    <row r="280" spans="1:14" x14ac:dyDescent="0.25">
      <c r="A280" t="str">
        <f t="shared" si="8"/>
        <v>2443000</v>
      </c>
      <c r="B280" t="str">
        <f t="shared" si="9"/>
        <v xml:space="preserve"> Google-Google Fiber MSA (TX)</v>
      </c>
      <c r="C280" t="s">
        <v>300</v>
      </c>
      <c r="D280" s="15">
        <v>232688</v>
      </c>
      <c r="E280" s="15">
        <v>216501.26</v>
      </c>
      <c r="F280" s="15">
        <v>16186.74</v>
      </c>
      <c r="G280" s="34">
        <v>6.9564137385683802</v>
      </c>
      <c r="H280" s="15">
        <v>8943703.25</v>
      </c>
      <c r="I280" s="15">
        <v>280134.5</v>
      </c>
      <c r="J280" s="15">
        <v>11064899</v>
      </c>
      <c r="K280" s="15">
        <v>9223837.75</v>
      </c>
      <c r="L280" s="15">
        <v>7723341.96</v>
      </c>
      <c r="M280" s="15">
        <v>1500495.79</v>
      </c>
      <c r="N280" s="34">
        <v>16.267586558534202</v>
      </c>
    </row>
    <row r="281" spans="1:14" x14ac:dyDescent="0.25">
      <c r="A281" t="e">
        <f t="shared" si="8"/>
        <v>#VALUE!</v>
      </c>
      <c r="B281" t="e">
        <f t="shared" si="9"/>
        <v>#VALUE!</v>
      </c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25">
      <c r="A282" t="e">
        <f t="shared" si="8"/>
        <v>#VALUE!</v>
      </c>
      <c r="B282" t="e">
        <f t="shared" si="9"/>
        <v>#VALUE!</v>
      </c>
      <c r="C282" s="14">
        <v>189458.4</v>
      </c>
      <c r="D282" s="14">
        <v>189458.4</v>
      </c>
      <c r="E282"/>
      <c r="F282"/>
      <c r="G282"/>
      <c r="H282"/>
      <c r="I282"/>
      <c r="J282"/>
      <c r="K282"/>
      <c r="L282"/>
      <c r="M282"/>
      <c r="N282"/>
    </row>
    <row r="283" spans="1:14" x14ac:dyDescent="0.25">
      <c r="A283" t="e">
        <f t="shared" si="8"/>
        <v>#VALUE!</v>
      </c>
      <c r="B283" t="e">
        <f t="shared" si="9"/>
        <v>#VALUE!</v>
      </c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25">
      <c r="A284" t="e">
        <f t="shared" si="8"/>
        <v>#VALUE!</v>
      </c>
      <c r="B284" t="e">
        <f t="shared" si="9"/>
        <v>#VALUE!</v>
      </c>
      <c r="D284" s="14">
        <v>0</v>
      </c>
      <c r="E284"/>
      <c r="F284"/>
      <c r="G284"/>
      <c r="H284"/>
      <c r="I284"/>
      <c r="J284"/>
      <c r="K284"/>
      <c r="L284"/>
      <c r="M284"/>
      <c r="N284"/>
    </row>
    <row r="285" spans="1:14" x14ac:dyDescent="0.25">
      <c r="A285" t="str">
        <f t="shared" si="8"/>
        <v>2445007</v>
      </c>
      <c r="B285" t="str">
        <f t="shared" si="9"/>
        <v xml:space="preserve"> Ezee Fiber Texas - Mallard Creek Apts</v>
      </c>
      <c r="C285" t="s">
        <v>560</v>
      </c>
      <c r="D285" s="15">
        <v>2500</v>
      </c>
      <c r="E285" s="15">
        <v>1245.24</v>
      </c>
      <c r="F285" s="15">
        <v>1254.76</v>
      </c>
      <c r="G285" s="34">
        <v>50.190399999999997</v>
      </c>
      <c r="H285" s="15">
        <v>215058.7</v>
      </c>
      <c r="I285" s="15">
        <v>0</v>
      </c>
      <c r="J285" s="15">
        <v>189458.4</v>
      </c>
      <c r="K285" s="15">
        <v>215058.7</v>
      </c>
      <c r="L285" s="15">
        <v>172333.21</v>
      </c>
      <c r="M285" s="15">
        <v>42725.49</v>
      </c>
      <c r="N285" s="34">
        <v>19.866896805383799</v>
      </c>
    </row>
    <row r="286" spans="1:14" x14ac:dyDescent="0.25">
      <c r="A286" t="e">
        <f t="shared" si="8"/>
        <v>#VALUE!</v>
      </c>
      <c r="B286" t="e">
        <f t="shared" si="9"/>
        <v>#VALUE!</v>
      </c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25">
      <c r="A287" t="e">
        <f t="shared" si="8"/>
        <v>#VALUE!</v>
      </c>
      <c r="B287" t="e">
        <f t="shared" si="9"/>
        <v>#VALUE!</v>
      </c>
      <c r="C287" s="14">
        <v>131160.75</v>
      </c>
      <c r="D287" s="14">
        <v>131160.75</v>
      </c>
      <c r="E287"/>
      <c r="F287"/>
      <c r="G287"/>
      <c r="H287"/>
      <c r="I287"/>
      <c r="J287"/>
      <c r="K287"/>
      <c r="L287"/>
      <c r="M287"/>
      <c r="N287"/>
    </row>
    <row r="288" spans="1:14" x14ac:dyDescent="0.25">
      <c r="A288" t="e">
        <f t="shared" si="8"/>
        <v>#VALUE!</v>
      </c>
      <c r="B288" t="e">
        <f t="shared" si="9"/>
        <v>#VALUE!</v>
      </c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25">
      <c r="A289" t="e">
        <f t="shared" si="8"/>
        <v>#VALUE!</v>
      </c>
      <c r="B289" t="e">
        <f t="shared" si="9"/>
        <v>#VALUE!</v>
      </c>
      <c r="D289" s="14">
        <v>0</v>
      </c>
      <c r="E289"/>
      <c r="F289"/>
      <c r="G289"/>
      <c r="H289"/>
      <c r="I289"/>
      <c r="J289"/>
      <c r="K289"/>
      <c r="L289"/>
      <c r="M289"/>
      <c r="N289"/>
    </row>
    <row r="290" spans="1:14" x14ac:dyDescent="0.25">
      <c r="A290" t="str">
        <f t="shared" si="8"/>
        <v>2445021</v>
      </c>
      <c r="B290" t="str">
        <f t="shared" si="9"/>
        <v xml:space="preserve"> Ezee Fiber-Franklin Apts</v>
      </c>
      <c r="C290" t="s">
        <v>916</v>
      </c>
      <c r="D290" s="15">
        <v>12534.55</v>
      </c>
      <c r="E290" s="15">
        <v>10916.65</v>
      </c>
      <c r="F290" s="15">
        <v>1617.9</v>
      </c>
      <c r="G290" s="34">
        <v>12.9075236047565</v>
      </c>
      <c r="H290" s="15">
        <v>0</v>
      </c>
      <c r="I290" s="15">
        <v>143426.54999999999</v>
      </c>
      <c r="J290" s="15">
        <v>131160.75</v>
      </c>
      <c r="K290" s="15">
        <v>143426.54999999999</v>
      </c>
      <c r="L290" s="15">
        <v>106821.01</v>
      </c>
      <c r="M290" s="15">
        <v>36605.54</v>
      </c>
      <c r="N290" s="34">
        <v>25.522150536284901</v>
      </c>
    </row>
    <row r="291" spans="1:14" x14ac:dyDescent="0.25">
      <c r="A291" t="e">
        <f t="shared" si="8"/>
        <v>#VALUE!</v>
      </c>
      <c r="B291" t="e">
        <f t="shared" si="9"/>
        <v>#VALUE!</v>
      </c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25">
      <c r="A292" t="e">
        <f t="shared" si="8"/>
        <v>#VALUE!</v>
      </c>
      <c r="B292" t="e">
        <f t="shared" si="9"/>
        <v>#VALUE!</v>
      </c>
      <c r="C292" s="14">
        <v>124032</v>
      </c>
      <c r="D292" s="14">
        <v>124032</v>
      </c>
      <c r="E292"/>
      <c r="F292"/>
      <c r="G292"/>
      <c r="H292"/>
      <c r="I292"/>
      <c r="J292"/>
      <c r="K292"/>
      <c r="L292"/>
      <c r="M292"/>
      <c r="N292"/>
    </row>
    <row r="293" spans="1:14" x14ac:dyDescent="0.25">
      <c r="A293" t="e">
        <f t="shared" si="8"/>
        <v>#VALUE!</v>
      </c>
      <c r="B293" t="e">
        <f t="shared" si="9"/>
        <v>#VALUE!</v>
      </c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25">
      <c r="A294" t="e">
        <f t="shared" si="8"/>
        <v>#VALUE!</v>
      </c>
      <c r="B294" t="e">
        <f t="shared" si="9"/>
        <v>#VALUE!</v>
      </c>
      <c r="D294" s="14">
        <v>0</v>
      </c>
      <c r="E294"/>
      <c r="F294"/>
      <c r="G294"/>
      <c r="H294"/>
      <c r="I294"/>
      <c r="J294"/>
      <c r="K294"/>
      <c r="L294"/>
      <c r="M294"/>
      <c r="N294"/>
    </row>
    <row r="295" spans="1:14" x14ac:dyDescent="0.25">
      <c r="A295" t="str">
        <f t="shared" si="8"/>
        <v>2445022</v>
      </c>
      <c r="B295" t="str">
        <f t="shared" si="9"/>
        <v xml:space="preserve"> Ezee Fiber-717 Lehman</v>
      </c>
      <c r="C295" t="s">
        <v>843</v>
      </c>
      <c r="D295" s="15">
        <v>0</v>
      </c>
      <c r="E295" s="15">
        <v>121.93</v>
      </c>
      <c r="F295" s="15">
        <v>-121.93</v>
      </c>
      <c r="G295" s="34">
        <v>0</v>
      </c>
      <c r="H295" s="15">
        <v>0</v>
      </c>
      <c r="I295" s="15">
        <v>87354.4</v>
      </c>
      <c r="J295" s="15">
        <v>124032</v>
      </c>
      <c r="K295" s="15">
        <v>87354.4</v>
      </c>
      <c r="L295" s="15">
        <v>62408.23</v>
      </c>
      <c r="M295" s="15">
        <v>24946.17</v>
      </c>
      <c r="N295" s="34">
        <v>28.557428131839998</v>
      </c>
    </row>
    <row r="296" spans="1:14" x14ac:dyDescent="0.25">
      <c r="A296" t="e">
        <f t="shared" si="8"/>
        <v>#VALUE!</v>
      </c>
      <c r="B296" t="e">
        <f t="shared" si="9"/>
        <v>#VALUE!</v>
      </c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25">
      <c r="A297" t="e">
        <f t="shared" si="8"/>
        <v>#VALUE!</v>
      </c>
      <c r="B297" t="e">
        <f t="shared" si="9"/>
        <v>#VALUE!</v>
      </c>
      <c r="C297" s="14">
        <v>61465.760000000002</v>
      </c>
      <c r="D297" s="14">
        <v>61465.760000000002</v>
      </c>
      <c r="E297"/>
      <c r="F297"/>
      <c r="G297"/>
      <c r="H297"/>
      <c r="I297"/>
      <c r="J297"/>
      <c r="K297"/>
      <c r="L297"/>
      <c r="M297"/>
      <c r="N297"/>
    </row>
    <row r="298" spans="1:14" x14ac:dyDescent="0.25">
      <c r="A298" t="e">
        <f t="shared" si="8"/>
        <v>#VALUE!</v>
      </c>
      <c r="B298" t="e">
        <f t="shared" si="9"/>
        <v>#VALUE!</v>
      </c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25">
      <c r="A299" t="e">
        <f t="shared" si="8"/>
        <v>#VALUE!</v>
      </c>
      <c r="B299" t="e">
        <f t="shared" si="9"/>
        <v>#VALUE!</v>
      </c>
      <c r="D299" s="14">
        <v>0</v>
      </c>
      <c r="E299"/>
      <c r="F299"/>
      <c r="G299"/>
      <c r="H299"/>
      <c r="I299"/>
      <c r="J299"/>
      <c r="K299"/>
      <c r="L299"/>
      <c r="M299"/>
      <c r="N299"/>
    </row>
    <row r="300" spans="1:14" x14ac:dyDescent="0.25">
      <c r="A300" t="str">
        <f t="shared" si="8"/>
        <v>2445023</v>
      </c>
      <c r="B300" t="str">
        <f t="shared" si="9"/>
        <v xml:space="preserve"> Ezee Fiber - Azulejo Apartments</v>
      </c>
      <c r="C300" t="s">
        <v>861</v>
      </c>
      <c r="D300" s="15">
        <v>0</v>
      </c>
      <c r="E300" s="15">
        <v>43.76</v>
      </c>
      <c r="F300" s="15">
        <v>-43.76</v>
      </c>
      <c r="G300" s="34">
        <v>0</v>
      </c>
      <c r="H300" s="15">
        <v>62143.1</v>
      </c>
      <c r="I300" s="15">
        <v>0</v>
      </c>
      <c r="J300" s="15">
        <v>61465.760000000002</v>
      </c>
      <c r="K300" s="15">
        <v>62143.1</v>
      </c>
      <c r="L300" s="15">
        <v>46128.07</v>
      </c>
      <c r="M300" s="15">
        <v>16015.03</v>
      </c>
      <c r="N300" s="34">
        <v>25.771211928597101</v>
      </c>
    </row>
    <row r="301" spans="1:14" x14ac:dyDescent="0.25">
      <c r="A301" t="e">
        <f t="shared" si="8"/>
        <v>#VALUE!</v>
      </c>
      <c r="B301" t="e">
        <f t="shared" si="9"/>
        <v>#VALUE!</v>
      </c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25">
      <c r="A302" t="e">
        <f t="shared" si="8"/>
        <v>#VALUE!</v>
      </c>
      <c r="B302" t="e">
        <f t="shared" si="9"/>
        <v>#VALUE!</v>
      </c>
      <c r="C302" s="14">
        <v>88313</v>
      </c>
      <c r="D302" s="14">
        <v>88313</v>
      </c>
      <c r="E302"/>
      <c r="F302"/>
      <c r="G302"/>
      <c r="H302"/>
      <c r="I302"/>
      <c r="J302"/>
      <c r="K302"/>
      <c r="L302"/>
      <c r="M302"/>
      <c r="N302"/>
    </row>
    <row r="303" spans="1:14" x14ac:dyDescent="0.25">
      <c r="A303" t="e">
        <f t="shared" si="8"/>
        <v>#VALUE!</v>
      </c>
      <c r="B303" t="e">
        <f t="shared" si="9"/>
        <v>#VALUE!</v>
      </c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25">
      <c r="A304" t="e">
        <f t="shared" si="8"/>
        <v>#VALUE!</v>
      </c>
      <c r="B304" t="e">
        <f t="shared" si="9"/>
        <v>#VALUE!</v>
      </c>
      <c r="D304" s="14">
        <v>0</v>
      </c>
      <c r="E304"/>
      <c r="F304"/>
      <c r="G304"/>
      <c r="H304"/>
      <c r="I304"/>
      <c r="J304"/>
      <c r="K304"/>
      <c r="L304"/>
      <c r="M304"/>
      <c r="N304"/>
    </row>
    <row r="305" spans="1:14" x14ac:dyDescent="0.25">
      <c r="A305" t="str">
        <f t="shared" si="8"/>
        <v>2445024</v>
      </c>
      <c r="B305" t="str">
        <f t="shared" si="9"/>
        <v xml:space="preserve"> Ezee Fiber - Janicsh Apartments</v>
      </c>
      <c r="C305" t="s">
        <v>947</v>
      </c>
      <c r="D305" s="15">
        <v>0</v>
      </c>
      <c r="E305" s="15">
        <v>111.85</v>
      </c>
      <c r="F305" s="15">
        <v>-111.85</v>
      </c>
      <c r="G305" s="34">
        <v>0</v>
      </c>
      <c r="H305" s="15">
        <v>0</v>
      </c>
      <c r="I305" s="15">
        <v>64903</v>
      </c>
      <c r="J305" s="15">
        <v>88313</v>
      </c>
      <c r="K305" s="15">
        <v>64903</v>
      </c>
      <c r="L305" s="15">
        <v>50808.02</v>
      </c>
      <c r="M305" s="15">
        <v>14094.98</v>
      </c>
      <c r="N305" s="34">
        <v>21.7169930511687</v>
      </c>
    </row>
    <row r="306" spans="1:14" x14ac:dyDescent="0.25">
      <c r="A306" t="e">
        <f t="shared" si="8"/>
        <v>#VALUE!</v>
      </c>
      <c r="B306" t="e">
        <f t="shared" si="9"/>
        <v>#VALUE!</v>
      </c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25">
      <c r="A307" t="e">
        <f t="shared" si="8"/>
        <v>#VALUE!</v>
      </c>
      <c r="B307" t="e">
        <f t="shared" si="9"/>
        <v>#VALUE!</v>
      </c>
      <c r="C307" s="14">
        <v>151828.6</v>
      </c>
      <c r="D307" s="14">
        <v>151828.6</v>
      </c>
      <c r="E307"/>
      <c r="F307"/>
      <c r="G307"/>
      <c r="H307"/>
      <c r="I307"/>
      <c r="J307"/>
      <c r="K307"/>
      <c r="L307"/>
      <c r="M307"/>
      <c r="N307"/>
    </row>
    <row r="308" spans="1:14" x14ac:dyDescent="0.25">
      <c r="A308" t="e">
        <f t="shared" si="8"/>
        <v>#VALUE!</v>
      </c>
      <c r="B308" t="e">
        <f t="shared" si="9"/>
        <v>#VALUE!</v>
      </c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25">
      <c r="A309" t="e">
        <f t="shared" si="8"/>
        <v>#VALUE!</v>
      </c>
      <c r="B309" t="e">
        <f t="shared" si="9"/>
        <v>#VALUE!</v>
      </c>
      <c r="D309" s="14">
        <v>0</v>
      </c>
      <c r="E309"/>
      <c r="F309"/>
      <c r="G309"/>
      <c r="H309"/>
      <c r="I309"/>
      <c r="J309"/>
      <c r="K309"/>
      <c r="L309"/>
      <c r="M309"/>
      <c r="N309"/>
    </row>
    <row r="310" spans="1:14" x14ac:dyDescent="0.25">
      <c r="A310" t="str">
        <f t="shared" si="8"/>
        <v>2445025</v>
      </c>
      <c r="B310" t="str">
        <f t="shared" si="9"/>
        <v xml:space="preserve"> Ezee - San Antigua</v>
      </c>
      <c r="C310" t="s">
        <v>1141</v>
      </c>
      <c r="D310" s="15">
        <v>12365</v>
      </c>
      <c r="E310" s="15">
        <v>10553.61</v>
      </c>
      <c r="F310" s="15">
        <v>1811.39</v>
      </c>
      <c r="G310" s="34">
        <v>14.6493327941771</v>
      </c>
      <c r="H310" s="15">
        <v>0</v>
      </c>
      <c r="I310" s="15">
        <v>12365</v>
      </c>
      <c r="J310" s="15">
        <v>151828.6</v>
      </c>
      <c r="K310" s="15">
        <v>12365</v>
      </c>
      <c r="L310" s="15">
        <v>10553.61</v>
      </c>
      <c r="M310" s="15">
        <v>1811.39</v>
      </c>
      <c r="N310" s="34">
        <v>14.6493327941771</v>
      </c>
    </row>
    <row r="311" spans="1:14" x14ac:dyDescent="0.25">
      <c r="A311" t="e">
        <f t="shared" si="8"/>
        <v>#VALUE!</v>
      </c>
      <c r="B311" t="e">
        <f t="shared" si="9"/>
        <v>#VALUE!</v>
      </c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25">
      <c r="A312" t="e">
        <f t="shared" si="8"/>
        <v>#VALUE!</v>
      </c>
      <c r="B312" t="e">
        <f t="shared" si="9"/>
        <v>#VALUE!</v>
      </c>
      <c r="C312" s="14">
        <v>80714</v>
      </c>
      <c r="D312" s="14">
        <v>80714</v>
      </c>
      <c r="E312"/>
      <c r="F312"/>
      <c r="G312"/>
      <c r="H312"/>
      <c r="I312"/>
      <c r="J312"/>
      <c r="K312"/>
      <c r="L312"/>
      <c r="M312"/>
      <c r="N312"/>
    </row>
    <row r="313" spans="1:14" x14ac:dyDescent="0.25">
      <c r="A313" t="e">
        <f t="shared" si="8"/>
        <v>#VALUE!</v>
      </c>
      <c r="B313" t="e">
        <f t="shared" si="9"/>
        <v>#VALUE!</v>
      </c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25">
      <c r="A314" t="e">
        <f t="shared" si="8"/>
        <v>#VALUE!</v>
      </c>
      <c r="B314" t="e">
        <f t="shared" si="9"/>
        <v>#VALUE!</v>
      </c>
      <c r="D314" s="14">
        <v>0</v>
      </c>
      <c r="E314"/>
      <c r="F314"/>
      <c r="G314"/>
      <c r="H314"/>
      <c r="I314"/>
      <c r="J314"/>
      <c r="K314"/>
      <c r="L314"/>
      <c r="M314"/>
      <c r="N314"/>
    </row>
    <row r="315" spans="1:14" x14ac:dyDescent="0.25">
      <c r="A315" t="str">
        <f t="shared" si="8"/>
        <v>2445099</v>
      </c>
      <c r="B315" t="str">
        <f t="shared" si="9"/>
        <v xml:space="preserve"> Google-Fiber Greenfield TX</v>
      </c>
      <c r="C315" t="s">
        <v>194</v>
      </c>
      <c r="D315" s="15">
        <v>68310</v>
      </c>
      <c r="E315" s="15">
        <v>57840.9</v>
      </c>
      <c r="F315" s="15">
        <v>10469.1</v>
      </c>
      <c r="G315" s="34">
        <v>15.3258673693456</v>
      </c>
      <c r="H315" s="15">
        <v>216828.1</v>
      </c>
      <c r="I315" s="15">
        <v>199332.5</v>
      </c>
      <c r="J315" s="15">
        <v>80714</v>
      </c>
      <c r="K315" s="15">
        <v>416160.6</v>
      </c>
      <c r="L315" s="15">
        <v>347344.11</v>
      </c>
      <c r="M315" s="15">
        <v>68816.490000000005</v>
      </c>
      <c r="N315" s="34">
        <v>16.536041614703599</v>
      </c>
    </row>
    <row r="316" spans="1:14" x14ac:dyDescent="0.25">
      <c r="A316" t="e">
        <f t="shared" si="8"/>
        <v>#VALUE!</v>
      </c>
      <c r="B316" t="e">
        <f t="shared" si="9"/>
        <v>#VALUE!</v>
      </c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25">
      <c r="A317" t="e">
        <f t="shared" si="8"/>
        <v>#VALUE!</v>
      </c>
      <c r="B317" t="e">
        <f t="shared" si="9"/>
        <v>#VALUE!</v>
      </c>
      <c r="C317" s="14">
        <v>123625</v>
      </c>
      <c r="D317" s="14">
        <v>123625</v>
      </c>
      <c r="E317"/>
      <c r="F317"/>
      <c r="G317"/>
      <c r="H317"/>
      <c r="I317"/>
      <c r="J317"/>
      <c r="K317"/>
      <c r="L317"/>
      <c r="M317"/>
      <c r="N317"/>
    </row>
    <row r="318" spans="1:14" x14ac:dyDescent="0.25">
      <c r="A318" t="e">
        <f t="shared" si="8"/>
        <v>#VALUE!</v>
      </c>
      <c r="B318" t="e">
        <f t="shared" si="9"/>
        <v>#VALUE!</v>
      </c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25">
      <c r="A319" t="e">
        <f t="shared" si="8"/>
        <v>#VALUE!</v>
      </c>
      <c r="B319" t="e">
        <f t="shared" si="9"/>
        <v>#VALUE!</v>
      </c>
      <c r="D319" s="14">
        <v>0</v>
      </c>
      <c r="E319"/>
      <c r="F319"/>
      <c r="G319"/>
      <c r="H319"/>
      <c r="I319"/>
      <c r="J319"/>
      <c r="K319"/>
      <c r="L319"/>
      <c r="M319"/>
      <c r="N319"/>
    </row>
    <row r="320" spans="1:14" x14ac:dyDescent="0.25">
      <c r="A320" t="str">
        <f t="shared" si="8"/>
        <v>2446101</v>
      </c>
      <c r="B320" t="str">
        <f t="shared" si="9"/>
        <v xml:space="preserve"> Ubiquity Services-Bay Colony Apt Homes</v>
      </c>
      <c r="C320" t="s">
        <v>917</v>
      </c>
      <c r="D320" s="15">
        <v>0</v>
      </c>
      <c r="E320" s="15">
        <v>0</v>
      </c>
      <c r="F320" s="15">
        <v>0</v>
      </c>
      <c r="G320" s="34">
        <v>0</v>
      </c>
      <c r="H320" s="15">
        <v>123625</v>
      </c>
      <c r="I320" s="15">
        <v>0</v>
      </c>
      <c r="J320" s="15">
        <v>123625</v>
      </c>
      <c r="K320" s="15">
        <v>123625</v>
      </c>
      <c r="L320" s="15">
        <v>99751.5</v>
      </c>
      <c r="M320" s="15">
        <v>23873.5</v>
      </c>
      <c r="N320" s="34">
        <v>19.311223458038398</v>
      </c>
    </row>
    <row r="321" spans="1:14" x14ac:dyDescent="0.25">
      <c r="A321" t="e">
        <f t="shared" si="8"/>
        <v>#VALUE!</v>
      </c>
      <c r="B321" t="e">
        <f t="shared" si="9"/>
        <v>#VALUE!</v>
      </c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25">
      <c r="A322" t="e">
        <f t="shared" si="8"/>
        <v>#VALUE!</v>
      </c>
      <c r="B322" t="e">
        <f t="shared" si="9"/>
        <v>#VALUE!</v>
      </c>
      <c r="C322" s="14">
        <v>0</v>
      </c>
      <c r="D322" s="14">
        <v>0</v>
      </c>
      <c r="E322"/>
      <c r="F322"/>
      <c r="G322"/>
      <c r="H322"/>
      <c r="I322"/>
      <c r="J322"/>
      <c r="K322"/>
      <c r="L322"/>
      <c r="M322"/>
      <c r="N322"/>
    </row>
    <row r="323" spans="1:14" x14ac:dyDescent="0.25">
      <c r="A323" t="e">
        <f t="shared" si="8"/>
        <v>#VALUE!</v>
      </c>
      <c r="B323" t="e">
        <f t="shared" si="9"/>
        <v>#VALUE!</v>
      </c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25">
      <c r="A324" t="e">
        <f t="shared" si="8"/>
        <v>#VALUE!</v>
      </c>
      <c r="B324" t="e">
        <f t="shared" si="9"/>
        <v>#VALUE!</v>
      </c>
      <c r="D324" s="14">
        <v>0</v>
      </c>
      <c r="E324"/>
      <c r="F324"/>
      <c r="G324"/>
      <c r="H324"/>
      <c r="I324"/>
      <c r="J324"/>
      <c r="K324"/>
      <c r="L324"/>
      <c r="M324"/>
      <c r="N324"/>
    </row>
    <row r="325" spans="1:14" x14ac:dyDescent="0.25">
      <c r="A325" t="str">
        <f t="shared" ref="A325:A388" si="10">LEFT(C325,FIND(" ",C325)-1)</f>
        <v>2446103</v>
      </c>
      <c r="B325" t="str">
        <f t="shared" ref="B325:B388" si="11">RIGHT(C325,LEN(C325)-FIND(" ",C325))</f>
        <v xml:space="preserve"> Ubiquity Services - Bluffs at Brookside</v>
      </c>
      <c r="C325" t="s">
        <v>844</v>
      </c>
      <c r="D325" s="15">
        <v>0</v>
      </c>
      <c r="E325" s="15">
        <v>0</v>
      </c>
      <c r="F325" s="15">
        <v>0</v>
      </c>
      <c r="G325" s="34">
        <v>0</v>
      </c>
      <c r="H325" s="15">
        <v>67450</v>
      </c>
      <c r="I325" s="15">
        <v>0</v>
      </c>
      <c r="J325" s="15">
        <v>0</v>
      </c>
      <c r="K325" s="15">
        <v>67450</v>
      </c>
      <c r="L325" s="15">
        <v>50806.65</v>
      </c>
      <c r="M325" s="15">
        <v>16643.349999999999</v>
      </c>
      <c r="N325" s="34">
        <v>24.675092661230501</v>
      </c>
    </row>
    <row r="326" spans="1:14" x14ac:dyDescent="0.25">
      <c r="A326" t="e">
        <f t="shared" si="10"/>
        <v>#VALUE!</v>
      </c>
      <c r="B326" t="e">
        <f t="shared" si="11"/>
        <v>#VALUE!</v>
      </c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25">
      <c r="A327" t="e">
        <f t="shared" si="10"/>
        <v>#VALUE!</v>
      </c>
      <c r="B327" t="e">
        <f t="shared" si="11"/>
        <v>#VALUE!</v>
      </c>
      <c r="C327" s="14">
        <v>90675</v>
      </c>
      <c r="D327" s="14">
        <v>90675</v>
      </c>
      <c r="E327"/>
      <c r="F327"/>
      <c r="G327"/>
      <c r="H327"/>
      <c r="I327"/>
      <c r="J327"/>
      <c r="K327"/>
      <c r="L327"/>
      <c r="M327"/>
      <c r="N327"/>
    </row>
    <row r="328" spans="1:14" x14ac:dyDescent="0.25">
      <c r="A328" t="e">
        <f t="shared" si="10"/>
        <v>#VALUE!</v>
      </c>
      <c r="B328" t="e">
        <f t="shared" si="11"/>
        <v>#VALUE!</v>
      </c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25">
      <c r="A329" t="e">
        <f t="shared" si="10"/>
        <v>#VALUE!</v>
      </c>
      <c r="B329" t="e">
        <f t="shared" si="11"/>
        <v>#VALUE!</v>
      </c>
      <c r="D329" s="14">
        <v>0</v>
      </c>
      <c r="E329"/>
      <c r="F329"/>
      <c r="G329"/>
      <c r="H329"/>
      <c r="I329"/>
      <c r="J329"/>
      <c r="K329"/>
      <c r="L329"/>
      <c r="M329"/>
      <c r="N329"/>
    </row>
    <row r="330" spans="1:14" x14ac:dyDescent="0.25">
      <c r="A330" t="str">
        <f t="shared" si="10"/>
        <v>2446104</v>
      </c>
      <c r="B330" t="str">
        <f t="shared" si="11"/>
        <v xml:space="preserve"> Ubiquity Serivces-Renaissance at Stoney</v>
      </c>
      <c r="C330" t="s">
        <v>884</v>
      </c>
      <c r="D330" s="15">
        <v>0</v>
      </c>
      <c r="E330" s="15">
        <v>0</v>
      </c>
      <c r="F330" s="15">
        <v>0</v>
      </c>
      <c r="G330" s="34">
        <v>0</v>
      </c>
      <c r="H330" s="15">
        <v>90675</v>
      </c>
      <c r="I330" s="15">
        <v>0</v>
      </c>
      <c r="J330" s="15">
        <v>90675</v>
      </c>
      <c r="K330" s="15">
        <v>90675</v>
      </c>
      <c r="L330" s="15">
        <v>66698.39</v>
      </c>
      <c r="M330" s="15">
        <v>23976.61</v>
      </c>
      <c r="N330" s="34">
        <v>26.442360077198799</v>
      </c>
    </row>
    <row r="331" spans="1:14" x14ac:dyDescent="0.25">
      <c r="A331" t="e">
        <f t="shared" si="10"/>
        <v>#VALUE!</v>
      </c>
      <c r="B331" t="e">
        <f t="shared" si="11"/>
        <v>#VALUE!</v>
      </c>
      <c r="D331"/>
      <c r="E331" s="15"/>
      <c r="F331" s="15"/>
      <c r="G331" s="15"/>
      <c r="H331" s="15"/>
      <c r="I331" s="15"/>
      <c r="J331" s="15"/>
      <c r="K331" s="14"/>
      <c r="L331" s="15"/>
      <c r="M331" s="15"/>
      <c r="N331" s="14"/>
    </row>
    <row r="332" spans="1:14" x14ac:dyDescent="0.25">
      <c r="A332" t="e">
        <f t="shared" si="10"/>
        <v>#VALUE!</v>
      </c>
      <c r="B332" t="e">
        <f t="shared" si="11"/>
        <v>#VALUE!</v>
      </c>
      <c r="C332">
        <v>153120</v>
      </c>
      <c r="D332">
        <v>153120</v>
      </c>
      <c r="E332"/>
      <c r="F332"/>
      <c r="G332"/>
      <c r="H332"/>
      <c r="I332"/>
      <c r="J332"/>
      <c r="K332"/>
      <c r="L332"/>
      <c r="M332"/>
      <c r="N332"/>
    </row>
    <row r="333" spans="1:14" x14ac:dyDescent="0.25">
      <c r="A333" t="e">
        <f t="shared" si="10"/>
        <v>#VALUE!</v>
      </c>
      <c r="B333" t="e">
        <f t="shared" si="11"/>
        <v>#VALUE!</v>
      </c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25">
      <c r="A334" t="e">
        <f t="shared" si="10"/>
        <v>#VALUE!</v>
      </c>
      <c r="B334" t="e">
        <f t="shared" si="11"/>
        <v>#VALUE!</v>
      </c>
      <c r="C334" s="14"/>
      <c r="D334" s="14">
        <v>0</v>
      </c>
      <c r="E334"/>
      <c r="F334"/>
      <c r="G334"/>
      <c r="H334"/>
      <c r="I334"/>
      <c r="J334"/>
      <c r="K334"/>
      <c r="L334"/>
      <c r="M334"/>
      <c r="N334"/>
    </row>
    <row r="335" spans="1:14" x14ac:dyDescent="0.25">
      <c r="A335" t="str">
        <f t="shared" si="10"/>
        <v>2446105</v>
      </c>
      <c r="B335" t="str">
        <f t="shared" si="11"/>
        <v xml:space="preserve"> Ubiquity Services-Heatherwilde Park</v>
      </c>
      <c r="C335" t="s">
        <v>1142</v>
      </c>
      <c r="D335">
        <v>7200</v>
      </c>
      <c r="E335">
        <v>9041</v>
      </c>
      <c r="F335">
        <v>-1841</v>
      </c>
      <c r="G335">
        <v>-25.5694444444444</v>
      </c>
      <c r="H335">
        <v>0</v>
      </c>
      <c r="I335">
        <v>7200</v>
      </c>
      <c r="J335">
        <v>153120</v>
      </c>
      <c r="K335">
        <v>7200</v>
      </c>
      <c r="L335">
        <v>9041</v>
      </c>
      <c r="M335">
        <v>-1841</v>
      </c>
      <c r="N335">
        <v>-25.5694444444444</v>
      </c>
    </row>
    <row r="336" spans="1:14" x14ac:dyDescent="0.25">
      <c r="A336" t="e">
        <f t="shared" si="10"/>
        <v>#VALUE!</v>
      </c>
      <c r="B336" t="e">
        <f t="shared" si="11"/>
        <v>#VALUE!</v>
      </c>
      <c r="D336" s="14"/>
      <c r="E336"/>
      <c r="F336"/>
      <c r="G336"/>
      <c r="H336"/>
      <c r="I336"/>
      <c r="J336"/>
      <c r="K336"/>
      <c r="L336"/>
      <c r="M336"/>
      <c r="N336"/>
    </row>
    <row r="337" spans="1:14" x14ac:dyDescent="0.25">
      <c r="A337" t="e">
        <f t="shared" si="10"/>
        <v>#VALUE!</v>
      </c>
      <c r="B337" t="e">
        <f t="shared" si="11"/>
        <v>#VALUE!</v>
      </c>
      <c r="C337">
        <v>1000000</v>
      </c>
      <c r="D337" s="15">
        <v>1000000</v>
      </c>
      <c r="E337" s="15"/>
      <c r="F337" s="15"/>
      <c r="G337" s="34"/>
      <c r="H337" s="15"/>
      <c r="I337" s="15"/>
      <c r="J337" s="15"/>
      <c r="K337" s="15"/>
      <c r="L337" s="15"/>
      <c r="M337" s="15"/>
      <c r="N337" s="34"/>
    </row>
    <row r="338" spans="1:14" x14ac:dyDescent="0.25">
      <c r="A338" t="e">
        <f t="shared" si="10"/>
        <v>#VALUE!</v>
      </c>
      <c r="B338" t="e">
        <f t="shared" si="11"/>
        <v>#VALUE!</v>
      </c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25">
      <c r="A339" t="e">
        <f t="shared" si="10"/>
        <v>#VALUE!</v>
      </c>
      <c r="B339" t="e">
        <f t="shared" si="11"/>
        <v>#VALUE!</v>
      </c>
      <c r="C339" s="14"/>
      <c r="D339" s="14">
        <v>0</v>
      </c>
      <c r="E339"/>
      <c r="F339"/>
      <c r="G339"/>
      <c r="H339"/>
      <c r="I339"/>
      <c r="J339"/>
      <c r="K339"/>
      <c r="L339"/>
      <c r="M339"/>
      <c r="N339"/>
    </row>
    <row r="340" spans="1:14" x14ac:dyDescent="0.25">
      <c r="A340" t="str">
        <f t="shared" si="10"/>
        <v>2660000</v>
      </c>
      <c r="B340" t="str">
        <f t="shared" si="11"/>
        <v xml:space="preserve"> Socket Telecom, LLC - MO (Installs)</v>
      </c>
      <c r="C340" t="s">
        <v>667</v>
      </c>
      <c r="D340">
        <v>16130</v>
      </c>
      <c r="E340">
        <v>18109.12</v>
      </c>
      <c r="F340">
        <v>-1979.12</v>
      </c>
      <c r="G340">
        <v>-12.269807811531299</v>
      </c>
      <c r="H340">
        <v>145745</v>
      </c>
      <c r="I340">
        <v>200</v>
      </c>
      <c r="J340">
        <v>1000000</v>
      </c>
      <c r="K340">
        <v>145945</v>
      </c>
      <c r="L340">
        <v>126170.57</v>
      </c>
      <c r="M340">
        <v>19774.43</v>
      </c>
      <c r="N340">
        <v>13.549234300592699</v>
      </c>
    </row>
    <row r="341" spans="1:14" x14ac:dyDescent="0.25">
      <c r="A341" t="e">
        <f t="shared" si="10"/>
        <v>#VALUE!</v>
      </c>
      <c r="B341" t="e">
        <f t="shared" si="11"/>
        <v>#VALUE!</v>
      </c>
      <c r="D341" s="14"/>
      <c r="E341"/>
      <c r="F341"/>
      <c r="G341"/>
      <c r="H341"/>
      <c r="I341"/>
      <c r="J341"/>
      <c r="K341"/>
      <c r="L341"/>
      <c r="M341"/>
      <c r="N341"/>
    </row>
    <row r="342" spans="1:14" x14ac:dyDescent="0.25">
      <c r="A342" t="e">
        <f t="shared" si="10"/>
        <v>#VALUE!</v>
      </c>
      <c r="B342" t="e">
        <f t="shared" si="11"/>
        <v>#VALUE!</v>
      </c>
      <c r="C342">
        <v>1000000</v>
      </c>
      <c r="D342" s="15">
        <v>1000000</v>
      </c>
      <c r="E342" s="15"/>
      <c r="F342" s="15"/>
      <c r="G342" s="34"/>
      <c r="H342" s="15"/>
      <c r="I342" s="15"/>
      <c r="J342" s="15"/>
      <c r="K342" s="15"/>
      <c r="L342" s="15"/>
      <c r="M342" s="15"/>
      <c r="N342" s="34"/>
    </row>
    <row r="343" spans="1:14" x14ac:dyDescent="0.25">
      <c r="A343" t="e">
        <f t="shared" si="10"/>
        <v>#VALUE!</v>
      </c>
      <c r="B343" t="e">
        <f t="shared" si="11"/>
        <v>#VALUE!</v>
      </c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25">
      <c r="A344" t="e">
        <f t="shared" si="10"/>
        <v>#VALUE!</v>
      </c>
      <c r="B344" t="e">
        <f t="shared" si="11"/>
        <v>#VALUE!</v>
      </c>
      <c r="C344" s="14"/>
      <c r="D344" s="14">
        <v>0</v>
      </c>
      <c r="E344"/>
      <c r="F344"/>
      <c r="G344"/>
      <c r="H344"/>
      <c r="I344"/>
      <c r="J344"/>
      <c r="K344"/>
      <c r="L344"/>
      <c r="M344"/>
      <c r="N344"/>
    </row>
    <row r="345" spans="1:14" x14ac:dyDescent="0.25">
      <c r="A345" t="str">
        <f t="shared" si="10"/>
        <v>2660001</v>
      </c>
      <c r="B345" t="str">
        <f t="shared" si="11"/>
        <v xml:space="preserve"> Socket Telecom, LLC - MO (MDU)</v>
      </c>
      <c r="C345" t="s">
        <v>688</v>
      </c>
      <c r="D345">
        <v>138602.5</v>
      </c>
      <c r="E345">
        <v>123860.83</v>
      </c>
      <c r="F345">
        <v>14741.67</v>
      </c>
      <c r="G345">
        <v>10.6359336952797</v>
      </c>
      <c r="H345">
        <v>909944.5</v>
      </c>
      <c r="I345">
        <v>265524</v>
      </c>
      <c r="J345">
        <v>1000000</v>
      </c>
      <c r="K345">
        <v>1175468.5</v>
      </c>
      <c r="L345">
        <v>955405.16</v>
      </c>
      <c r="M345">
        <v>220063.34</v>
      </c>
      <c r="N345">
        <v>18.7213302610831</v>
      </c>
    </row>
    <row r="346" spans="1:14" x14ac:dyDescent="0.25">
      <c r="A346" t="e">
        <f t="shared" si="10"/>
        <v>#VALUE!</v>
      </c>
      <c r="B346" t="e">
        <f t="shared" si="11"/>
        <v>#VALUE!</v>
      </c>
      <c r="C346" t="s">
        <v>114</v>
      </c>
      <c r="D346" s="14" t="s">
        <v>115</v>
      </c>
      <c r="E346">
        <v>902717.33</v>
      </c>
      <c r="F346">
        <v>44800.15</v>
      </c>
      <c r="G346">
        <v>17298435.649999999</v>
      </c>
      <c r="H346">
        <v>19224455.77</v>
      </c>
      <c r="I346">
        <v>3461980</v>
      </c>
      <c r="J346">
        <v>857917.18</v>
      </c>
      <c r="K346">
        <v>4.9628104514178304</v>
      </c>
      <c r="L346">
        <v>1926020.12</v>
      </c>
      <c r="M346">
        <v>15762475.77</v>
      </c>
      <c r="N346">
        <v>1.1447051746630501</v>
      </c>
    </row>
    <row r="347" spans="1:14" x14ac:dyDescent="0.25">
      <c r="A347" t="e">
        <f t="shared" si="10"/>
        <v>#VALUE!</v>
      </c>
      <c r="B347" t="e">
        <f t="shared" si="11"/>
        <v>#VALUE!</v>
      </c>
      <c r="C347" t="s">
        <v>76</v>
      </c>
      <c r="D347" s="15" t="s">
        <v>77</v>
      </c>
      <c r="E347" s="15"/>
      <c r="F347" s="15"/>
      <c r="G347" s="34"/>
      <c r="H347" s="15"/>
      <c r="I347" s="15"/>
      <c r="J347" s="15"/>
      <c r="K347" s="15"/>
      <c r="L347" s="15"/>
      <c r="M347" s="15"/>
      <c r="N347" s="34"/>
    </row>
    <row r="348" spans="1:14" x14ac:dyDescent="0.25">
      <c r="A348" t="e">
        <f t="shared" si="10"/>
        <v>#VALUE!</v>
      </c>
      <c r="B348" t="e">
        <f t="shared" si="11"/>
        <v>#VALUE!</v>
      </c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25">
      <c r="A349" t="e">
        <f t="shared" si="10"/>
        <v>#VALUE!</v>
      </c>
      <c r="B349" t="e">
        <f t="shared" si="11"/>
        <v>#VALUE!</v>
      </c>
      <c r="C349" s="14">
        <v>0</v>
      </c>
      <c r="D349" s="14">
        <v>0</v>
      </c>
      <c r="E349"/>
      <c r="F349"/>
      <c r="G349"/>
      <c r="H349"/>
      <c r="I349"/>
      <c r="J349"/>
      <c r="K349"/>
      <c r="L349"/>
      <c r="M349"/>
      <c r="N349"/>
    </row>
    <row r="350" spans="1:14" x14ac:dyDescent="0.25">
      <c r="A350" t="e">
        <f t="shared" si="10"/>
        <v>#VALUE!</v>
      </c>
      <c r="B350" t="e">
        <f t="shared" si="11"/>
        <v>#VALUE!</v>
      </c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25">
      <c r="A351" t="e">
        <f t="shared" si="10"/>
        <v>#VALUE!</v>
      </c>
      <c r="B351" t="e">
        <f t="shared" si="11"/>
        <v>#VALUE!</v>
      </c>
      <c r="D351" s="14">
        <v>0</v>
      </c>
      <c r="E351"/>
      <c r="F351"/>
      <c r="G351"/>
      <c r="H351"/>
      <c r="I351"/>
      <c r="J351"/>
      <c r="K351"/>
      <c r="L351"/>
      <c r="M351"/>
      <c r="N351"/>
    </row>
    <row r="352" spans="1:14" x14ac:dyDescent="0.25">
      <c r="A352" t="str">
        <f t="shared" si="10"/>
        <v>1136201</v>
      </c>
      <c r="B352" t="str">
        <f t="shared" si="11"/>
        <v xml:space="preserve"> Ziply - ID NESC Program</v>
      </c>
      <c r="C352" t="s">
        <v>783</v>
      </c>
      <c r="D352" s="15">
        <v>0</v>
      </c>
      <c r="E352" s="15">
        <v>0</v>
      </c>
      <c r="F352" s="15">
        <v>0</v>
      </c>
      <c r="G352" s="34">
        <v>0</v>
      </c>
      <c r="H352" s="15">
        <v>73636.3</v>
      </c>
      <c r="I352" s="15">
        <v>18413</v>
      </c>
      <c r="J352" s="15">
        <v>0</v>
      </c>
      <c r="K352" s="15">
        <v>92049.3</v>
      </c>
      <c r="L352" s="15">
        <v>81109.87</v>
      </c>
      <c r="M352" s="15">
        <v>10939.43</v>
      </c>
      <c r="N352" s="34">
        <v>11.884316339179099</v>
      </c>
    </row>
    <row r="353" spans="1:14" x14ac:dyDescent="0.25">
      <c r="A353" t="e">
        <f t="shared" si="10"/>
        <v>#VALUE!</v>
      </c>
      <c r="B353" t="e">
        <f t="shared" si="11"/>
        <v>#VALUE!</v>
      </c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25">
      <c r="A354" t="e">
        <f t="shared" si="10"/>
        <v>#VALUE!</v>
      </c>
      <c r="B354" t="e">
        <f t="shared" si="11"/>
        <v>#VALUE!</v>
      </c>
      <c r="C354" s="14">
        <v>0</v>
      </c>
      <c r="D354" s="14">
        <v>0</v>
      </c>
      <c r="E354"/>
      <c r="F354"/>
      <c r="G354"/>
      <c r="H354"/>
      <c r="I354"/>
      <c r="J354"/>
      <c r="K354"/>
      <c r="L354"/>
      <c r="M354"/>
      <c r="N354"/>
    </row>
    <row r="355" spans="1:14" x14ac:dyDescent="0.25">
      <c r="A355" t="e">
        <f t="shared" si="10"/>
        <v>#VALUE!</v>
      </c>
      <c r="B355" t="e">
        <f t="shared" si="11"/>
        <v>#VALUE!</v>
      </c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25">
      <c r="A356" t="e">
        <f t="shared" si="10"/>
        <v>#VALUE!</v>
      </c>
      <c r="B356" t="e">
        <f t="shared" si="11"/>
        <v>#VALUE!</v>
      </c>
      <c r="D356" s="14">
        <v>0</v>
      </c>
      <c r="E356"/>
      <c r="F356"/>
      <c r="G356"/>
      <c r="H356"/>
      <c r="I356"/>
      <c r="J356"/>
      <c r="K356"/>
      <c r="L356"/>
      <c r="M356"/>
      <c r="N356"/>
    </row>
    <row r="357" spans="1:14" x14ac:dyDescent="0.25">
      <c r="A357" t="str">
        <f t="shared" si="10"/>
        <v>1276153</v>
      </c>
      <c r="B357" t="str">
        <f t="shared" si="11"/>
        <v xml:space="preserve"> Ziply - MT BAU SSP (2024-27)</v>
      </c>
      <c r="C357" t="s">
        <v>784</v>
      </c>
      <c r="D357" s="15">
        <v>792</v>
      </c>
      <c r="E357" s="15">
        <v>113.25</v>
      </c>
      <c r="F357" s="15">
        <v>678.75</v>
      </c>
      <c r="G357" s="34">
        <v>85.700757575757606</v>
      </c>
      <c r="H357" s="15">
        <v>2699.5</v>
      </c>
      <c r="I357" s="15">
        <v>16713.5</v>
      </c>
      <c r="J357" s="15">
        <v>0</v>
      </c>
      <c r="K357" s="15">
        <v>19413</v>
      </c>
      <c r="L357" s="15">
        <v>11974.38</v>
      </c>
      <c r="M357" s="15">
        <v>7438.62</v>
      </c>
      <c r="N357" s="34">
        <v>38.317725235666799</v>
      </c>
    </row>
    <row r="358" spans="1:14" x14ac:dyDescent="0.25">
      <c r="A358" t="e">
        <f t="shared" si="10"/>
        <v>#VALUE!</v>
      </c>
      <c r="B358" t="e">
        <f t="shared" si="11"/>
        <v>#VALUE!</v>
      </c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25">
      <c r="A359" t="e">
        <f t="shared" si="10"/>
        <v>#VALUE!</v>
      </c>
      <c r="B359" t="e">
        <f t="shared" si="11"/>
        <v>#VALUE!</v>
      </c>
      <c r="C359" s="14">
        <v>0</v>
      </c>
      <c r="D359" s="14">
        <v>0</v>
      </c>
      <c r="E359"/>
      <c r="F359"/>
      <c r="G359"/>
      <c r="H359"/>
      <c r="I359"/>
      <c r="J359"/>
      <c r="K359"/>
      <c r="L359"/>
      <c r="M359"/>
      <c r="N359"/>
    </row>
    <row r="360" spans="1:14" x14ac:dyDescent="0.25">
      <c r="A360" t="e">
        <f t="shared" si="10"/>
        <v>#VALUE!</v>
      </c>
      <c r="B360" t="e">
        <f t="shared" si="11"/>
        <v>#VALUE!</v>
      </c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25">
      <c r="A361" t="e">
        <f t="shared" si="10"/>
        <v>#VALUE!</v>
      </c>
      <c r="B361" t="e">
        <f t="shared" si="11"/>
        <v>#VALUE!</v>
      </c>
      <c r="D361" s="14">
        <v>0</v>
      </c>
      <c r="E361"/>
      <c r="F361"/>
      <c r="G361"/>
      <c r="H361"/>
      <c r="I361"/>
      <c r="J361"/>
      <c r="K361"/>
      <c r="L361"/>
      <c r="M361"/>
      <c r="N361"/>
    </row>
    <row r="362" spans="1:14" x14ac:dyDescent="0.25">
      <c r="A362" t="str">
        <f t="shared" si="10"/>
        <v>1385172</v>
      </c>
      <c r="B362" t="str">
        <f t="shared" si="11"/>
        <v xml:space="preserve"> Ziply - OR BAU SSP (2024-27)</v>
      </c>
      <c r="C362" t="s">
        <v>652</v>
      </c>
      <c r="D362" s="15">
        <v>695297.78</v>
      </c>
      <c r="E362" s="15">
        <v>537373.99</v>
      </c>
      <c r="F362" s="15">
        <v>157923.79</v>
      </c>
      <c r="G362" s="34">
        <v>22.713115810609999</v>
      </c>
      <c r="H362" s="15">
        <v>9618596.9199999999</v>
      </c>
      <c r="I362" s="15">
        <v>1841558.61</v>
      </c>
      <c r="J362" s="15">
        <v>0</v>
      </c>
      <c r="K362" s="15">
        <v>11460155.529999999</v>
      </c>
      <c r="L362" s="15">
        <v>9392780.9700000007</v>
      </c>
      <c r="M362" s="15">
        <v>2067374.56</v>
      </c>
      <c r="N362" s="34">
        <v>18.0396728001474</v>
      </c>
    </row>
    <row r="363" spans="1:14" x14ac:dyDescent="0.25">
      <c r="A363" t="e">
        <f t="shared" si="10"/>
        <v>#VALUE!</v>
      </c>
      <c r="B363" t="e">
        <f t="shared" si="11"/>
        <v>#VALUE!</v>
      </c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25">
      <c r="A364" t="e">
        <f t="shared" si="10"/>
        <v>#VALUE!</v>
      </c>
      <c r="B364" t="e">
        <f t="shared" si="11"/>
        <v>#VALUE!</v>
      </c>
      <c r="C364" s="14">
        <v>0</v>
      </c>
      <c r="D364" s="14">
        <v>0</v>
      </c>
      <c r="E364"/>
      <c r="F364"/>
      <c r="G364"/>
      <c r="H364"/>
      <c r="I364"/>
      <c r="J364"/>
      <c r="K364"/>
      <c r="L364"/>
      <c r="M364"/>
      <c r="N364"/>
    </row>
    <row r="365" spans="1:14" x14ac:dyDescent="0.25">
      <c r="A365" t="e">
        <f t="shared" si="10"/>
        <v>#VALUE!</v>
      </c>
      <c r="B365" t="e">
        <f t="shared" si="11"/>
        <v>#VALUE!</v>
      </c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25">
      <c r="A366" t="e">
        <f t="shared" si="10"/>
        <v>#VALUE!</v>
      </c>
      <c r="B366" t="e">
        <f t="shared" si="11"/>
        <v>#VALUE!</v>
      </c>
      <c r="D366" s="14">
        <v>0</v>
      </c>
      <c r="E366"/>
      <c r="F366"/>
      <c r="G366"/>
      <c r="H366"/>
      <c r="I366"/>
      <c r="J366"/>
      <c r="K366"/>
      <c r="L366"/>
      <c r="M366"/>
      <c r="N366"/>
    </row>
    <row r="367" spans="1:14" x14ac:dyDescent="0.25">
      <c r="A367" t="str">
        <f t="shared" si="10"/>
        <v>1385189</v>
      </c>
      <c r="B367" t="str">
        <f t="shared" si="11"/>
        <v xml:space="preserve"> Ziply - OR FTTP MSA (Alton)</v>
      </c>
      <c r="C367" t="s">
        <v>301</v>
      </c>
      <c r="D367" s="15">
        <v>101876.68</v>
      </c>
      <c r="E367" s="15">
        <v>74260.37</v>
      </c>
      <c r="F367" s="15">
        <v>27616.31</v>
      </c>
      <c r="G367" s="34">
        <v>27.107587330093601</v>
      </c>
      <c r="H367" s="15">
        <v>2321457.44</v>
      </c>
      <c r="I367" s="15">
        <v>427835.32</v>
      </c>
      <c r="J367" s="15">
        <v>0</v>
      </c>
      <c r="K367" s="15">
        <v>2749292.76</v>
      </c>
      <c r="L367" s="15">
        <v>1847035.38</v>
      </c>
      <c r="M367" s="15">
        <v>902257.38</v>
      </c>
      <c r="N367" s="34">
        <v>32.817799294681201</v>
      </c>
    </row>
    <row r="368" spans="1:14" x14ac:dyDescent="0.25">
      <c r="A368" t="e">
        <f t="shared" si="10"/>
        <v>#VALUE!</v>
      </c>
      <c r="B368" t="e">
        <f t="shared" si="11"/>
        <v>#VALUE!</v>
      </c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25">
      <c r="A369" t="e">
        <f t="shared" si="10"/>
        <v>#VALUE!</v>
      </c>
      <c r="B369" t="e">
        <f t="shared" si="11"/>
        <v>#VALUE!</v>
      </c>
      <c r="C369" s="14">
        <v>0</v>
      </c>
      <c r="D369" s="14">
        <v>0</v>
      </c>
      <c r="E369"/>
      <c r="F369"/>
      <c r="G369"/>
      <c r="H369"/>
      <c r="I369"/>
      <c r="J369"/>
      <c r="K369"/>
      <c r="L369"/>
      <c r="M369"/>
      <c r="N369"/>
    </row>
    <row r="370" spans="1:14" x14ac:dyDescent="0.25">
      <c r="A370" t="e">
        <f t="shared" si="10"/>
        <v>#VALUE!</v>
      </c>
      <c r="B370" t="e">
        <f t="shared" si="11"/>
        <v>#VALUE!</v>
      </c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25">
      <c r="A371" t="e">
        <f t="shared" si="10"/>
        <v>#VALUE!</v>
      </c>
      <c r="B371" t="e">
        <f t="shared" si="11"/>
        <v>#VALUE!</v>
      </c>
      <c r="D371" s="14">
        <v>0</v>
      </c>
      <c r="E371"/>
      <c r="F371"/>
      <c r="G371"/>
      <c r="H371"/>
      <c r="I371"/>
      <c r="J371"/>
      <c r="K371"/>
      <c r="L371"/>
      <c r="M371"/>
      <c r="N371"/>
    </row>
    <row r="372" spans="1:14" x14ac:dyDescent="0.25">
      <c r="A372" t="str">
        <f t="shared" si="10"/>
        <v>1386187</v>
      </c>
      <c r="B372" t="str">
        <f t="shared" si="11"/>
        <v xml:space="preserve"> Ziply - OR NESC Program</v>
      </c>
      <c r="C372" t="s">
        <v>689</v>
      </c>
      <c r="D372" s="15">
        <v>125221.6</v>
      </c>
      <c r="E372" s="15">
        <v>111533.25</v>
      </c>
      <c r="F372" s="15">
        <v>13688.35</v>
      </c>
      <c r="G372" s="34">
        <v>10.931300989605599</v>
      </c>
      <c r="H372" s="15">
        <v>90484.499999999898</v>
      </c>
      <c r="I372" s="15">
        <v>753774.74</v>
      </c>
      <c r="J372" s="15">
        <v>0</v>
      </c>
      <c r="K372" s="15">
        <v>844259.24</v>
      </c>
      <c r="L372" s="15">
        <v>790769.21</v>
      </c>
      <c r="M372" s="15">
        <v>53490.03</v>
      </c>
      <c r="N372" s="34">
        <v>6.3357352180119504</v>
      </c>
    </row>
    <row r="373" spans="1:14" x14ac:dyDescent="0.25">
      <c r="A373" t="e">
        <f t="shared" si="10"/>
        <v>#VALUE!</v>
      </c>
      <c r="B373" t="e">
        <f t="shared" si="11"/>
        <v>#VALUE!</v>
      </c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25">
      <c r="A374" t="e">
        <f t="shared" si="10"/>
        <v>#VALUE!</v>
      </c>
      <c r="B374" t="e">
        <f t="shared" si="11"/>
        <v>#VALUE!</v>
      </c>
      <c r="C374" s="14">
        <v>4834507.84</v>
      </c>
      <c r="D374" s="14">
        <v>4834507.84</v>
      </c>
      <c r="E374"/>
      <c r="F374"/>
      <c r="G374"/>
      <c r="H374"/>
      <c r="I374"/>
      <c r="J374"/>
      <c r="K374"/>
      <c r="L374"/>
      <c r="M374"/>
      <c r="N374"/>
    </row>
    <row r="375" spans="1:14" x14ac:dyDescent="0.25">
      <c r="A375" t="e">
        <f t="shared" si="10"/>
        <v>#VALUE!</v>
      </c>
      <c r="B375" t="e">
        <f t="shared" si="11"/>
        <v>#VALUE!</v>
      </c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25">
      <c r="A376" t="e">
        <f t="shared" si="10"/>
        <v>#VALUE!</v>
      </c>
      <c r="B376" t="e">
        <f t="shared" si="11"/>
        <v>#VALUE!</v>
      </c>
      <c r="D376" s="14">
        <v>0</v>
      </c>
      <c r="E376"/>
      <c r="F376"/>
      <c r="G376"/>
      <c r="H376"/>
      <c r="I376"/>
      <c r="J376"/>
      <c r="K376"/>
      <c r="L376"/>
      <c r="M376"/>
      <c r="N376"/>
    </row>
    <row r="377" spans="1:14" x14ac:dyDescent="0.25">
      <c r="A377" t="str">
        <f t="shared" si="10"/>
        <v>1484211</v>
      </c>
      <c r="B377" t="str">
        <f t="shared" si="11"/>
        <v xml:space="preserve"> Port of Woodland-2023-12 Ariel to Cougar</v>
      </c>
      <c r="C377" t="s">
        <v>195</v>
      </c>
      <c r="D377" s="15">
        <v>850.38</v>
      </c>
      <c r="E377" s="15">
        <v>130.19999999999999</v>
      </c>
      <c r="F377" s="15">
        <v>720.18</v>
      </c>
      <c r="G377" s="34">
        <v>84.689197770408498</v>
      </c>
      <c r="H377" s="15">
        <v>4822163.09</v>
      </c>
      <c r="I377" s="15">
        <v>9.2541085905395397E-11</v>
      </c>
      <c r="J377" s="15">
        <v>4834507.84</v>
      </c>
      <c r="K377" s="15">
        <v>4822163.09</v>
      </c>
      <c r="L377" s="15">
        <v>4172950.92</v>
      </c>
      <c r="M377" s="15">
        <v>649212.17000000004</v>
      </c>
      <c r="N377" s="34">
        <v>13.4630902747008</v>
      </c>
    </row>
    <row r="378" spans="1:14" x14ac:dyDescent="0.25">
      <c r="A378" t="e">
        <f t="shared" si="10"/>
        <v>#VALUE!</v>
      </c>
      <c r="B378" t="e">
        <f t="shared" si="11"/>
        <v>#VALUE!</v>
      </c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25">
      <c r="A379" t="e">
        <f t="shared" si="10"/>
        <v>#VALUE!</v>
      </c>
      <c r="B379" t="e">
        <f t="shared" si="11"/>
        <v>#VALUE!</v>
      </c>
      <c r="C379" s="14">
        <v>0</v>
      </c>
      <c r="D379" s="14">
        <v>0</v>
      </c>
      <c r="E379"/>
      <c r="F379"/>
      <c r="G379"/>
      <c r="H379"/>
      <c r="I379"/>
      <c r="J379"/>
      <c r="K379"/>
      <c r="L379"/>
      <c r="M379"/>
      <c r="N379"/>
    </row>
    <row r="380" spans="1:14" x14ac:dyDescent="0.25">
      <c r="A380" t="e">
        <f t="shared" si="10"/>
        <v>#VALUE!</v>
      </c>
      <c r="B380" t="e">
        <f t="shared" si="11"/>
        <v>#VALUE!</v>
      </c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25">
      <c r="A381" t="e">
        <f t="shared" si="10"/>
        <v>#VALUE!</v>
      </c>
      <c r="B381" t="e">
        <f t="shared" si="11"/>
        <v>#VALUE!</v>
      </c>
      <c r="D381" s="14">
        <v>0</v>
      </c>
      <c r="E381"/>
      <c r="F381"/>
      <c r="G381"/>
      <c r="H381"/>
      <c r="I381"/>
      <c r="J381"/>
      <c r="K381"/>
      <c r="L381"/>
      <c r="M381"/>
      <c r="N381"/>
    </row>
    <row r="382" spans="1:14" x14ac:dyDescent="0.25">
      <c r="A382" t="str">
        <f t="shared" si="10"/>
        <v>1485173</v>
      </c>
      <c r="B382" t="str">
        <f t="shared" si="11"/>
        <v xml:space="preserve"> Ziply - WA BAU SSP (legacy)</v>
      </c>
      <c r="C382" t="s">
        <v>653</v>
      </c>
      <c r="D382" s="15">
        <v>0</v>
      </c>
      <c r="E382" s="15">
        <v>0</v>
      </c>
      <c r="F382" s="15">
        <v>0</v>
      </c>
      <c r="G382" s="34">
        <v>0</v>
      </c>
      <c r="H382" s="15">
        <v>480781.43</v>
      </c>
      <c r="I382" s="15">
        <v>1.9781509763561199E-11</v>
      </c>
      <c r="J382" s="15">
        <v>0</v>
      </c>
      <c r="K382" s="15">
        <v>480781.43</v>
      </c>
      <c r="L382" s="15">
        <v>323789.28999999998</v>
      </c>
      <c r="M382" s="15">
        <v>156992.14000000001</v>
      </c>
      <c r="N382" s="34">
        <v>32.653536556101997</v>
      </c>
    </row>
    <row r="383" spans="1:14" x14ac:dyDescent="0.25">
      <c r="A383" t="e">
        <f t="shared" si="10"/>
        <v>#VALUE!</v>
      </c>
      <c r="B383" t="e">
        <f t="shared" si="11"/>
        <v>#VALUE!</v>
      </c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25">
      <c r="A384" t="e">
        <f t="shared" si="10"/>
        <v>#VALUE!</v>
      </c>
      <c r="B384" t="e">
        <f t="shared" si="11"/>
        <v>#VALUE!</v>
      </c>
      <c r="C384" s="14">
        <v>0</v>
      </c>
      <c r="D384" s="14">
        <v>0</v>
      </c>
      <c r="E384"/>
      <c r="F384"/>
      <c r="G384"/>
      <c r="H384"/>
      <c r="I384"/>
      <c r="J384"/>
      <c r="K384"/>
      <c r="L384"/>
      <c r="M384"/>
      <c r="N384"/>
    </row>
    <row r="385" spans="1:14" x14ac:dyDescent="0.25">
      <c r="A385" t="e">
        <f t="shared" si="10"/>
        <v>#VALUE!</v>
      </c>
      <c r="B385" t="e">
        <f t="shared" si="11"/>
        <v>#VALUE!</v>
      </c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25">
      <c r="A386" t="e">
        <f t="shared" si="10"/>
        <v>#VALUE!</v>
      </c>
      <c r="B386" t="e">
        <f t="shared" si="11"/>
        <v>#VALUE!</v>
      </c>
      <c r="D386" s="14">
        <v>0</v>
      </c>
      <c r="E386"/>
      <c r="F386"/>
      <c r="G386"/>
      <c r="H386"/>
      <c r="I386"/>
      <c r="J386"/>
      <c r="K386"/>
      <c r="L386"/>
      <c r="M386"/>
      <c r="N386"/>
    </row>
    <row r="387" spans="1:14" x14ac:dyDescent="0.25">
      <c r="A387" t="str">
        <f t="shared" si="10"/>
        <v>1485200</v>
      </c>
      <c r="B387" t="str">
        <f t="shared" si="11"/>
        <v xml:space="preserve"> Ziply - WA FTTP MSA (Alton)</v>
      </c>
      <c r="C387" t="s">
        <v>302</v>
      </c>
      <c r="D387" s="15">
        <v>28096.400000000001</v>
      </c>
      <c r="E387" s="15">
        <v>28548.14</v>
      </c>
      <c r="F387" s="15">
        <v>-451.74</v>
      </c>
      <c r="G387" s="34">
        <v>-1.60782164263037</v>
      </c>
      <c r="H387" s="15">
        <v>564752.32999999996</v>
      </c>
      <c r="I387" s="15">
        <v>159733.20000000001</v>
      </c>
      <c r="J387" s="15">
        <v>0</v>
      </c>
      <c r="K387" s="15">
        <v>724485.53</v>
      </c>
      <c r="L387" s="15">
        <v>541002.93000000005</v>
      </c>
      <c r="M387" s="15">
        <v>183482.6</v>
      </c>
      <c r="N387" s="34">
        <v>25.325916447220099</v>
      </c>
    </row>
    <row r="388" spans="1:14" x14ac:dyDescent="0.25">
      <c r="A388" t="e">
        <f t="shared" si="10"/>
        <v>#VALUE!</v>
      </c>
      <c r="B388" t="e">
        <f t="shared" si="11"/>
        <v>#VALUE!</v>
      </c>
      <c r="D388"/>
      <c r="E388" s="15"/>
      <c r="F388" s="15"/>
      <c r="G388" s="15"/>
      <c r="H388" s="15"/>
      <c r="I388" s="15"/>
      <c r="J388" s="15"/>
      <c r="K388" s="14"/>
      <c r="L388" s="15"/>
      <c r="M388" s="15"/>
      <c r="N388" s="14"/>
    </row>
    <row r="389" spans="1:14" x14ac:dyDescent="0.25">
      <c r="A389" t="e">
        <f t="shared" ref="A389:A452" si="12">LEFT(C389,FIND(" ",C389)-1)</f>
        <v>#VALUE!</v>
      </c>
      <c r="B389" t="e">
        <f t="shared" ref="B389:B452" si="13">RIGHT(C389,LEN(C389)-FIND(" ",C389))</f>
        <v>#VALUE!</v>
      </c>
      <c r="C389">
        <v>0</v>
      </c>
      <c r="D389">
        <v>0</v>
      </c>
      <c r="E389"/>
      <c r="F389"/>
      <c r="G389"/>
      <c r="H389"/>
      <c r="I389"/>
      <c r="J389"/>
      <c r="K389"/>
      <c r="L389"/>
      <c r="M389"/>
      <c r="N389"/>
    </row>
    <row r="390" spans="1:14" x14ac:dyDescent="0.25">
      <c r="A390" t="e">
        <f t="shared" si="12"/>
        <v>#VALUE!</v>
      </c>
      <c r="B390" t="e">
        <f t="shared" si="13"/>
        <v>#VALUE!</v>
      </c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25">
      <c r="A391" t="e">
        <f t="shared" si="12"/>
        <v>#VALUE!</v>
      </c>
      <c r="B391" t="e">
        <f t="shared" si="13"/>
        <v>#VALUE!</v>
      </c>
      <c r="C391" s="14"/>
      <c r="D391" s="14">
        <v>0</v>
      </c>
      <c r="E391"/>
      <c r="F391"/>
      <c r="G391"/>
      <c r="H391"/>
      <c r="I391"/>
      <c r="J391"/>
      <c r="K391"/>
      <c r="L391"/>
      <c r="M391"/>
      <c r="N391"/>
    </row>
    <row r="392" spans="1:14" x14ac:dyDescent="0.25">
      <c r="A392" t="str">
        <f t="shared" si="12"/>
        <v>1485212</v>
      </c>
      <c r="B392" t="str">
        <f t="shared" si="13"/>
        <v xml:space="preserve"> Ziply - Eastern WA BAU SSP (legacy)</v>
      </c>
      <c r="C392" t="s">
        <v>948</v>
      </c>
      <c r="D392">
        <v>68.2</v>
      </c>
      <c r="E392">
        <v>2438.87</v>
      </c>
      <c r="F392">
        <v>-2370.67</v>
      </c>
      <c r="G392">
        <v>-3476.0557184750701</v>
      </c>
      <c r="H392">
        <v>1482785.47</v>
      </c>
      <c r="I392">
        <v>14268.2</v>
      </c>
      <c r="J392">
        <v>0</v>
      </c>
      <c r="K392">
        <v>1497053.67</v>
      </c>
      <c r="L392">
        <v>1307757.8999999999</v>
      </c>
      <c r="M392">
        <v>189295.77</v>
      </c>
      <c r="N392">
        <v>12.6445546872077</v>
      </c>
    </row>
    <row r="393" spans="1:14" x14ac:dyDescent="0.25">
      <c r="A393" t="e">
        <f t="shared" si="12"/>
        <v>#VALUE!</v>
      </c>
      <c r="B393" t="e">
        <f t="shared" si="13"/>
        <v>#VALUE!</v>
      </c>
      <c r="D393" s="14"/>
      <c r="E393"/>
      <c r="F393"/>
      <c r="G393"/>
      <c r="H393"/>
      <c r="I393"/>
      <c r="J393"/>
      <c r="K393"/>
      <c r="L393"/>
      <c r="M393"/>
      <c r="N393"/>
    </row>
    <row r="394" spans="1:14" x14ac:dyDescent="0.25">
      <c r="A394" t="e">
        <f t="shared" si="12"/>
        <v>#VALUE!</v>
      </c>
      <c r="B394" t="e">
        <f t="shared" si="13"/>
        <v>#VALUE!</v>
      </c>
      <c r="C394">
        <v>0</v>
      </c>
      <c r="D394" s="15">
        <v>0</v>
      </c>
      <c r="E394" s="15"/>
      <c r="F394" s="15"/>
      <c r="G394" s="34"/>
      <c r="H394" s="15"/>
      <c r="I394" s="15"/>
      <c r="J394" s="15"/>
      <c r="K394" s="15"/>
      <c r="L394" s="15"/>
      <c r="M394" s="15"/>
      <c r="N394" s="34"/>
    </row>
    <row r="395" spans="1:14" x14ac:dyDescent="0.25">
      <c r="A395" t="e">
        <f t="shared" si="12"/>
        <v>#VALUE!</v>
      </c>
      <c r="B395" t="e">
        <f t="shared" si="13"/>
        <v>#VALUE!</v>
      </c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25">
      <c r="A396" t="e">
        <f t="shared" si="12"/>
        <v>#VALUE!</v>
      </c>
      <c r="B396" t="e">
        <f t="shared" si="13"/>
        <v>#VALUE!</v>
      </c>
      <c r="C396" s="14"/>
      <c r="D396" s="14">
        <v>0</v>
      </c>
      <c r="E396"/>
      <c r="F396"/>
      <c r="G396"/>
      <c r="H396"/>
      <c r="I396"/>
      <c r="J396"/>
      <c r="K396"/>
      <c r="L396"/>
      <c r="M396"/>
      <c r="N396"/>
    </row>
    <row r="397" spans="1:14" x14ac:dyDescent="0.25">
      <c r="A397" t="str">
        <f t="shared" si="12"/>
        <v>1485214</v>
      </c>
      <c r="B397" t="str">
        <f t="shared" si="13"/>
        <v xml:space="preserve"> Ziply - WA BAU SSP (2024-27)</v>
      </c>
      <c r="C397" t="s">
        <v>654</v>
      </c>
      <c r="D397">
        <v>152785.70000000001</v>
      </c>
      <c r="E397">
        <v>140882.91</v>
      </c>
      <c r="F397">
        <v>11902.79</v>
      </c>
      <c r="G397">
        <v>7.7905131173925302</v>
      </c>
      <c r="H397">
        <v>614066.09</v>
      </c>
      <c r="I397">
        <v>487533.22</v>
      </c>
      <c r="J397">
        <v>0</v>
      </c>
      <c r="K397">
        <v>1101599.31</v>
      </c>
      <c r="L397">
        <v>842855.11</v>
      </c>
      <c r="M397">
        <v>258744.2</v>
      </c>
      <c r="N397">
        <v>23.488050296618301</v>
      </c>
    </row>
    <row r="398" spans="1:14" x14ac:dyDescent="0.25">
      <c r="A398" t="e">
        <f t="shared" si="12"/>
        <v>#VALUE!</v>
      </c>
      <c r="B398" t="e">
        <f t="shared" si="13"/>
        <v>#VALUE!</v>
      </c>
      <c r="D398" s="14"/>
      <c r="E398"/>
      <c r="F398"/>
      <c r="G398"/>
      <c r="H398"/>
      <c r="I398"/>
      <c r="J398"/>
      <c r="K398"/>
      <c r="L398"/>
      <c r="M398"/>
      <c r="N398"/>
    </row>
    <row r="399" spans="1:14" x14ac:dyDescent="0.25">
      <c r="A399" t="e">
        <f t="shared" si="12"/>
        <v>#VALUE!</v>
      </c>
      <c r="B399" t="e">
        <f t="shared" si="13"/>
        <v>#VALUE!</v>
      </c>
      <c r="C399">
        <v>0</v>
      </c>
      <c r="D399" s="15">
        <v>0</v>
      </c>
      <c r="E399" s="15"/>
      <c r="F399" s="15"/>
      <c r="G399" s="34"/>
      <c r="H399" s="15"/>
      <c r="I399" s="15"/>
      <c r="J399" s="15"/>
      <c r="K399" s="15"/>
      <c r="L399" s="15"/>
      <c r="M399" s="15"/>
      <c r="N399" s="34"/>
    </row>
    <row r="400" spans="1:14" x14ac:dyDescent="0.25">
      <c r="A400" t="e">
        <f t="shared" si="12"/>
        <v>#VALUE!</v>
      </c>
      <c r="B400" t="e">
        <f t="shared" si="13"/>
        <v>#VALUE!</v>
      </c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25">
      <c r="A401" t="e">
        <f t="shared" si="12"/>
        <v>#VALUE!</v>
      </c>
      <c r="B401" t="e">
        <f t="shared" si="13"/>
        <v>#VALUE!</v>
      </c>
      <c r="C401" s="14"/>
      <c r="D401" s="14">
        <v>0</v>
      </c>
      <c r="E401"/>
      <c r="F401"/>
      <c r="G401"/>
      <c r="H401"/>
      <c r="I401"/>
      <c r="J401"/>
      <c r="K401"/>
      <c r="L401"/>
      <c r="M401"/>
      <c r="N401"/>
    </row>
    <row r="402" spans="1:14" x14ac:dyDescent="0.25">
      <c r="A402" t="str">
        <f t="shared" si="12"/>
        <v>1486200</v>
      </c>
      <c r="B402" t="str">
        <f t="shared" si="13"/>
        <v xml:space="preserve"> Ziply - WA NESC Program</v>
      </c>
      <c r="C402" t="s">
        <v>918</v>
      </c>
      <c r="D402">
        <v>22119.200000000001</v>
      </c>
      <c r="E402">
        <v>18807.830000000002</v>
      </c>
      <c r="F402">
        <v>3311.37</v>
      </c>
      <c r="G402">
        <v>14.9705685558248</v>
      </c>
      <c r="H402">
        <v>0</v>
      </c>
      <c r="I402">
        <v>90171.85</v>
      </c>
      <c r="J402">
        <v>0</v>
      </c>
      <c r="K402">
        <v>90171.85</v>
      </c>
      <c r="L402">
        <v>68062.259999999995</v>
      </c>
      <c r="M402">
        <v>22109.59</v>
      </c>
      <c r="N402">
        <v>24.519392692952401</v>
      </c>
    </row>
    <row r="403" spans="1:14" x14ac:dyDescent="0.25">
      <c r="A403" t="e">
        <f t="shared" si="12"/>
        <v>#VALUE!</v>
      </c>
      <c r="B403" t="e">
        <f t="shared" si="13"/>
        <v>#VALUE!</v>
      </c>
      <c r="C403" t="s">
        <v>76</v>
      </c>
      <c r="D403" s="14" t="s">
        <v>77</v>
      </c>
      <c r="E403">
        <v>1127107.94</v>
      </c>
      <c r="F403">
        <v>213019.13</v>
      </c>
      <c r="G403">
        <v>20071423.07</v>
      </c>
      <c r="H403">
        <v>23881424.710000001</v>
      </c>
      <c r="I403">
        <v>4501336.49</v>
      </c>
      <c r="J403">
        <v>914088.81</v>
      </c>
      <c r="K403">
        <v>18.899621095739999</v>
      </c>
      <c r="L403">
        <v>3810001.64</v>
      </c>
      <c r="M403">
        <v>19380088.219999999</v>
      </c>
      <c r="N403">
        <v>9.2580699302843197E-2</v>
      </c>
    </row>
    <row r="404" spans="1:14" x14ac:dyDescent="0.25">
      <c r="A404" t="e">
        <f t="shared" si="12"/>
        <v>#VALUE!</v>
      </c>
      <c r="B404" t="e">
        <f t="shared" si="13"/>
        <v>#VALUE!</v>
      </c>
      <c r="C404" t="s">
        <v>108</v>
      </c>
      <c r="D404" s="15" t="s">
        <v>109</v>
      </c>
      <c r="E404" s="15"/>
      <c r="F404" s="15"/>
      <c r="G404" s="34"/>
      <c r="H404" s="15"/>
      <c r="I404" s="15"/>
      <c r="J404" s="15"/>
      <c r="K404" s="15"/>
      <c r="L404" s="15"/>
      <c r="M404" s="15"/>
      <c r="N404" s="34"/>
    </row>
    <row r="405" spans="1:14" x14ac:dyDescent="0.25">
      <c r="A405" t="e">
        <f t="shared" si="12"/>
        <v>#VALUE!</v>
      </c>
      <c r="B405" t="e">
        <f t="shared" si="13"/>
        <v>#VALUE!</v>
      </c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25">
      <c r="A406" t="e">
        <f t="shared" si="12"/>
        <v>#VALUE!</v>
      </c>
      <c r="B406" t="e">
        <f t="shared" si="13"/>
        <v>#VALUE!</v>
      </c>
      <c r="C406" s="14">
        <v>0</v>
      </c>
      <c r="D406" s="14">
        <v>0</v>
      </c>
      <c r="E406"/>
      <c r="F406"/>
      <c r="G406"/>
      <c r="H406"/>
      <c r="I406"/>
      <c r="J406"/>
      <c r="K406"/>
      <c r="L406"/>
      <c r="M406"/>
      <c r="N406"/>
    </row>
    <row r="407" spans="1:14" x14ac:dyDescent="0.25">
      <c r="A407" t="e">
        <f t="shared" si="12"/>
        <v>#VALUE!</v>
      </c>
      <c r="B407" t="e">
        <f t="shared" si="13"/>
        <v>#VALUE!</v>
      </c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25">
      <c r="A408" t="e">
        <f t="shared" si="12"/>
        <v>#VALUE!</v>
      </c>
      <c r="B408" t="e">
        <f t="shared" si="13"/>
        <v>#VALUE!</v>
      </c>
      <c r="D408" s="14">
        <v>0</v>
      </c>
      <c r="E408"/>
      <c r="F408"/>
      <c r="G408"/>
      <c r="H408"/>
      <c r="I408"/>
      <c r="J408"/>
      <c r="K408"/>
      <c r="L408"/>
      <c r="M408"/>
      <c r="N408"/>
    </row>
    <row r="409" spans="1:14" x14ac:dyDescent="0.25">
      <c r="A409" t="str">
        <f t="shared" si="12"/>
        <v>1384161</v>
      </c>
      <c r="B409" t="str">
        <f t="shared" si="13"/>
        <v xml:space="preserve"> BCT - Hourly Maintenance</v>
      </c>
      <c r="C409" t="s">
        <v>655</v>
      </c>
      <c r="D409" s="15">
        <v>0</v>
      </c>
      <c r="E409" s="15">
        <v>-0.01</v>
      </c>
      <c r="F409" s="15">
        <v>0.01</v>
      </c>
      <c r="G409" s="34">
        <v>0</v>
      </c>
      <c r="H409" s="15">
        <v>311277.11</v>
      </c>
      <c r="I409" s="15">
        <v>0</v>
      </c>
      <c r="J409" s="15">
        <v>0</v>
      </c>
      <c r="K409" s="15">
        <v>311277.11</v>
      </c>
      <c r="L409" s="15">
        <v>236502.77</v>
      </c>
      <c r="M409" s="15">
        <v>74774.34</v>
      </c>
      <c r="N409" s="34">
        <v>24.0217920296163</v>
      </c>
    </row>
    <row r="410" spans="1:14" x14ac:dyDescent="0.25">
      <c r="A410" t="e">
        <f t="shared" si="12"/>
        <v>#VALUE!</v>
      </c>
      <c r="B410" t="e">
        <f t="shared" si="13"/>
        <v>#VALUE!</v>
      </c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25">
      <c r="A411" t="e">
        <f t="shared" si="12"/>
        <v>#VALUE!</v>
      </c>
      <c r="B411" t="e">
        <f t="shared" si="13"/>
        <v>#VALUE!</v>
      </c>
      <c r="C411" s="14">
        <v>0</v>
      </c>
      <c r="D411" s="14">
        <v>0</v>
      </c>
      <c r="E411"/>
      <c r="F411"/>
      <c r="G411"/>
      <c r="H411"/>
      <c r="I411"/>
      <c r="J411"/>
      <c r="K411"/>
      <c r="L411"/>
      <c r="M411"/>
      <c r="N411"/>
    </row>
    <row r="412" spans="1:14" x14ac:dyDescent="0.25">
      <c r="A412" t="e">
        <f t="shared" si="12"/>
        <v>#VALUE!</v>
      </c>
      <c r="B412" t="e">
        <f t="shared" si="13"/>
        <v>#VALUE!</v>
      </c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25">
      <c r="A413" t="e">
        <f t="shared" si="12"/>
        <v>#VALUE!</v>
      </c>
      <c r="B413" t="e">
        <f t="shared" si="13"/>
        <v>#VALUE!</v>
      </c>
      <c r="D413" s="14">
        <v>0</v>
      </c>
      <c r="E413"/>
      <c r="F413"/>
      <c r="G413"/>
      <c r="H413"/>
      <c r="I413"/>
      <c r="J413"/>
      <c r="K413"/>
      <c r="L413"/>
      <c r="M413"/>
      <c r="N413"/>
    </row>
    <row r="414" spans="1:14" x14ac:dyDescent="0.25">
      <c r="A414" t="str">
        <f t="shared" si="12"/>
        <v>1385127</v>
      </c>
      <c r="B414" t="str">
        <f t="shared" si="13"/>
        <v xml:space="preserve"> City of Portland-Splicing Maintenance 31</v>
      </c>
      <c r="C414" t="s">
        <v>186</v>
      </c>
      <c r="D414" s="15">
        <v>0</v>
      </c>
      <c r="E414" s="15">
        <v>0</v>
      </c>
      <c r="F414" s="15">
        <v>0</v>
      </c>
      <c r="G414" s="34">
        <v>0</v>
      </c>
      <c r="H414" s="15">
        <v>92216.75</v>
      </c>
      <c r="I414" s="15">
        <v>0</v>
      </c>
      <c r="J414" s="15">
        <v>0</v>
      </c>
      <c r="K414" s="15">
        <v>92216.75</v>
      </c>
      <c r="L414" s="15">
        <v>57914.34</v>
      </c>
      <c r="M414" s="15">
        <v>34302.410000000003</v>
      </c>
      <c r="N414" s="34">
        <v>37.1975915438356</v>
      </c>
    </row>
    <row r="415" spans="1:14" x14ac:dyDescent="0.25">
      <c r="A415" t="e">
        <f t="shared" si="12"/>
        <v>#VALUE!</v>
      </c>
      <c r="B415" t="e">
        <f t="shared" si="13"/>
        <v>#VALUE!</v>
      </c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25">
      <c r="A416" t="e">
        <f t="shared" si="12"/>
        <v>#VALUE!</v>
      </c>
      <c r="B416" t="e">
        <f t="shared" si="13"/>
        <v>#VALUE!</v>
      </c>
      <c r="C416" s="14">
        <v>20000</v>
      </c>
      <c r="D416" s="14">
        <v>20000</v>
      </c>
      <c r="E416"/>
      <c r="F416"/>
      <c r="G416"/>
      <c r="H416"/>
      <c r="I416"/>
      <c r="J416"/>
      <c r="K416"/>
      <c r="L416"/>
      <c r="M416"/>
      <c r="N416"/>
    </row>
    <row r="417" spans="1:14" x14ac:dyDescent="0.25">
      <c r="A417" t="e">
        <f t="shared" si="12"/>
        <v>#VALUE!</v>
      </c>
      <c r="B417" t="e">
        <f t="shared" si="13"/>
        <v>#VALUE!</v>
      </c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25">
      <c r="A418" t="e">
        <f t="shared" si="12"/>
        <v>#VALUE!</v>
      </c>
      <c r="B418" t="e">
        <f t="shared" si="13"/>
        <v>#VALUE!</v>
      </c>
      <c r="D418" s="14">
        <v>0</v>
      </c>
      <c r="E418"/>
      <c r="F418"/>
      <c r="G418"/>
      <c r="H418"/>
      <c r="I418"/>
      <c r="J418"/>
      <c r="K418"/>
      <c r="L418"/>
      <c r="M418"/>
      <c r="N418"/>
    </row>
    <row r="419" spans="1:14" x14ac:dyDescent="0.25">
      <c r="A419" t="str">
        <f t="shared" si="12"/>
        <v>1385130</v>
      </c>
      <c r="B419" t="str">
        <f t="shared" si="13"/>
        <v xml:space="preserve"> QLife-2024 Splicing and Aerial Maintenan</v>
      </c>
      <c r="C419" t="s">
        <v>187</v>
      </c>
      <c r="D419" s="15">
        <v>0</v>
      </c>
      <c r="E419" s="15">
        <v>236.23</v>
      </c>
      <c r="F419" s="15">
        <v>-236.23</v>
      </c>
      <c r="G419" s="34">
        <v>0</v>
      </c>
      <c r="H419" s="15">
        <v>131352.57999999999</v>
      </c>
      <c r="I419" s="15">
        <v>0</v>
      </c>
      <c r="J419" s="15">
        <v>20000</v>
      </c>
      <c r="K419" s="15">
        <v>131352.57999999999</v>
      </c>
      <c r="L419" s="15">
        <v>106553.63</v>
      </c>
      <c r="M419" s="15">
        <v>24798.95</v>
      </c>
      <c r="N419" s="34">
        <v>18.879682454657502</v>
      </c>
    </row>
    <row r="420" spans="1:14" x14ac:dyDescent="0.25">
      <c r="A420" t="e">
        <f t="shared" si="12"/>
        <v>#VALUE!</v>
      </c>
      <c r="B420" t="e">
        <f t="shared" si="13"/>
        <v>#VALUE!</v>
      </c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25">
      <c r="A421" t="e">
        <f t="shared" si="12"/>
        <v>#VALUE!</v>
      </c>
      <c r="B421" t="e">
        <f t="shared" si="13"/>
        <v>#VALUE!</v>
      </c>
      <c r="C421" s="14">
        <v>13200000</v>
      </c>
      <c r="D421" s="14">
        <v>13200000</v>
      </c>
      <c r="E421"/>
      <c r="F421"/>
      <c r="G421"/>
      <c r="H421"/>
      <c r="I421"/>
      <c r="J421"/>
      <c r="K421"/>
      <c r="L421"/>
      <c r="M421"/>
      <c r="N421"/>
    </row>
    <row r="422" spans="1:14" x14ac:dyDescent="0.25">
      <c r="A422" t="e">
        <f t="shared" si="12"/>
        <v>#VALUE!</v>
      </c>
      <c r="B422" t="e">
        <f t="shared" si="13"/>
        <v>#VALUE!</v>
      </c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25">
      <c r="A423" t="e">
        <f t="shared" si="12"/>
        <v>#VALUE!</v>
      </c>
      <c r="B423" t="e">
        <f t="shared" si="13"/>
        <v>#VALUE!</v>
      </c>
      <c r="D423" s="14">
        <v>0</v>
      </c>
      <c r="E423"/>
      <c r="F423"/>
      <c r="G423"/>
      <c r="H423"/>
      <c r="I423"/>
      <c r="J423"/>
      <c r="K423"/>
      <c r="L423"/>
      <c r="M423"/>
      <c r="N423"/>
    </row>
    <row r="424" spans="1:14" x14ac:dyDescent="0.25">
      <c r="A424" t="str">
        <f t="shared" si="12"/>
        <v>1385203</v>
      </c>
      <c r="B424" t="str">
        <f t="shared" si="13"/>
        <v xml:space="preserve"> Pioneer - Reconnect 3 - Phase 1</v>
      </c>
      <c r="C424" t="s">
        <v>587</v>
      </c>
      <c r="D424" s="15">
        <v>168507.55</v>
      </c>
      <c r="E424" s="15">
        <v>174352.41</v>
      </c>
      <c r="F424" s="15">
        <v>-5844.86</v>
      </c>
      <c r="G424" s="34">
        <v>-3.46860422574537</v>
      </c>
      <c r="H424" s="15">
        <v>12820560.720000001</v>
      </c>
      <c r="I424" s="15">
        <v>203419.05</v>
      </c>
      <c r="J424" s="15">
        <v>13200000</v>
      </c>
      <c r="K424" s="15">
        <v>13023979.77</v>
      </c>
      <c r="L424" s="15">
        <v>10948492.050000001</v>
      </c>
      <c r="M424" s="15">
        <v>2075487.72</v>
      </c>
      <c r="N424" s="34">
        <v>15.9358948390013</v>
      </c>
    </row>
    <row r="425" spans="1:14" x14ac:dyDescent="0.25">
      <c r="A425" t="e">
        <f t="shared" si="12"/>
        <v>#VALUE!</v>
      </c>
      <c r="B425" t="e">
        <f t="shared" si="13"/>
        <v>#VALUE!</v>
      </c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25">
      <c r="A426" t="e">
        <f t="shared" si="12"/>
        <v>#VALUE!</v>
      </c>
      <c r="B426" t="e">
        <f t="shared" si="13"/>
        <v>#VALUE!</v>
      </c>
      <c r="C426" s="14">
        <v>10500000</v>
      </c>
      <c r="D426" s="14">
        <v>10500000</v>
      </c>
      <c r="E426"/>
      <c r="F426"/>
      <c r="G426"/>
      <c r="H426"/>
      <c r="I426"/>
      <c r="J426"/>
      <c r="K426"/>
      <c r="L426"/>
      <c r="M426"/>
      <c r="N426"/>
    </row>
    <row r="427" spans="1:14" x14ac:dyDescent="0.25">
      <c r="A427" t="e">
        <f t="shared" si="12"/>
        <v>#VALUE!</v>
      </c>
      <c r="B427" t="e">
        <f t="shared" si="13"/>
        <v>#VALUE!</v>
      </c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25">
      <c r="A428" t="e">
        <f t="shared" si="12"/>
        <v>#VALUE!</v>
      </c>
      <c r="B428" t="e">
        <f t="shared" si="13"/>
        <v>#VALUE!</v>
      </c>
      <c r="D428" s="14">
        <v>0</v>
      </c>
      <c r="E428"/>
      <c r="F428"/>
      <c r="G428"/>
      <c r="H428"/>
      <c r="I428"/>
      <c r="J428"/>
      <c r="K428"/>
      <c r="L428"/>
      <c r="M428"/>
      <c r="N428"/>
    </row>
    <row r="429" spans="1:14" x14ac:dyDescent="0.25">
      <c r="A429" t="str">
        <f t="shared" si="12"/>
        <v>1385252</v>
      </c>
      <c r="B429" t="str">
        <f t="shared" si="13"/>
        <v xml:space="preserve"> Pioneer - Reconnect 3 - Phase 2</v>
      </c>
      <c r="C429" t="s">
        <v>588</v>
      </c>
      <c r="D429" s="15">
        <v>727796.54</v>
      </c>
      <c r="E429" s="15">
        <v>677520.79</v>
      </c>
      <c r="F429" s="15">
        <v>50275.75</v>
      </c>
      <c r="G429" s="34">
        <v>6.9079402328568396</v>
      </c>
      <c r="H429" s="15">
        <v>7535061.0599999996</v>
      </c>
      <c r="I429" s="15">
        <v>1253156.8999999999</v>
      </c>
      <c r="J429" s="15">
        <v>10500000</v>
      </c>
      <c r="K429" s="15">
        <v>8788217.9600000009</v>
      </c>
      <c r="L429" s="15">
        <v>7183339.3700000001</v>
      </c>
      <c r="M429" s="15">
        <v>1604878.59</v>
      </c>
      <c r="N429" s="34">
        <v>18.261706722622101</v>
      </c>
    </row>
    <row r="430" spans="1:14" x14ac:dyDescent="0.25">
      <c r="A430" t="e">
        <f t="shared" si="12"/>
        <v>#VALUE!</v>
      </c>
      <c r="B430" t="e">
        <f t="shared" si="13"/>
        <v>#VALUE!</v>
      </c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25">
      <c r="A431" t="e">
        <f t="shared" si="12"/>
        <v>#VALUE!</v>
      </c>
      <c r="B431" t="e">
        <f t="shared" si="13"/>
        <v>#VALUE!</v>
      </c>
      <c r="C431">
        <v>2491900</v>
      </c>
      <c r="D431">
        <v>2491900</v>
      </c>
      <c r="E431"/>
      <c r="F431"/>
      <c r="G431"/>
      <c r="H431"/>
      <c r="I431"/>
      <c r="J431"/>
      <c r="K431"/>
      <c r="L431"/>
      <c r="M431"/>
      <c r="N431"/>
    </row>
    <row r="432" spans="1:14" x14ac:dyDescent="0.25">
      <c r="A432" t="e">
        <f t="shared" si="12"/>
        <v>#VALUE!</v>
      </c>
      <c r="B432" t="e">
        <f t="shared" si="13"/>
        <v>#VALUE!</v>
      </c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25">
      <c r="A433" t="e">
        <f t="shared" si="12"/>
        <v>#VALUE!</v>
      </c>
      <c r="B433" t="e">
        <f t="shared" si="13"/>
        <v>#VALUE!</v>
      </c>
      <c r="D433" s="14">
        <v>0</v>
      </c>
      <c r="E433"/>
      <c r="F433"/>
      <c r="G433"/>
      <c r="H433"/>
      <c r="I433"/>
      <c r="J433"/>
      <c r="K433"/>
      <c r="L433"/>
      <c r="M433"/>
      <c r="N433"/>
    </row>
    <row r="434" spans="1:14" x14ac:dyDescent="0.25">
      <c r="A434" t="str">
        <f t="shared" si="12"/>
        <v>1385256</v>
      </c>
      <c r="B434" t="str">
        <f t="shared" si="13"/>
        <v xml:space="preserve"> Clackamas County-Marmot Road</v>
      </c>
      <c r="C434" t="s">
        <v>295</v>
      </c>
      <c r="D434" s="15">
        <v>137569.54999999999</v>
      </c>
      <c r="E434" s="15">
        <v>174731.71</v>
      </c>
      <c r="F434" s="15">
        <v>-37162.160000000003</v>
      </c>
      <c r="G434" s="34">
        <v>-27.0133616050936</v>
      </c>
      <c r="H434" s="15">
        <v>1822029.9</v>
      </c>
      <c r="I434" s="15">
        <v>168769.55</v>
      </c>
      <c r="J434" s="15">
        <v>2491900</v>
      </c>
      <c r="K434" s="15">
        <v>1990799.45</v>
      </c>
      <c r="L434" s="15">
        <v>1832899.85</v>
      </c>
      <c r="M434" s="15">
        <v>157899.6</v>
      </c>
      <c r="N434" s="34">
        <v>7.9314669290269304</v>
      </c>
    </row>
    <row r="435" spans="1:14" x14ac:dyDescent="0.25">
      <c r="A435" t="e">
        <f t="shared" si="12"/>
        <v>#VALUE!</v>
      </c>
      <c r="B435" t="e">
        <f t="shared" si="13"/>
        <v>#VALUE!</v>
      </c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25">
      <c r="A436" t="e">
        <f t="shared" si="12"/>
        <v>#VALUE!</v>
      </c>
      <c r="B436" t="e">
        <f t="shared" si="13"/>
        <v>#VALUE!</v>
      </c>
      <c r="C436" s="14">
        <v>5993065</v>
      </c>
      <c r="D436" s="14">
        <v>5993065</v>
      </c>
      <c r="E436"/>
      <c r="F436"/>
      <c r="G436"/>
      <c r="H436"/>
      <c r="I436"/>
      <c r="J436"/>
      <c r="K436"/>
      <c r="L436"/>
      <c r="M436"/>
      <c r="N436"/>
    </row>
    <row r="437" spans="1:14" x14ac:dyDescent="0.25">
      <c r="A437" t="e">
        <f t="shared" si="12"/>
        <v>#VALUE!</v>
      </c>
      <c r="B437" t="e">
        <f t="shared" si="13"/>
        <v>#VALUE!</v>
      </c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25">
      <c r="A438" t="e">
        <f t="shared" si="12"/>
        <v>#VALUE!</v>
      </c>
      <c r="B438" t="e">
        <f t="shared" si="13"/>
        <v>#VALUE!</v>
      </c>
      <c r="D438" s="14">
        <v>0</v>
      </c>
      <c r="E438"/>
      <c r="F438"/>
      <c r="G438"/>
      <c r="H438"/>
      <c r="I438"/>
      <c r="J438"/>
      <c r="K438"/>
      <c r="L438"/>
      <c r="M438"/>
      <c r="N438"/>
    </row>
    <row r="439" spans="1:14" x14ac:dyDescent="0.25">
      <c r="A439" t="str">
        <f t="shared" si="12"/>
        <v>1386152</v>
      </c>
      <c r="B439" t="str">
        <f t="shared" si="13"/>
        <v xml:space="preserve"> City of Sherwood - Broadband Expansion</v>
      </c>
      <c r="C439" t="s">
        <v>656</v>
      </c>
      <c r="D439" s="15">
        <v>501479.36</v>
      </c>
      <c r="E439" s="15">
        <v>541827.06000000006</v>
      </c>
      <c r="F439" s="15">
        <v>-40347.699999999997</v>
      </c>
      <c r="G439" s="34">
        <v>-8.0457349231681192</v>
      </c>
      <c r="H439" s="15">
        <v>3118839.87</v>
      </c>
      <c r="I439" s="15">
        <v>864605.35</v>
      </c>
      <c r="J439" s="15">
        <v>5993065</v>
      </c>
      <c r="K439" s="15">
        <v>3983445.22</v>
      </c>
      <c r="L439" s="15">
        <v>3830939.53</v>
      </c>
      <c r="M439" s="15">
        <v>152505.69</v>
      </c>
      <c r="N439" s="34">
        <v>3.8284871907941</v>
      </c>
    </row>
    <row r="440" spans="1:14" x14ac:dyDescent="0.25">
      <c r="A440" t="e">
        <f t="shared" si="12"/>
        <v>#VALUE!</v>
      </c>
      <c r="B440" t="e">
        <f t="shared" si="13"/>
        <v>#VALUE!</v>
      </c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25">
      <c r="A441" t="e">
        <f t="shared" si="12"/>
        <v>#VALUE!</v>
      </c>
      <c r="B441" t="e">
        <f t="shared" si="13"/>
        <v>#VALUE!</v>
      </c>
      <c r="C441">
        <v>251255</v>
      </c>
      <c r="D441">
        <v>251255</v>
      </c>
      <c r="E441"/>
      <c r="F441"/>
      <c r="G441"/>
      <c r="H441"/>
      <c r="I441"/>
      <c r="J441"/>
      <c r="K441"/>
      <c r="L441"/>
      <c r="M441"/>
      <c r="N441"/>
    </row>
    <row r="442" spans="1:14" x14ac:dyDescent="0.25">
      <c r="A442" t="e">
        <f t="shared" si="12"/>
        <v>#VALUE!</v>
      </c>
      <c r="B442" t="e">
        <f t="shared" si="13"/>
        <v>#VALUE!</v>
      </c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25">
      <c r="A443" t="e">
        <f t="shared" si="12"/>
        <v>#VALUE!</v>
      </c>
      <c r="B443" t="e">
        <f t="shared" si="13"/>
        <v>#VALUE!</v>
      </c>
      <c r="D443" s="14">
        <v>0</v>
      </c>
      <c r="E443"/>
      <c r="F443"/>
      <c r="G443"/>
      <c r="H443"/>
      <c r="I443"/>
      <c r="J443"/>
      <c r="K443"/>
      <c r="L443"/>
      <c r="M443"/>
      <c r="N443"/>
    </row>
    <row r="444" spans="1:14" x14ac:dyDescent="0.25">
      <c r="A444" t="str">
        <f t="shared" si="12"/>
        <v>1386155</v>
      </c>
      <c r="B444" t="str">
        <f t="shared" si="13"/>
        <v xml:space="preserve"> Oregon Tel - Mega Loads</v>
      </c>
      <c r="C444" t="s">
        <v>601</v>
      </c>
      <c r="D444" s="15">
        <v>0</v>
      </c>
      <c r="E444" s="15">
        <v>0</v>
      </c>
      <c r="F444" s="15">
        <v>0</v>
      </c>
      <c r="G444" s="34">
        <v>0</v>
      </c>
      <c r="H444" s="15">
        <v>57050</v>
      </c>
      <c r="I444" s="15">
        <v>0</v>
      </c>
      <c r="J444" s="15">
        <v>251255</v>
      </c>
      <c r="K444" s="15">
        <v>57050</v>
      </c>
      <c r="L444" s="15">
        <v>31073.21</v>
      </c>
      <c r="M444" s="15">
        <v>25976.79</v>
      </c>
      <c r="N444" s="34">
        <v>45.533374233128797</v>
      </c>
    </row>
    <row r="445" spans="1:14" x14ac:dyDescent="0.25">
      <c r="A445" t="e">
        <f t="shared" si="12"/>
        <v>#VALUE!</v>
      </c>
      <c r="B445" t="e">
        <f t="shared" si="13"/>
        <v>#VALUE!</v>
      </c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25">
      <c r="A446" t="e">
        <f t="shared" si="12"/>
        <v>#VALUE!</v>
      </c>
      <c r="B446" t="e">
        <f t="shared" si="13"/>
        <v>#VALUE!</v>
      </c>
      <c r="C446" s="14"/>
      <c r="D446" s="14"/>
      <c r="E446"/>
      <c r="F446"/>
      <c r="G446"/>
      <c r="H446"/>
      <c r="I446"/>
      <c r="J446"/>
      <c r="K446"/>
      <c r="L446"/>
      <c r="M446"/>
      <c r="N446"/>
    </row>
    <row r="447" spans="1:14" x14ac:dyDescent="0.25">
      <c r="A447" t="e">
        <f t="shared" si="12"/>
        <v>#VALUE!</v>
      </c>
      <c r="B447" t="e">
        <f t="shared" si="13"/>
        <v>#VALUE!</v>
      </c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25">
      <c r="A448" t="e">
        <f t="shared" si="12"/>
        <v>#VALUE!</v>
      </c>
      <c r="B448" t="e">
        <f t="shared" si="13"/>
        <v>#VALUE!</v>
      </c>
      <c r="D448" s="14">
        <v>0</v>
      </c>
      <c r="E448"/>
      <c r="F448"/>
      <c r="G448"/>
      <c r="H448"/>
      <c r="I448"/>
      <c r="J448"/>
      <c r="K448"/>
      <c r="L448"/>
      <c r="M448"/>
      <c r="N448"/>
    </row>
    <row r="449" spans="1:14" x14ac:dyDescent="0.25">
      <c r="A449" t="str">
        <f t="shared" si="12"/>
        <v>1386198</v>
      </c>
      <c r="B449" t="str">
        <f t="shared" si="13"/>
        <v xml:space="preserve"> City of Hillsboro - HiLight Network MSA</v>
      </c>
      <c r="C449" t="s">
        <v>737</v>
      </c>
      <c r="D449" s="15">
        <v>0</v>
      </c>
      <c r="E449" s="15">
        <v>0</v>
      </c>
      <c r="F449" s="15">
        <v>0</v>
      </c>
      <c r="G449" s="34">
        <v>0</v>
      </c>
      <c r="H449" s="15">
        <v>0</v>
      </c>
      <c r="I449" s="15">
        <v>0</v>
      </c>
      <c r="J449" s="15">
        <v>0</v>
      </c>
      <c r="K449" s="15">
        <v>0</v>
      </c>
      <c r="L449" s="15">
        <v>0.01</v>
      </c>
      <c r="M449" s="15">
        <v>-0.01</v>
      </c>
      <c r="N449" s="34">
        <v>0</v>
      </c>
    </row>
    <row r="450" spans="1:14" x14ac:dyDescent="0.25">
      <c r="A450" t="e">
        <f t="shared" si="12"/>
        <v>#VALUE!</v>
      </c>
      <c r="B450" t="e">
        <f t="shared" si="13"/>
        <v>#VALUE!</v>
      </c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25">
      <c r="A451" t="e">
        <f t="shared" si="12"/>
        <v>#VALUE!</v>
      </c>
      <c r="B451" t="e">
        <f t="shared" si="13"/>
        <v>#VALUE!</v>
      </c>
      <c r="C451" s="14">
        <v>2474838.67</v>
      </c>
      <c r="D451" s="14">
        <v>2474838.67</v>
      </c>
      <c r="E451"/>
      <c r="F451"/>
      <c r="G451"/>
      <c r="H451"/>
      <c r="I451"/>
      <c r="J451"/>
      <c r="K451"/>
      <c r="L451"/>
      <c r="M451"/>
      <c r="N451"/>
    </row>
    <row r="452" spans="1:14" x14ac:dyDescent="0.25">
      <c r="A452" t="e">
        <f t="shared" si="12"/>
        <v>#VALUE!</v>
      </c>
      <c r="B452" t="e">
        <f t="shared" si="13"/>
        <v>#VALUE!</v>
      </c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25">
      <c r="A453" t="e">
        <f t="shared" ref="A453:A516" si="14">LEFT(C453,FIND(" ",C453)-1)</f>
        <v>#VALUE!</v>
      </c>
      <c r="B453" t="e">
        <f t="shared" ref="B453:B516" si="15">RIGHT(C453,LEN(C453)-FIND(" ",C453))</f>
        <v>#VALUE!</v>
      </c>
      <c r="D453" s="14">
        <v>0</v>
      </c>
      <c r="E453"/>
      <c r="F453"/>
      <c r="G453"/>
      <c r="H453"/>
      <c r="I453"/>
      <c r="J453"/>
      <c r="K453"/>
      <c r="L453"/>
      <c r="M453"/>
      <c r="N453"/>
    </row>
    <row r="454" spans="1:14" x14ac:dyDescent="0.25">
      <c r="A454" t="str">
        <f t="shared" si="14"/>
        <v>1386233</v>
      </c>
      <c r="B454" t="str">
        <f t="shared" si="15"/>
        <v xml:space="preserve"> Oregon Tel - Long Creek to Monument</v>
      </c>
      <c r="C454" t="s">
        <v>925</v>
      </c>
      <c r="D454" s="15">
        <v>663437.46</v>
      </c>
      <c r="E454" s="15">
        <v>431317.26</v>
      </c>
      <c r="F454" s="15">
        <v>232120.2</v>
      </c>
      <c r="G454" s="34">
        <v>34.987502816015301</v>
      </c>
      <c r="H454" s="15">
        <v>1435078.11</v>
      </c>
      <c r="I454" s="15">
        <v>398707.22</v>
      </c>
      <c r="J454" s="15">
        <v>2474838.67</v>
      </c>
      <c r="K454" s="15">
        <v>1833785.33</v>
      </c>
      <c r="L454" s="15">
        <v>1330854.5</v>
      </c>
      <c r="M454" s="15">
        <v>502930.83</v>
      </c>
      <c r="N454" s="34">
        <v>27.4258290636451</v>
      </c>
    </row>
    <row r="455" spans="1:14" x14ac:dyDescent="0.25">
      <c r="A455" t="e">
        <f t="shared" si="14"/>
        <v>#VALUE!</v>
      </c>
      <c r="B455" t="e">
        <f t="shared" si="15"/>
        <v>#VALUE!</v>
      </c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25">
      <c r="A456" t="e">
        <f t="shared" si="14"/>
        <v>#VALUE!</v>
      </c>
      <c r="B456" t="e">
        <f t="shared" si="15"/>
        <v>#VALUE!</v>
      </c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25">
      <c r="A457" t="e">
        <f t="shared" si="14"/>
        <v>#VALUE!</v>
      </c>
      <c r="B457" t="e">
        <f t="shared" si="15"/>
        <v>#VALUE!</v>
      </c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25">
      <c r="A458" t="e">
        <f t="shared" si="14"/>
        <v>#VALUE!</v>
      </c>
      <c r="B458" t="e">
        <f t="shared" si="15"/>
        <v>#VALUE!</v>
      </c>
      <c r="D458" s="14">
        <v>0</v>
      </c>
      <c r="E458"/>
      <c r="F458"/>
      <c r="G458"/>
      <c r="H458"/>
      <c r="I458"/>
      <c r="J458"/>
      <c r="K458"/>
      <c r="L458"/>
      <c r="M458"/>
      <c r="N458"/>
    </row>
    <row r="459" spans="1:14" x14ac:dyDescent="0.25">
      <c r="A459" t="str">
        <f t="shared" si="14"/>
        <v>1386239</v>
      </c>
      <c r="B459" t="str">
        <f t="shared" si="15"/>
        <v xml:space="preserve"> Warm Springs - Drops only</v>
      </c>
      <c r="C459" t="s">
        <v>854</v>
      </c>
      <c r="D459" s="15">
        <v>0</v>
      </c>
      <c r="E459" s="15">
        <v>26753.49</v>
      </c>
      <c r="F459" s="15">
        <v>-26753.49</v>
      </c>
      <c r="G459" s="34">
        <v>0</v>
      </c>
      <c r="H459" s="15">
        <v>0</v>
      </c>
      <c r="I459" s="15">
        <v>0</v>
      </c>
      <c r="J459" s="15">
        <v>0</v>
      </c>
      <c r="K459" s="15">
        <v>0</v>
      </c>
      <c r="L459" s="15">
        <v>26392.26</v>
      </c>
      <c r="M459" s="15">
        <v>-26392.26</v>
      </c>
      <c r="N459" s="34">
        <v>0</v>
      </c>
    </row>
    <row r="460" spans="1:14" x14ac:dyDescent="0.25">
      <c r="A460" t="e">
        <f t="shared" si="14"/>
        <v>#VALUE!</v>
      </c>
      <c r="B460" t="e">
        <f t="shared" si="15"/>
        <v>#VALUE!</v>
      </c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25">
      <c r="A461" t="e">
        <f t="shared" si="14"/>
        <v>#VALUE!</v>
      </c>
      <c r="B461" t="e">
        <f t="shared" si="15"/>
        <v>#VALUE!</v>
      </c>
      <c r="C461" s="14">
        <v>0</v>
      </c>
      <c r="D461" s="14">
        <v>0</v>
      </c>
      <c r="E461"/>
      <c r="F461"/>
      <c r="G461"/>
      <c r="H461"/>
      <c r="I461"/>
      <c r="J461"/>
      <c r="K461"/>
      <c r="L461"/>
      <c r="M461"/>
      <c r="N461"/>
    </row>
    <row r="462" spans="1:14" x14ac:dyDescent="0.25">
      <c r="A462" t="e">
        <f t="shared" si="14"/>
        <v>#VALUE!</v>
      </c>
      <c r="B462" t="e">
        <f t="shared" si="15"/>
        <v>#VALUE!</v>
      </c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25">
      <c r="A463" t="e">
        <f t="shared" si="14"/>
        <v>#VALUE!</v>
      </c>
      <c r="B463" t="e">
        <f t="shared" si="15"/>
        <v>#VALUE!</v>
      </c>
      <c r="D463" s="14">
        <v>0</v>
      </c>
      <c r="E463"/>
      <c r="F463"/>
      <c r="G463"/>
      <c r="H463"/>
      <c r="I463"/>
      <c r="J463"/>
      <c r="K463"/>
      <c r="L463"/>
      <c r="M463"/>
      <c r="N463"/>
    </row>
    <row r="464" spans="1:14" x14ac:dyDescent="0.25">
      <c r="A464" t="str">
        <f t="shared" si="14"/>
        <v>1386253</v>
      </c>
      <c r="B464" t="str">
        <f t="shared" si="15"/>
        <v xml:space="preserve"> Consumer Power - Marval Rd Joint Trench</v>
      </c>
      <c r="C464" t="s">
        <v>899</v>
      </c>
      <c r="D464" s="15">
        <v>-351.4</v>
      </c>
      <c r="E464" s="15">
        <v>-323.83</v>
      </c>
      <c r="F464" s="15">
        <v>-27.57</v>
      </c>
      <c r="G464" s="34">
        <v>0</v>
      </c>
      <c r="H464" s="15">
        <v>-1.16415321826935E-12</v>
      </c>
      <c r="I464" s="15">
        <v>41565.599999999999</v>
      </c>
      <c r="J464" s="15">
        <v>0</v>
      </c>
      <c r="K464" s="15">
        <v>41565.599999999999</v>
      </c>
      <c r="L464" s="15">
        <v>25518.3</v>
      </c>
      <c r="M464" s="15">
        <v>16047.3</v>
      </c>
      <c r="N464" s="34">
        <v>38.6071655407356</v>
      </c>
    </row>
    <row r="465" spans="1:14" x14ac:dyDescent="0.25">
      <c r="A465" t="e">
        <f t="shared" si="14"/>
        <v>#VALUE!</v>
      </c>
      <c r="B465" t="e">
        <f t="shared" si="15"/>
        <v>#VALUE!</v>
      </c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25">
      <c r="A466" t="e">
        <f t="shared" si="14"/>
        <v>#VALUE!</v>
      </c>
      <c r="B466" t="e">
        <f t="shared" si="15"/>
        <v>#VALUE!</v>
      </c>
      <c r="C466" s="14">
        <v>3455</v>
      </c>
      <c r="D466" s="14">
        <v>3455</v>
      </c>
      <c r="E466"/>
      <c r="F466"/>
      <c r="G466"/>
      <c r="H466"/>
      <c r="I466"/>
      <c r="J466"/>
      <c r="K466"/>
      <c r="L466"/>
      <c r="M466"/>
      <c r="N466"/>
    </row>
    <row r="467" spans="1:14" x14ac:dyDescent="0.25">
      <c r="A467" t="e">
        <f t="shared" si="14"/>
        <v>#VALUE!</v>
      </c>
      <c r="B467" t="e">
        <f t="shared" si="15"/>
        <v>#VALUE!</v>
      </c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25">
      <c r="A468" t="e">
        <f t="shared" si="14"/>
        <v>#VALUE!</v>
      </c>
      <c r="B468" t="e">
        <f t="shared" si="15"/>
        <v>#VALUE!</v>
      </c>
      <c r="D468" s="14">
        <v>0</v>
      </c>
      <c r="E468"/>
      <c r="F468"/>
      <c r="G468"/>
      <c r="H468"/>
      <c r="I468"/>
      <c r="J468"/>
      <c r="K468"/>
      <c r="L468"/>
      <c r="M468"/>
      <c r="N468"/>
    </row>
    <row r="469" spans="1:14" x14ac:dyDescent="0.25">
      <c r="A469" t="str">
        <f t="shared" si="14"/>
        <v>1386274</v>
      </c>
      <c r="B469" t="str">
        <f t="shared" si="15"/>
        <v xml:space="preserve"> DirectLink - Molalla Forest Ped Removals</v>
      </c>
      <c r="C469" t="s">
        <v>1143</v>
      </c>
      <c r="D469" s="15">
        <v>0</v>
      </c>
      <c r="E469" s="15">
        <v>0</v>
      </c>
      <c r="F469" s="15">
        <v>0</v>
      </c>
      <c r="G469" s="34">
        <v>0</v>
      </c>
      <c r="H469" s="15">
        <v>3030</v>
      </c>
      <c r="I469" s="15">
        <v>0</v>
      </c>
      <c r="J469" s="15">
        <v>3455</v>
      </c>
      <c r="K469" s="15">
        <v>3030</v>
      </c>
      <c r="L469" s="15">
        <v>3595.26</v>
      </c>
      <c r="M469" s="15">
        <v>-565.26</v>
      </c>
      <c r="N469" s="34">
        <v>-18.6554455445545</v>
      </c>
    </row>
    <row r="470" spans="1:14" x14ac:dyDescent="0.25">
      <c r="A470" t="e">
        <f t="shared" si="14"/>
        <v>#VALUE!</v>
      </c>
      <c r="B470" t="e">
        <f t="shared" si="15"/>
        <v>#VALUE!</v>
      </c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25">
      <c r="A471" t="e">
        <f t="shared" si="14"/>
        <v>#VALUE!</v>
      </c>
      <c r="B471" t="e">
        <f t="shared" si="15"/>
        <v>#VALUE!</v>
      </c>
      <c r="C471" s="14">
        <v>0</v>
      </c>
      <c r="D471" s="14">
        <v>0</v>
      </c>
      <c r="E471"/>
      <c r="F471"/>
      <c r="G471"/>
      <c r="H471"/>
      <c r="I471"/>
      <c r="J471"/>
      <c r="K471"/>
      <c r="L471"/>
      <c r="M471"/>
      <c r="N471"/>
    </row>
    <row r="472" spans="1:14" x14ac:dyDescent="0.25">
      <c r="A472" t="e">
        <f t="shared" si="14"/>
        <v>#VALUE!</v>
      </c>
      <c r="B472" t="e">
        <f t="shared" si="15"/>
        <v>#VALUE!</v>
      </c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25">
      <c r="A473" t="e">
        <f t="shared" si="14"/>
        <v>#VALUE!</v>
      </c>
      <c r="B473" t="e">
        <f t="shared" si="15"/>
        <v>#VALUE!</v>
      </c>
      <c r="D473" s="14">
        <v>0</v>
      </c>
      <c r="E473"/>
      <c r="F473"/>
      <c r="G473"/>
      <c r="H473"/>
      <c r="I473"/>
      <c r="J473"/>
      <c r="K473"/>
      <c r="L473"/>
      <c r="M473"/>
      <c r="N473"/>
    </row>
    <row r="474" spans="1:14" x14ac:dyDescent="0.25">
      <c r="A474" t="str">
        <f t="shared" si="14"/>
        <v>1386287</v>
      </c>
      <c r="B474" t="str">
        <f t="shared" si="15"/>
        <v xml:space="preserve"> CPI - 17340 Little Lobster Valley Rd</v>
      </c>
      <c r="C474" t="s">
        <v>1100</v>
      </c>
      <c r="D474" s="15">
        <v>10040</v>
      </c>
      <c r="E474" s="15">
        <v>7082.66</v>
      </c>
      <c r="F474" s="15">
        <v>2957.34</v>
      </c>
      <c r="G474" s="34">
        <v>29.455577689243</v>
      </c>
      <c r="H474" s="15">
        <v>0</v>
      </c>
      <c r="I474" s="15">
        <v>10040</v>
      </c>
      <c r="J474" s="15">
        <v>0</v>
      </c>
      <c r="K474" s="15">
        <v>10040</v>
      </c>
      <c r="L474" s="15">
        <v>7082.66</v>
      </c>
      <c r="M474" s="15">
        <v>2957.34</v>
      </c>
      <c r="N474" s="34">
        <v>29.455577689243</v>
      </c>
    </row>
    <row r="475" spans="1:14" x14ac:dyDescent="0.25">
      <c r="A475" t="e">
        <f t="shared" si="14"/>
        <v>#VALUE!</v>
      </c>
      <c r="B475" t="e">
        <f t="shared" si="15"/>
        <v>#VALUE!</v>
      </c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25">
      <c r="A476" t="e">
        <f t="shared" si="14"/>
        <v>#VALUE!</v>
      </c>
      <c r="B476" t="e">
        <f t="shared" si="15"/>
        <v>#VALUE!</v>
      </c>
      <c r="C476" s="14">
        <v>0</v>
      </c>
      <c r="D476" s="14">
        <v>0</v>
      </c>
      <c r="E476"/>
      <c r="F476"/>
      <c r="G476"/>
      <c r="H476"/>
      <c r="I476"/>
      <c r="J476"/>
      <c r="K476"/>
      <c r="L476"/>
      <c r="M476"/>
      <c r="N476"/>
    </row>
    <row r="477" spans="1:14" x14ac:dyDescent="0.25">
      <c r="A477" t="e">
        <f t="shared" si="14"/>
        <v>#VALUE!</v>
      </c>
      <c r="B477" t="e">
        <f t="shared" si="15"/>
        <v>#VALUE!</v>
      </c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25">
      <c r="A478" t="e">
        <f t="shared" si="14"/>
        <v>#VALUE!</v>
      </c>
      <c r="B478" t="e">
        <f t="shared" si="15"/>
        <v>#VALUE!</v>
      </c>
      <c r="D478" s="14">
        <v>0</v>
      </c>
      <c r="E478"/>
      <c r="F478"/>
      <c r="G478"/>
      <c r="H478"/>
      <c r="I478"/>
      <c r="J478"/>
      <c r="K478"/>
      <c r="L478"/>
      <c r="M478"/>
      <c r="N478"/>
    </row>
    <row r="479" spans="1:14" x14ac:dyDescent="0.25">
      <c r="A479" t="str">
        <f t="shared" si="14"/>
        <v>1386288</v>
      </c>
      <c r="B479" t="str">
        <f t="shared" si="15"/>
        <v xml:space="preserve"> City of Wilsonville - GSK TOD Building F</v>
      </c>
      <c r="C479" t="s">
        <v>1020</v>
      </c>
      <c r="D479" s="15">
        <v>0</v>
      </c>
      <c r="E479" s="15">
        <v>-99.99</v>
      </c>
      <c r="F479" s="15">
        <v>99.99</v>
      </c>
      <c r="G479" s="34">
        <v>0</v>
      </c>
      <c r="H479" s="15">
        <v>0</v>
      </c>
      <c r="I479" s="15">
        <v>10000</v>
      </c>
      <c r="J479" s="15">
        <v>0</v>
      </c>
      <c r="K479" s="15">
        <v>10000</v>
      </c>
      <c r="L479" s="15">
        <v>5551.31</v>
      </c>
      <c r="M479" s="15">
        <v>4448.6899999999996</v>
      </c>
      <c r="N479" s="34">
        <v>44.486899999999999</v>
      </c>
    </row>
    <row r="480" spans="1:14" x14ac:dyDescent="0.25">
      <c r="A480" t="e">
        <f t="shared" si="14"/>
        <v>#VALUE!</v>
      </c>
      <c r="B480" t="e">
        <f t="shared" si="15"/>
        <v>#VALUE!</v>
      </c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25">
      <c r="A481" t="e">
        <f t="shared" si="14"/>
        <v>#VALUE!</v>
      </c>
      <c r="B481" t="e">
        <f t="shared" si="15"/>
        <v>#VALUE!</v>
      </c>
      <c r="C481" s="14">
        <v>0</v>
      </c>
      <c r="D481" s="14">
        <v>0</v>
      </c>
      <c r="E481"/>
      <c r="F481"/>
      <c r="G481"/>
      <c r="H481"/>
      <c r="I481"/>
      <c r="J481"/>
      <c r="K481"/>
      <c r="L481"/>
      <c r="M481"/>
      <c r="N481"/>
    </row>
    <row r="482" spans="1:14" x14ac:dyDescent="0.25">
      <c r="A482" t="e">
        <f t="shared" si="14"/>
        <v>#VALUE!</v>
      </c>
      <c r="B482" t="e">
        <f t="shared" si="15"/>
        <v>#VALUE!</v>
      </c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25">
      <c r="A483" t="e">
        <f t="shared" si="14"/>
        <v>#VALUE!</v>
      </c>
      <c r="B483" t="e">
        <f t="shared" si="15"/>
        <v>#VALUE!</v>
      </c>
      <c r="D483" s="14">
        <v>0</v>
      </c>
      <c r="E483"/>
      <c r="F483"/>
      <c r="G483"/>
      <c r="H483"/>
      <c r="I483"/>
      <c r="J483"/>
      <c r="K483"/>
      <c r="L483"/>
      <c r="M483"/>
      <c r="N483"/>
    </row>
    <row r="484" spans="1:14" x14ac:dyDescent="0.25">
      <c r="A484" t="str">
        <f t="shared" si="14"/>
        <v>1386290</v>
      </c>
      <c r="B484" t="str">
        <f t="shared" si="15"/>
        <v xml:space="preserve"> Clackamas County - Hwy 213 and Carus</v>
      </c>
      <c r="C484" t="s">
        <v>1019</v>
      </c>
      <c r="D484" s="15">
        <v>0</v>
      </c>
      <c r="E484" s="15">
        <v>0</v>
      </c>
      <c r="F484" s="15">
        <v>0</v>
      </c>
      <c r="G484" s="34">
        <v>0</v>
      </c>
      <c r="H484" s="15">
        <v>5621</v>
      </c>
      <c r="I484" s="15">
        <v>0</v>
      </c>
      <c r="J484" s="15">
        <v>0</v>
      </c>
      <c r="K484" s="15">
        <v>5621</v>
      </c>
      <c r="L484" s="15">
        <v>1956.67</v>
      </c>
      <c r="M484" s="15">
        <v>3664.33</v>
      </c>
      <c r="N484" s="34">
        <v>65.190001779042902</v>
      </c>
    </row>
    <row r="485" spans="1:14" x14ac:dyDescent="0.25">
      <c r="A485" t="e">
        <f t="shared" si="14"/>
        <v>#VALUE!</v>
      </c>
      <c r="B485" t="e">
        <f t="shared" si="15"/>
        <v>#VALUE!</v>
      </c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25">
      <c r="A486" t="e">
        <f t="shared" si="14"/>
        <v>#VALUE!</v>
      </c>
      <c r="B486" t="e">
        <f t="shared" si="15"/>
        <v>#VALUE!</v>
      </c>
      <c r="C486" s="14">
        <v>0</v>
      </c>
      <c r="D486" s="14">
        <v>0</v>
      </c>
      <c r="E486"/>
      <c r="F486"/>
      <c r="G486"/>
      <c r="H486"/>
      <c r="I486"/>
      <c r="J486"/>
      <c r="K486"/>
      <c r="L486"/>
      <c r="M486"/>
      <c r="N486"/>
    </row>
    <row r="487" spans="1:14" x14ac:dyDescent="0.25">
      <c r="A487" t="e">
        <f t="shared" si="14"/>
        <v>#VALUE!</v>
      </c>
      <c r="B487" t="e">
        <f t="shared" si="15"/>
        <v>#VALUE!</v>
      </c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25">
      <c r="A488" t="e">
        <f t="shared" si="14"/>
        <v>#VALUE!</v>
      </c>
      <c r="B488" t="e">
        <f t="shared" si="15"/>
        <v>#VALUE!</v>
      </c>
      <c r="D488" s="14">
        <v>0</v>
      </c>
      <c r="E488"/>
      <c r="F488"/>
      <c r="G488"/>
      <c r="H488"/>
      <c r="I488"/>
      <c r="J488"/>
      <c r="K488"/>
      <c r="L488"/>
      <c r="M488"/>
      <c r="N488"/>
    </row>
    <row r="489" spans="1:14" x14ac:dyDescent="0.25">
      <c r="A489" t="str">
        <f t="shared" si="14"/>
        <v>1387009</v>
      </c>
      <c r="B489" t="str">
        <f t="shared" si="15"/>
        <v xml:space="preserve"> Data Vision-Gervais Splicing</v>
      </c>
      <c r="C489" t="s">
        <v>196</v>
      </c>
      <c r="D489" s="15">
        <v>0</v>
      </c>
      <c r="E489" s="15">
        <v>0</v>
      </c>
      <c r="F489" s="15">
        <v>0</v>
      </c>
      <c r="G489" s="34">
        <v>0</v>
      </c>
      <c r="H489" s="15">
        <v>131367.20000000001</v>
      </c>
      <c r="I489" s="15">
        <v>0</v>
      </c>
      <c r="J489" s="15">
        <v>0</v>
      </c>
      <c r="K489" s="15">
        <v>131367.20000000001</v>
      </c>
      <c r="L489" s="15">
        <v>98733.63</v>
      </c>
      <c r="M489" s="15">
        <v>32633.57</v>
      </c>
      <c r="N489" s="34">
        <v>24.841490113209399</v>
      </c>
    </row>
    <row r="490" spans="1:14" x14ac:dyDescent="0.25">
      <c r="A490" t="e">
        <f t="shared" si="14"/>
        <v>#VALUE!</v>
      </c>
      <c r="B490" t="e">
        <f t="shared" si="15"/>
        <v>#VALUE!</v>
      </c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25">
      <c r="A491" t="e">
        <f t="shared" si="14"/>
        <v>#VALUE!</v>
      </c>
      <c r="B491" t="e">
        <f t="shared" si="15"/>
        <v>#VALUE!</v>
      </c>
      <c r="C491" s="14">
        <v>5000</v>
      </c>
      <c r="D491" s="14">
        <v>5000</v>
      </c>
      <c r="E491"/>
      <c r="F491"/>
      <c r="G491"/>
      <c r="H491"/>
      <c r="I491"/>
      <c r="J491"/>
      <c r="K491"/>
      <c r="L491"/>
      <c r="M491"/>
      <c r="N491"/>
    </row>
    <row r="492" spans="1:14" x14ac:dyDescent="0.25">
      <c r="A492" t="e">
        <f t="shared" si="14"/>
        <v>#VALUE!</v>
      </c>
      <c r="B492" t="e">
        <f t="shared" si="15"/>
        <v>#VALUE!</v>
      </c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25">
      <c r="A493" t="e">
        <f t="shared" si="14"/>
        <v>#VALUE!</v>
      </c>
      <c r="B493" t="e">
        <f t="shared" si="15"/>
        <v>#VALUE!</v>
      </c>
      <c r="D493" s="14">
        <v>0</v>
      </c>
      <c r="E493"/>
      <c r="F493"/>
      <c r="G493"/>
      <c r="H493"/>
      <c r="I493"/>
      <c r="J493"/>
      <c r="K493"/>
      <c r="L493"/>
      <c r="M493"/>
      <c r="N493"/>
    </row>
    <row r="494" spans="1:14" x14ac:dyDescent="0.25">
      <c r="A494" t="str">
        <f t="shared" si="14"/>
        <v>1485247</v>
      </c>
      <c r="B494" t="str">
        <f t="shared" si="15"/>
        <v xml:space="preserve"> Port of Woodland-Fiber Optic On Call</v>
      </c>
      <c r="C494" t="s">
        <v>339</v>
      </c>
      <c r="D494" s="15">
        <v>0</v>
      </c>
      <c r="E494" s="15">
        <v>0.01</v>
      </c>
      <c r="F494" s="15">
        <v>-0.01</v>
      </c>
      <c r="G494" s="34">
        <v>0</v>
      </c>
      <c r="H494" s="15">
        <v>44934.720000000001</v>
      </c>
      <c r="I494" s="15">
        <v>1.13686837721616E-13</v>
      </c>
      <c r="J494" s="15">
        <v>5000</v>
      </c>
      <c r="K494" s="15">
        <v>44934.720000000001</v>
      </c>
      <c r="L494" s="15">
        <v>33330.620000000003</v>
      </c>
      <c r="M494" s="15">
        <v>11604.1</v>
      </c>
      <c r="N494" s="34">
        <v>25.8243514146744</v>
      </c>
    </row>
    <row r="495" spans="1:14" x14ac:dyDescent="0.25">
      <c r="A495" t="e">
        <f t="shared" si="14"/>
        <v>#VALUE!</v>
      </c>
      <c r="B495" t="e">
        <f t="shared" si="15"/>
        <v>#VALUE!</v>
      </c>
      <c r="D495"/>
      <c r="E495" s="15"/>
      <c r="F495" s="15"/>
      <c r="G495" s="15"/>
      <c r="H495" s="15"/>
      <c r="I495" s="15"/>
      <c r="J495" s="15"/>
      <c r="K495" s="14"/>
      <c r="L495" s="15"/>
      <c r="M495" s="15"/>
      <c r="N495" s="14"/>
    </row>
    <row r="496" spans="1:14" x14ac:dyDescent="0.25">
      <c r="A496" t="e">
        <f t="shared" si="14"/>
        <v>#VALUE!</v>
      </c>
      <c r="B496" t="e">
        <f t="shared" si="15"/>
        <v>#VALUE!</v>
      </c>
      <c r="C496">
        <v>0</v>
      </c>
      <c r="D496">
        <v>0</v>
      </c>
      <c r="E496"/>
      <c r="F496"/>
      <c r="G496"/>
      <c r="H496"/>
      <c r="I496"/>
      <c r="J496"/>
      <c r="K496"/>
      <c r="L496"/>
      <c r="M496"/>
      <c r="N496"/>
    </row>
    <row r="497" spans="1:14" x14ac:dyDescent="0.25">
      <c r="A497" t="e">
        <f t="shared" si="14"/>
        <v>#VALUE!</v>
      </c>
      <c r="B497" t="e">
        <f t="shared" si="15"/>
        <v>#VALUE!</v>
      </c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25">
      <c r="A498" t="e">
        <f t="shared" si="14"/>
        <v>#VALUE!</v>
      </c>
      <c r="B498" t="e">
        <f t="shared" si="15"/>
        <v>#VALUE!</v>
      </c>
      <c r="C498" s="14"/>
      <c r="D498" s="14">
        <v>0</v>
      </c>
      <c r="E498"/>
      <c r="F498"/>
      <c r="G498"/>
      <c r="H498"/>
      <c r="I498"/>
      <c r="J498"/>
      <c r="K498"/>
      <c r="L498"/>
      <c r="M498"/>
      <c r="N498"/>
    </row>
    <row r="499" spans="1:14" x14ac:dyDescent="0.25">
      <c r="A499" t="str">
        <f t="shared" si="14"/>
        <v>1486293</v>
      </c>
      <c r="B499" t="str">
        <f t="shared" si="15"/>
        <v xml:space="preserve"> Clark PUD - Jones Substation</v>
      </c>
      <c r="C499" t="s">
        <v>1048</v>
      </c>
      <c r="D499">
        <v>0</v>
      </c>
      <c r="E499">
        <v>40</v>
      </c>
      <c r="F499">
        <v>-40</v>
      </c>
      <c r="G499">
        <v>0</v>
      </c>
      <c r="H499">
        <v>560</v>
      </c>
      <c r="I499">
        <v>0</v>
      </c>
      <c r="J499">
        <v>0</v>
      </c>
      <c r="K499">
        <v>560</v>
      </c>
      <c r="L499">
        <v>240.63</v>
      </c>
      <c r="M499">
        <v>319.37</v>
      </c>
      <c r="N499">
        <v>57.030357142857099</v>
      </c>
    </row>
    <row r="500" spans="1:14" x14ac:dyDescent="0.25">
      <c r="A500" t="e">
        <f t="shared" si="14"/>
        <v>#VALUE!</v>
      </c>
      <c r="B500" t="e">
        <f t="shared" si="15"/>
        <v>#VALUE!</v>
      </c>
      <c r="D500" s="14"/>
      <c r="E500"/>
      <c r="F500"/>
      <c r="G500"/>
      <c r="H500"/>
      <c r="I500"/>
      <c r="J500"/>
      <c r="K500"/>
      <c r="L500"/>
      <c r="M500"/>
      <c r="N500"/>
    </row>
    <row r="501" spans="1:14" x14ac:dyDescent="0.25">
      <c r="A501" t="e">
        <f t="shared" si="14"/>
        <v>#VALUE!</v>
      </c>
      <c r="B501" t="e">
        <f t="shared" si="15"/>
        <v>#VALUE!</v>
      </c>
      <c r="C501">
        <v>0</v>
      </c>
      <c r="D501" s="15">
        <v>0</v>
      </c>
      <c r="E501" s="15"/>
      <c r="F501" s="15"/>
      <c r="G501" s="34"/>
      <c r="H501" s="15"/>
      <c r="I501" s="15"/>
      <c r="J501" s="15"/>
      <c r="K501" s="15"/>
      <c r="L501" s="15"/>
      <c r="M501" s="15"/>
      <c r="N501" s="34"/>
    </row>
    <row r="502" spans="1:14" x14ac:dyDescent="0.25">
      <c r="A502" t="e">
        <f t="shared" si="14"/>
        <v>#VALUE!</v>
      </c>
      <c r="B502" t="e">
        <f t="shared" si="15"/>
        <v>#VALUE!</v>
      </c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25">
      <c r="A503" t="e">
        <f t="shared" si="14"/>
        <v>#VALUE!</v>
      </c>
      <c r="B503" t="e">
        <f t="shared" si="15"/>
        <v>#VALUE!</v>
      </c>
      <c r="C503" s="14"/>
      <c r="D503" s="14">
        <v>0</v>
      </c>
      <c r="E503"/>
      <c r="F503"/>
      <c r="G503"/>
      <c r="H503"/>
      <c r="I503"/>
      <c r="J503"/>
      <c r="K503"/>
      <c r="L503"/>
      <c r="M503"/>
      <c r="N503"/>
    </row>
    <row r="504" spans="1:14" x14ac:dyDescent="0.25">
      <c r="A504" t="str">
        <f t="shared" si="14"/>
        <v>1486295</v>
      </c>
      <c r="B504" t="str">
        <f t="shared" si="15"/>
        <v xml:space="preserve"> Clark PUD - NE 179th St Fiber Relocation</v>
      </c>
      <c r="C504" t="s">
        <v>1101</v>
      </c>
      <c r="D504">
        <v>31298.75</v>
      </c>
      <c r="E504">
        <v>20578.900000000001</v>
      </c>
      <c r="F504">
        <v>10719.85</v>
      </c>
      <c r="G504">
        <v>34.250089859818701</v>
      </c>
      <c r="H504">
        <v>31298.75</v>
      </c>
      <c r="I504">
        <v>0</v>
      </c>
      <c r="J504">
        <v>0</v>
      </c>
      <c r="K504">
        <v>31298.75</v>
      </c>
      <c r="L504">
        <v>20578.900000000001</v>
      </c>
      <c r="M504">
        <v>10719.85</v>
      </c>
      <c r="N504">
        <v>34.250089859818701</v>
      </c>
    </row>
    <row r="505" spans="1:14" x14ac:dyDescent="0.25">
      <c r="A505" t="e">
        <f t="shared" si="14"/>
        <v>#VALUE!</v>
      </c>
      <c r="B505" t="e">
        <f t="shared" si="15"/>
        <v>#VALUE!</v>
      </c>
      <c r="D505" s="14"/>
      <c r="E505"/>
      <c r="F505"/>
      <c r="G505"/>
      <c r="H505"/>
      <c r="I505"/>
      <c r="J505"/>
      <c r="K505"/>
      <c r="L505"/>
      <c r="M505"/>
      <c r="N505"/>
    </row>
    <row r="506" spans="1:14" x14ac:dyDescent="0.25">
      <c r="A506" t="e">
        <f t="shared" si="14"/>
        <v>#VALUE!</v>
      </c>
      <c r="B506" t="e">
        <f t="shared" si="15"/>
        <v>#VALUE!</v>
      </c>
      <c r="C506">
        <v>0</v>
      </c>
      <c r="D506" s="15">
        <v>0</v>
      </c>
      <c r="E506" s="15"/>
      <c r="F506" s="15"/>
      <c r="G506" s="34"/>
      <c r="H506" s="15"/>
      <c r="I506" s="15"/>
      <c r="J506" s="15"/>
      <c r="K506" s="15"/>
      <c r="L506" s="15"/>
      <c r="M506" s="15"/>
      <c r="N506" s="34"/>
    </row>
    <row r="507" spans="1:14" x14ac:dyDescent="0.25">
      <c r="A507" t="e">
        <f t="shared" si="14"/>
        <v>#VALUE!</v>
      </c>
      <c r="B507" t="e">
        <f t="shared" si="15"/>
        <v>#VALUE!</v>
      </c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25">
      <c r="A508" t="e">
        <f t="shared" si="14"/>
        <v>#VALUE!</v>
      </c>
      <c r="B508" t="e">
        <f t="shared" si="15"/>
        <v>#VALUE!</v>
      </c>
      <c r="C508" s="14"/>
      <c r="D508" s="14">
        <v>0</v>
      </c>
      <c r="E508"/>
      <c r="F508"/>
      <c r="G508"/>
      <c r="H508"/>
      <c r="I508"/>
      <c r="J508"/>
      <c r="K508"/>
      <c r="L508"/>
      <c r="M508"/>
      <c r="N508"/>
    </row>
    <row r="509" spans="1:14" x14ac:dyDescent="0.25">
      <c r="A509" t="str">
        <f t="shared" si="14"/>
        <v>148704401</v>
      </c>
      <c r="B509" t="str">
        <f t="shared" si="15"/>
        <v xml:space="preserve"> Clark PUD-Small Works Project</v>
      </c>
      <c r="C509" t="s">
        <v>188</v>
      </c>
      <c r="D509">
        <v>666.75</v>
      </c>
      <c r="E509">
        <v>311.04000000000002</v>
      </c>
      <c r="F509">
        <v>355.71</v>
      </c>
      <c r="G509">
        <v>53.349831271091098</v>
      </c>
      <c r="H509">
        <v>446786.48</v>
      </c>
      <c r="I509">
        <v>-10391.93</v>
      </c>
      <c r="J509">
        <v>0</v>
      </c>
      <c r="K509">
        <v>436394.55</v>
      </c>
      <c r="L509">
        <v>304089.03999999998</v>
      </c>
      <c r="M509">
        <v>132305.51</v>
      </c>
      <c r="N509">
        <v>30.317864877093399</v>
      </c>
    </row>
    <row r="510" spans="1:14" x14ac:dyDescent="0.25">
      <c r="A510" t="e">
        <f t="shared" si="14"/>
        <v>#VALUE!</v>
      </c>
      <c r="B510" t="e">
        <f t="shared" si="15"/>
        <v>#VALUE!</v>
      </c>
      <c r="C510" t="s">
        <v>108</v>
      </c>
      <c r="D510" s="14" t="s">
        <v>109</v>
      </c>
      <c r="E510">
        <v>2240444.56</v>
      </c>
      <c r="F510">
        <v>186116.83</v>
      </c>
      <c r="G510">
        <v>27987064.25</v>
      </c>
      <c r="H510">
        <v>30926935.989999998</v>
      </c>
      <c r="I510">
        <v>4841297.45</v>
      </c>
      <c r="J510">
        <v>2054327.73</v>
      </c>
      <c r="K510">
        <v>8.3071383832858601</v>
      </c>
      <c r="L510">
        <v>2939871.74</v>
      </c>
      <c r="M510">
        <v>26085638.539999999</v>
      </c>
      <c r="N510">
        <v>0.42780025167310498</v>
      </c>
    </row>
    <row r="511" spans="1:14" x14ac:dyDescent="0.25">
      <c r="A511" t="e">
        <f t="shared" si="14"/>
        <v>#VALUE!</v>
      </c>
      <c r="B511" t="e">
        <f t="shared" si="15"/>
        <v>#VALUE!</v>
      </c>
      <c r="C511" t="s">
        <v>78</v>
      </c>
      <c r="D511" s="15" t="s">
        <v>79</v>
      </c>
      <c r="E511" s="15"/>
      <c r="F511" s="15"/>
      <c r="G511" s="34"/>
      <c r="H511" s="15"/>
      <c r="I511" s="15"/>
      <c r="J511" s="15"/>
      <c r="K511" s="15"/>
      <c r="L511" s="15"/>
      <c r="M511" s="15"/>
      <c r="N511" s="34"/>
    </row>
    <row r="512" spans="1:14" x14ac:dyDescent="0.25">
      <c r="A512" t="e">
        <f t="shared" si="14"/>
        <v>#VALUE!</v>
      </c>
      <c r="B512" t="e">
        <f t="shared" si="15"/>
        <v>#VALUE!</v>
      </c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25">
      <c r="A513" t="e">
        <f t="shared" si="14"/>
        <v>#VALUE!</v>
      </c>
      <c r="B513" t="e">
        <f t="shared" si="15"/>
        <v>#VALUE!</v>
      </c>
      <c r="C513" s="14">
        <v>383653</v>
      </c>
      <c r="D513" s="14">
        <v>383653</v>
      </c>
      <c r="E513"/>
      <c r="F513"/>
      <c r="G513"/>
      <c r="H513"/>
      <c r="I513"/>
      <c r="J513"/>
      <c r="K513"/>
      <c r="L513"/>
      <c r="M513"/>
      <c r="N513"/>
    </row>
    <row r="514" spans="1:14" x14ac:dyDescent="0.25">
      <c r="A514" t="e">
        <f t="shared" si="14"/>
        <v>#VALUE!</v>
      </c>
      <c r="B514" t="e">
        <f t="shared" si="15"/>
        <v>#VALUE!</v>
      </c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25">
      <c r="A515" t="e">
        <f t="shared" si="14"/>
        <v>#VALUE!</v>
      </c>
      <c r="B515" t="e">
        <f t="shared" si="15"/>
        <v>#VALUE!</v>
      </c>
      <c r="D515" s="14">
        <v>0</v>
      </c>
      <c r="E515"/>
      <c r="F515"/>
      <c r="G515"/>
      <c r="H515"/>
      <c r="I515"/>
      <c r="J515"/>
      <c r="K515"/>
      <c r="L515"/>
      <c r="M515"/>
      <c r="N515"/>
    </row>
    <row r="516" spans="1:14" x14ac:dyDescent="0.25">
      <c r="A516" t="str">
        <f t="shared" si="14"/>
        <v>2135002</v>
      </c>
      <c r="B516" t="str">
        <f t="shared" si="15"/>
        <v xml:space="preserve"> VZ-Verizon Idaho Market (Msa)</v>
      </c>
      <c r="C516" t="s">
        <v>303</v>
      </c>
      <c r="D516" s="15">
        <v>56796.62</v>
      </c>
      <c r="E516" s="15">
        <v>58789.43</v>
      </c>
      <c r="F516" s="15">
        <v>-1992.81</v>
      </c>
      <c r="G516" s="34">
        <v>-3.5086771008556501</v>
      </c>
      <c r="H516" s="15">
        <v>1061559.8700000001</v>
      </c>
      <c r="I516" s="15">
        <v>108423.91</v>
      </c>
      <c r="J516" s="15">
        <v>383653</v>
      </c>
      <c r="K516" s="15">
        <v>1169983.78</v>
      </c>
      <c r="L516" s="15">
        <v>1095293.9099999999</v>
      </c>
      <c r="M516" s="15">
        <v>74689.87</v>
      </c>
      <c r="N516" s="34">
        <v>6.3838380733791</v>
      </c>
    </row>
    <row r="517" spans="1:14" x14ac:dyDescent="0.25">
      <c r="A517" t="e">
        <f t="shared" ref="A517:A580" si="16">LEFT(C517,FIND(" ",C517)-1)</f>
        <v>#VALUE!</v>
      </c>
      <c r="B517" t="e">
        <f t="shared" ref="B517:B580" si="17">RIGHT(C517,LEN(C517)-FIND(" ",C517))</f>
        <v>#VALUE!</v>
      </c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25">
      <c r="A518" t="e">
        <f t="shared" si="16"/>
        <v>#VALUE!</v>
      </c>
      <c r="B518" t="e">
        <f t="shared" si="17"/>
        <v>#VALUE!</v>
      </c>
      <c r="C518" s="14">
        <v>339405</v>
      </c>
      <c r="D518" s="14">
        <v>339405</v>
      </c>
      <c r="E518"/>
      <c r="F518"/>
      <c r="G518"/>
      <c r="H518"/>
      <c r="I518"/>
      <c r="J518"/>
      <c r="K518"/>
      <c r="L518"/>
      <c r="M518"/>
      <c r="N518"/>
    </row>
    <row r="519" spans="1:14" x14ac:dyDescent="0.25">
      <c r="A519" t="e">
        <f t="shared" si="16"/>
        <v>#VALUE!</v>
      </c>
      <c r="B519" t="e">
        <f t="shared" si="17"/>
        <v>#VALUE!</v>
      </c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25">
      <c r="A520" t="e">
        <f t="shared" si="16"/>
        <v>#VALUE!</v>
      </c>
      <c r="B520" t="e">
        <f t="shared" si="17"/>
        <v>#VALUE!</v>
      </c>
      <c r="D520" s="14">
        <v>0</v>
      </c>
      <c r="E520"/>
      <c r="F520"/>
      <c r="G520"/>
      <c r="H520"/>
      <c r="I520"/>
      <c r="J520"/>
      <c r="K520"/>
      <c r="L520"/>
      <c r="M520"/>
      <c r="N520"/>
    </row>
    <row r="521" spans="1:14" x14ac:dyDescent="0.25">
      <c r="A521" t="str">
        <f t="shared" si="16"/>
        <v>2136012</v>
      </c>
      <c r="B521" t="str">
        <f t="shared" si="17"/>
        <v xml:space="preserve"> VZ-Verizon ID Careywood</v>
      </c>
      <c r="C521" t="s">
        <v>852</v>
      </c>
      <c r="D521" s="15">
        <v>54569.07</v>
      </c>
      <c r="E521" s="15">
        <v>64066.46</v>
      </c>
      <c r="F521" s="15">
        <v>-9497.39</v>
      </c>
      <c r="G521" s="34">
        <v>-17.404346454869</v>
      </c>
      <c r="H521" s="15">
        <v>4.6566128730773903E-12</v>
      </c>
      <c r="I521" s="15">
        <v>164530.79</v>
      </c>
      <c r="J521" s="15">
        <v>339405</v>
      </c>
      <c r="K521" s="15">
        <v>164530.79</v>
      </c>
      <c r="L521" s="15">
        <v>178846.29</v>
      </c>
      <c r="M521" s="15">
        <v>-14315.5</v>
      </c>
      <c r="N521" s="34">
        <v>-8.7008030533373102</v>
      </c>
    </row>
    <row r="522" spans="1:14" x14ac:dyDescent="0.25">
      <c r="A522" t="e">
        <f t="shared" si="16"/>
        <v>#VALUE!</v>
      </c>
      <c r="B522" t="e">
        <f t="shared" si="17"/>
        <v>#VALUE!</v>
      </c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25">
      <c r="A523" t="e">
        <f t="shared" si="16"/>
        <v>#VALUE!</v>
      </c>
      <c r="B523" t="e">
        <f t="shared" si="17"/>
        <v>#VALUE!</v>
      </c>
      <c r="C523" s="14">
        <v>9654.2000000000007</v>
      </c>
      <c r="D523" s="14">
        <v>9654.2000000000007</v>
      </c>
      <c r="E523"/>
      <c r="F523"/>
      <c r="G523"/>
      <c r="H523"/>
      <c r="I523"/>
      <c r="J523"/>
      <c r="K523"/>
      <c r="L523"/>
      <c r="M523"/>
      <c r="N523"/>
    </row>
    <row r="524" spans="1:14" x14ac:dyDescent="0.25">
      <c r="A524" t="e">
        <f t="shared" si="16"/>
        <v>#VALUE!</v>
      </c>
      <c r="B524" t="e">
        <f t="shared" si="17"/>
        <v>#VALUE!</v>
      </c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25">
      <c r="A525" t="e">
        <f t="shared" si="16"/>
        <v>#VALUE!</v>
      </c>
      <c r="B525" t="e">
        <f t="shared" si="17"/>
        <v>#VALUE!</v>
      </c>
      <c r="D525" s="14">
        <v>0</v>
      </c>
      <c r="E525"/>
      <c r="F525"/>
      <c r="G525"/>
      <c r="H525"/>
      <c r="I525"/>
      <c r="J525"/>
      <c r="K525"/>
      <c r="L525"/>
      <c r="M525"/>
      <c r="N525"/>
    </row>
    <row r="526" spans="1:14" x14ac:dyDescent="0.25">
      <c r="A526" t="str">
        <f t="shared" si="16"/>
        <v>2136014</v>
      </c>
      <c r="B526" t="str">
        <f t="shared" si="17"/>
        <v xml:space="preserve"> Crown Castle - ID</v>
      </c>
      <c r="C526" t="s">
        <v>1039</v>
      </c>
      <c r="D526" s="15">
        <v>5210</v>
      </c>
      <c r="E526" s="15">
        <v>5141.95</v>
      </c>
      <c r="F526" s="15">
        <v>68.05</v>
      </c>
      <c r="G526" s="34">
        <v>1.3061420345489401</v>
      </c>
      <c r="H526" s="15">
        <v>14864.2</v>
      </c>
      <c r="I526" s="15">
        <v>0</v>
      </c>
      <c r="J526" s="15">
        <v>9654.2000000000007</v>
      </c>
      <c r="K526" s="15">
        <v>14864.2</v>
      </c>
      <c r="L526" s="15">
        <v>14299.7</v>
      </c>
      <c r="M526" s="15">
        <v>564.5</v>
      </c>
      <c r="N526" s="34">
        <v>3.7977153159941301</v>
      </c>
    </row>
    <row r="527" spans="1:14" x14ac:dyDescent="0.25">
      <c r="A527" t="e">
        <f t="shared" si="16"/>
        <v>#VALUE!</v>
      </c>
      <c r="B527" t="e">
        <f t="shared" si="17"/>
        <v>#VALUE!</v>
      </c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25">
      <c r="A528" t="e">
        <f t="shared" si="16"/>
        <v>#VALUE!</v>
      </c>
      <c r="B528" t="e">
        <f t="shared" si="17"/>
        <v>#VALUE!</v>
      </c>
      <c r="C528" s="14">
        <v>300000</v>
      </c>
      <c r="D528" s="14">
        <v>300000</v>
      </c>
      <c r="E528"/>
      <c r="F528"/>
      <c r="G528"/>
      <c r="H528"/>
      <c r="I528"/>
      <c r="J528"/>
      <c r="K528"/>
      <c r="L528"/>
      <c r="M528"/>
      <c r="N528"/>
    </row>
    <row r="529" spans="1:14" x14ac:dyDescent="0.25">
      <c r="A529" t="e">
        <f t="shared" si="16"/>
        <v>#VALUE!</v>
      </c>
      <c r="B529" t="e">
        <f t="shared" si="17"/>
        <v>#VALUE!</v>
      </c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25">
      <c r="A530" t="e">
        <f t="shared" si="16"/>
        <v>#VALUE!</v>
      </c>
      <c r="B530" t="e">
        <f t="shared" si="17"/>
        <v>#VALUE!</v>
      </c>
      <c r="D530" s="14">
        <v>0</v>
      </c>
      <c r="E530"/>
      <c r="F530"/>
      <c r="G530"/>
      <c r="H530"/>
      <c r="I530"/>
      <c r="J530"/>
      <c r="K530"/>
      <c r="L530"/>
      <c r="M530"/>
      <c r="N530"/>
    </row>
    <row r="531" spans="1:14" x14ac:dyDescent="0.25">
      <c r="A531" t="str">
        <f t="shared" si="16"/>
        <v>2136050</v>
      </c>
      <c r="B531" t="str">
        <f t="shared" si="17"/>
        <v xml:space="preserve"> T-Mobile-Idaho Market 2025-2026</v>
      </c>
      <c r="C531" t="s">
        <v>761</v>
      </c>
      <c r="D531" s="15">
        <v>18177</v>
      </c>
      <c r="E531" s="15">
        <v>17012.21</v>
      </c>
      <c r="F531" s="15">
        <v>1164.79</v>
      </c>
      <c r="G531" s="34">
        <v>6.4080431314298503</v>
      </c>
      <c r="H531" s="15">
        <v>612577.96</v>
      </c>
      <c r="I531" s="15">
        <v>983.92000000000303</v>
      </c>
      <c r="J531" s="15">
        <v>300000</v>
      </c>
      <c r="K531" s="15">
        <v>613561.88</v>
      </c>
      <c r="L531" s="15">
        <v>590967.02</v>
      </c>
      <c r="M531" s="15">
        <v>22594.86</v>
      </c>
      <c r="N531" s="34">
        <v>3.6825723266901802</v>
      </c>
    </row>
    <row r="532" spans="1:14" x14ac:dyDescent="0.25">
      <c r="A532" t="e">
        <f t="shared" si="16"/>
        <v>#VALUE!</v>
      </c>
      <c r="B532" t="e">
        <f t="shared" si="17"/>
        <v>#VALUE!</v>
      </c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25">
      <c r="A533" t="e">
        <f t="shared" si="16"/>
        <v>#VALUE!</v>
      </c>
      <c r="B533" t="e">
        <f t="shared" si="17"/>
        <v>#VALUE!</v>
      </c>
      <c r="C533" s="14">
        <v>3000000</v>
      </c>
      <c r="D533" s="14">
        <v>3000000</v>
      </c>
      <c r="E533"/>
      <c r="F533"/>
      <c r="G533"/>
      <c r="H533"/>
      <c r="I533"/>
      <c r="J533"/>
      <c r="K533"/>
      <c r="L533"/>
      <c r="M533"/>
      <c r="N533"/>
    </row>
    <row r="534" spans="1:14" x14ac:dyDescent="0.25">
      <c r="A534" t="e">
        <f t="shared" si="16"/>
        <v>#VALUE!</v>
      </c>
      <c r="B534" t="e">
        <f t="shared" si="17"/>
        <v>#VALUE!</v>
      </c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25">
      <c r="A535" t="e">
        <f t="shared" si="16"/>
        <v>#VALUE!</v>
      </c>
      <c r="B535" t="e">
        <f t="shared" si="17"/>
        <v>#VALUE!</v>
      </c>
      <c r="D535" s="14">
        <v>0</v>
      </c>
      <c r="E535"/>
      <c r="F535"/>
      <c r="G535"/>
      <c r="H535"/>
      <c r="I535"/>
      <c r="J535"/>
      <c r="K535"/>
      <c r="L535"/>
      <c r="M535"/>
      <c r="N535"/>
    </row>
    <row r="536" spans="1:14" x14ac:dyDescent="0.25">
      <c r="A536" t="str">
        <f t="shared" si="16"/>
        <v>2136060</v>
      </c>
      <c r="B536" t="str">
        <f t="shared" si="17"/>
        <v xml:space="preserve"> T-Mobile Idaho Market 2026-2027</v>
      </c>
      <c r="C536" t="s">
        <v>1040</v>
      </c>
      <c r="D536" s="15">
        <v>42287.71</v>
      </c>
      <c r="E536" s="15">
        <v>44205.9</v>
      </c>
      <c r="F536" s="15">
        <v>-1918.19</v>
      </c>
      <c r="G536" s="34">
        <v>-4.5360460521508497</v>
      </c>
      <c r="H536" s="15">
        <v>11776.17</v>
      </c>
      <c r="I536" s="15">
        <v>52675.199999999997</v>
      </c>
      <c r="J536" s="15">
        <v>3000000</v>
      </c>
      <c r="K536" s="15">
        <v>64451.37</v>
      </c>
      <c r="L536" s="15">
        <v>55740.11</v>
      </c>
      <c r="M536" s="15">
        <v>8711.26</v>
      </c>
      <c r="N536" s="34">
        <v>13.516019907722701</v>
      </c>
    </row>
    <row r="537" spans="1:14" x14ac:dyDescent="0.25">
      <c r="A537" t="e">
        <f t="shared" si="16"/>
        <v>#VALUE!</v>
      </c>
      <c r="B537" t="e">
        <f t="shared" si="17"/>
        <v>#VALUE!</v>
      </c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25">
      <c r="A538" t="e">
        <f t="shared" si="16"/>
        <v>#VALUE!</v>
      </c>
      <c r="B538" t="e">
        <f t="shared" si="17"/>
        <v>#VALUE!</v>
      </c>
      <c r="C538" s="14">
        <v>96451.17</v>
      </c>
      <c r="D538" s="14">
        <v>96451.17</v>
      </c>
      <c r="E538"/>
      <c r="F538"/>
      <c r="G538"/>
      <c r="H538"/>
      <c r="I538"/>
      <c r="J538"/>
      <c r="K538"/>
      <c r="L538"/>
      <c r="M538"/>
      <c r="N538"/>
    </row>
    <row r="539" spans="1:14" x14ac:dyDescent="0.25">
      <c r="A539" t="e">
        <f t="shared" si="16"/>
        <v>#VALUE!</v>
      </c>
      <c r="B539" t="e">
        <f t="shared" si="17"/>
        <v>#VALUE!</v>
      </c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25">
      <c r="A540" t="e">
        <f t="shared" si="16"/>
        <v>#VALUE!</v>
      </c>
      <c r="B540" t="e">
        <f t="shared" si="17"/>
        <v>#VALUE!</v>
      </c>
      <c r="D540" s="14">
        <v>0</v>
      </c>
      <c r="E540"/>
      <c r="F540"/>
      <c r="G540"/>
      <c r="H540"/>
      <c r="I540"/>
      <c r="J540"/>
      <c r="K540"/>
      <c r="L540"/>
      <c r="M540"/>
      <c r="N540"/>
    </row>
    <row r="541" spans="1:14" x14ac:dyDescent="0.25">
      <c r="A541" t="str">
        <f t="shared" si="16"/>
        <v>2384101</v>
      </c>
      <c r="B541" t="str">
        <f t="shared" si="17"/>
        <v xml:space="preserve"> VZ-Verizon Or Mosser</v>
      </c>
      <c r="C541" t="s">
        <v>973</v>
      </c>
      <c r="D541" s="15">
        <v>0</v>
      </c>
      <c r="E541" s="15">
        <v>0</v>
      </c>
      <c r="F541" s="15">
        <v>0</v>
      </c>
      <c r="G541" s="34">
        <v>0</v>
      </c>
      <c r="H541" s="15">
        <v>90225.53</v>
      </c>
      <c r="I541" s="15">
        <v>6225.64</v>
      </c>
      <c r="J541" s="15">
        <v>96451.17</v>
      </c>
      <c r="K541" s="15">
        <v>96451.17</v>
      </c>
      <c r="L541" s="15">
        <v>85211.41</v>
      </c>
      <c r="M541" s="15">
        <v>11239.76</v>
      </c>
      <c r="N541" s="34">
        <v>11.6533163879712</v>
      </c>
    </row>
    <row r="542" spans="1:14" x14ac:dyDescent="0.25">
      <c r="A542" t="e">
        <f t="shared" si="16"/>
        <v>#VALUE!</v>
      </c>
      <c r="B542" t="e">
        <f t="shared" si="17"/>
        <v>#VALUE!</v>
      </c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25">
      <c r="A543" t="e">
        <f t="shared" si="16"/>
        <v>#VALUE!</v>
      </c>
      <c r="B543" t="e">
        <f t="shared" si="17"/>
        <v>#VALUE!</v>
      </c>
      <c r="C543" s="14">
        <v>6000000</v>
      </c>
      <c r="D543" s="14">
        <v>6000000</v>
      </c>
      <c r="E543"/>
      <c r="F543"/>
      <c r="G543"/>
      <c r="H543"/>
      <c r="I543"/>
      <c r="J543"/>
      <c r="K543"/>
      <c r="L543"/>
      <c r="M543"/>
      <c r="N543"/>
    </row>
    <row r="544" spans="1:14" x14ac:dyDescent="0.25">
      <c r="A544" t="e">
        <f t="shared" si="16"/>
        <v>#VALUE!</v>
      </c>
      <c r="B544" t="e">
        <f t="shared" si="17"/>
        <v>#VALUE!</v>
      </c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25">
      <c r="A545" t="e">
        <f t="shared" si="16"/>
        <v>#VALUE!</v>
      </c>
      <c r="B545" t="e">
        <f t="shared" si="17"/>
        <v>#VALUE!</v>
      </c>
      <c r="D545" s="14">
        <v>0</v>
      </c>
      <c r="E545"/>
      <c r="F545"/>
      <c r="G545"/>
      <c r="H545"/>
      <c r="I545"/>
      <c r="J545"/>
      <c r="K545"/>
      <c r="L545"/>
      <c r="M545"/>
      <c r="N545"/>
    </row>
    <row r="546" spans="1:14" x14ac:dyDescent="0.25">
      <c r="A546" t="str">
        <f t="shared" si="16"/>
        <v>2384111</v>
      </c>
      <c r="B546" t="str">
        <f t="shared" si="17"/>
        <v xml:space="preserve"> VZ-Verizon Or Market (MSA)</v>
      </c>
      <c r="C546" t="s">
        <v>197</v>
      </c>
      <c r="D546" s="15">
        <v>109950.45</v>
      </c>
      <c r="E546" s="15">
        <v>117264.56</v>
      </c>
      <c r="F546" s="15">
        <v>-7314.11</v>
      </c>
      <c r="G546" s="34">
        <v>-6.6521874171501798</v>
      </c>
      <c r="H546" s="15">
        <v>3859824.25</v>
      </c>
      <c r="I546" s="15">
        <v>189110.73</v>
      </c>
      <c r="J546" s="15">
        <v>6000000</v>
      </c>
      <c r="K546" s="15">
        <v>4048934.98</v>
      </c>
      <c r="L546" s="15">
        <v>3783127.93</v>
      </c>
      <c r="M546" s="15">
        <v>265807.05</v>
      </c>
      <c r="N546" s="34">
        <v>6.5648633853833802</v>
      </c>
    </row>
    <row r="547" spans="1:14" x14ac:dyDescent="0.25">
      <c r="A547" t="e">
        <f t="shared" si="16"/>
        <v>#VALUE!</v>
      </c>
      <c r="B547" t="e">
        <f t="shared" si="17"/>
        <v>#VALUE!</v>
      </c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25">
      <c r="A548" t="e">
        <f t="shared" si="16"/>
        <v>#VALUE!</v>
      </c>
      <c r="B548" t="e">
        <f t="shared" si="17"/>
        <v>#VALUE!</v>
      </c>
      <c r="C548" s="14">
        <v>350000</v>
      </c>
      <c r="D548" s="14">
        <v>350000</v>
      </c>
      <c r="E548"/>
      <c r="F548"/>
      <c r="G548"/>
      <c r="H548"/>
      <c r="I548"/>
      <c r="J548"/>
      <c r="K548"/>
      <c r="L548"/>
      <c r="M548"/>
      <c r="N548"/>
    </row>
    <row r="549" spans="1:14" x14ac:dyDescent="0.25">
      <c r="A549" t="e">
        <f t="shared" si="16"/>
        <v>#VALUE!</v>
      </c>
      <c r="B549" t="e">
        <f t="shared" si="17"/>
        <v>#VALUE!</v>
      </c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25">
      <c r="A550" t="e">
        <f t="shared" si="16"/>
        <v>#VALUE!</v>
      </c>
      <c r="B550" t="e">
        <f t="shared" si="17"/>
        <v>#VALUE!</v>
      </c>
      <c r="D550" s="14">
        <v>0</v>
      </c>
      <c r="E550"/>
      <c r="F550"/>
      <c r="G550"/>
      <c r="H550"/>
      <c r="I550"/>
      <c r="J550"/>
      <c r="K550"/>
      <c r="L550"/>
      <c r="M550"/>
      <c r="N550"/>
    </row>
    <row r="551" spans="1:14" x14ac:dyDescent="0.25">
      <c r="A551" t="str">
        <f t="shared" si="16"/>
        <v>2385009</v>
      </c>
      <c r="B551" t="str">
        <f t="shared" si="17"/>
        <v xml:space="preserve"> T-Mobile-Portland Market  2024-2025</v>
      </c>
      <c r="C551" t="s">
        <v>762</v>
      </c>
      <c r="D551" s="15">
        <v>0</v>
      </c>
      <c r="E551" s="15">
        <v>0</v>
      </c>
      <c r="F551" s="15">
        <v>0</v>
      </c>
      <c r="G551" s="34">
        <v>0</v>
      </c>
      <c r="H551" s="15">
        <v>608368.02</v>
      </c>
      <c r="I551" s="15">
        <v>6.2456706473312798E-12</v>
      </c>
      <c r="J551" s="15">
        <v>350000</v>
      </c>
      <c r="K551" s="15">
        <v>608368.02</v>
      </c>
      <c r="L551" s="15">
        <v>559807.56999999995</v>
      </c>
      <c r="M551" s="15">
        <v>48560.45</v>
      </c>
      <c r="N551" s="34">
        <v>7.9820845941244603</v>
      </c>
    </row>
    <row r="552" spans="1:14" x14ac:dyDescent="0.25">
      <c r="A552" t="e">
        <f t="shared" si="16"/>
        <v>#VALUE!</v>
      </c>
      <c r="B552" t="e">
        <f t="shared" si="17"/>
        <v>#VALUE!</v>
      </c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25">
      <c r="A553" t="e">
        <f t="shared" si="16"/>
        <v>#VALUE!</v>
      </c>
      <c r="B553" t="e">
        <f t="shared" si="17"/>
        <v>#VALUE!</v>
      </c>
      <c r="C553" s="14">
        <v>300000</v>
      </c>
      <c r="D553" s="14">
        <v>300000</v>
      </c>
      <c r="E553"/>
      <c r="F553"/>
      <c r="G553"/>
      <c r="H553"/>
      <c r="I553"/>
      <c r="J553"/>
      <c r="K553"/>
      <c r="L553"/>
      <c r="M553"/>
      <c r="N553"/>
    </row>
    <row r="554" spans="1:14" x14ac:dyDescent="0.25">
      <c r="A554" t="e">
        <f t="shared" si="16"/>
        <v>#VALUE!</v>
      </c>
      <c r="B554" t="e">
        <f t="shared" si="17"/>
        <v>#VALUE!</v>
      </c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25">
      <c r="A555" t="e">
        <f t="shared" si="16"/>
        <v>#VALUE!</v>
      </c>
      <c r="B555" t="e">
        <f t="shared" si="17"/>
        <v>#VALUE!</v>
      </c>
      <c r="D555" s="14">
        <v>0</v>
      </c>
      <c r="E555"/>
      <c r="F555"/>
      <c r="G555"/>
      <c r="H555"/>
      <c r="I555"/>
      <c r="J555"/>
      <c r="K555"/>
      <c r="L555"/>
      <c r="M555"/>
      <c r="N555"/>
    </row>
    <row r="556" spans="1:14" x14ac:dyDescent="0.25">
      <c r="A556" t="str">
        <f t="shared" si="16"/>
        <v>2386050</v>
      </c>
      <c r="B556" t="str">
        <f t="shared" si="17"/>
        <v xml:space="preserve"> T-Mobile-Portland Market 2025-2026</v>
      </c>
      <c r="C556" t="s">
        <v>763</v>
      </c>
      <c r="D556" s="15">
        <v>4410.78</v>
      </c>
      <c r="E556" s="15">
        <v>3505.81</v>
      </c>
      <c r="F556" s="15">
        <v>904.97</v>
      </c>
      <c r="G556" s="34">
        <v>20.517232779689799</v>
      </c>
      <c r="H556" s="15">
        <v>320760.2</v>
      </c>
      <c r="I556" s="15">
        <v>37513.32</v>
      </c>
      <c r="J556" s="15">
        <v>300000</v>
      </c>
      <c r="K556" s="15">
        <v>358273.52</v>
      </c>
      <c r="L556" s="15">
        <v>322725.61</v>
      </c>
      <c r="M556" s="15">
        <v>35547.910000000003</v>
      </c>
      <c r="N556" s="34">
        <v>9.9220031667425506</v>
      </c>
    </row>
    <row r="557" spans="1:14" x14ac:dyDescent="0.25">
      <c r="A557" t="e">
        <f t="shared" si="16"/>
        <v>#VALUE!</v>
      </c>
      <c r="B557" t="e">
        <f t="shared" si="17"/>
        <v>#VALUE!</v>
      </c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25">
      <c r="A558" t="e">
        <f t="shared" si="16"/>
        <v>#VALUE!</v>
      </c>
      <c r="B558" t="e">
        <f t="shared" si="17"/>
        <v>#VALUE!</v>
      </c>
      <c r="C558" s="14">
        <v>50000</v>
      </c>
      <c r="D558" s="14">
        <v>50000</v>
      </c>
      <c r="E558"/>
      <c r="F558"/>
      <c r="G558"/>
      <c r="H558"/>
      <c r="I558"/>
      <c r="J558"/>
      <c r="K558"/>
      <c r="L558"/>
      <c r="M558"/>
      <c r="N558"/>
    </row>
    <row r="559" spans="1:14" x14ac:dyDescent="0.25">
      <c r="A559" t="e">
        <f t="shared" si="16"/>
        <v>#VALUE!</v>
      </c>
      <c r="B559" t="e">
        <f t="shared" si="17"/>
        <v>#VALUE!</v>
      </c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25">
      <c r="A560" t="e">
        <f t="shared" si="16"/>
        <v>#VALUE!</v>
      </c>
      <c r="B560" t="e">
        <f t="shared" si="17"/>
        <v>#VALUE!</v>
      </c>
      <c r="D560" s="14">
        <v>0</v>
      </c>
      <c r="E560"/>
      <c r="F560"/>
      <c r="G560"/>
      <c r="H560"/>
      <c r="I560"/>
      <c r="J560"/>
      <c r="K560"/>
      <c r="L560"/>
      <c r="M560"/>
      <c r="N560"/>
    </row>
    <row r="561" spans="1:14" x14ac:dyDescent="0.25">
      <c r="A561" t="str">
        <f t="shared" si="16"/>
        <v>2386051</v>
      </c>
      <c r="B561" t="str">
        <f t="shared" si="17"/>
        <v xml:space="preserve"> T-Mobile- Eastern OR Market 2025-2026</v>
      </c>
      <c r="C561" t="s">
        <v>1000</v>
      </c>
      <c r="D561" s="15">
        <v>27131.89</v>
      </c>
      <c r="E561" s="15">
        <v>31955.51</v>
      </c>
      <c r="F561" s="15">
        <v>-4823.62</v>
      </c>
      <c r="G561" s="34">
        <v>-17.778414994311099</v>
      </c>
      <c r="H561" s="15">
        <v>51936.86</v>
      </c>
      <c r="I561" s="15">
        <v>21844.2</v>
      </c>
      <c r="J561" s="15">
        <v>50000</v>
      </c>
      <c r="K561" s="15">
        <v>73781.06</v>
      </c>
      <c r="L561" s="15">
        <v>76565.919999999998</v>
      </c>
      <c r="M561" s="15">
        <v>-2784.86</v>
      </c>
      <c r="N561" s="34">
        <v>-3.7744917191485201</v>
      </c>
    </row>
    <row r="562" spans="1:14" x14ac:dyDescent="0.25">
      <c r="A562" t="e">
        <f t="shared" si="16"/>
        <v>#VALUE!</v>
      </c>
      <c r="B562" t="e">
        <f t="shared" si="17"/>
        <v>#VALUE!</v>
      </c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25">
      <c r="A563" t="e">
        <f t="shared" si="16"/>
        <v>#VALUE!</v>
      </c>
      <c r="B563" t="e">
        <f t="shared" si="17"/>
        <v>#VALUE!</v>
      </c>
      <c r="C563" s="14">
        <v>3000000</v>
      </c>
      <c r="D563" s="14">
        <v>3000000</v>
      </c>
      <c r="E563"/>
      <c r="F563"/>
      <c r="G563"/>
      <c r="H563"/>
      <c r="I563"/>
      <c r="J563"/>
      <c r="K563"/>
      <c r="L563"/>
      <c r="M563"/>
      <c r="N563"/>
    </row>
    <row r="564" spans="1:14" x14ac:dyDescent="0.25">
      <c r="A564" t="e">
        <f t="shared" si="16"/>
        <v>#VALUE!</v>
      </c>
      <c r="B564" t="e">
        <f t="shared" si="17"/>
        <v>#VALUE!</v>
      </c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25">
      <c r="A565" t="e">
        <f t="shared" si="16"/>
        <v>#VALUE!</v>
      </c>
      <c r="B565" t="e">
        <f t="shared" si="17"/>
        <v>#VALUE!</v>
      </c>
      <c r="D565" s="14">
        <v>0</v>
      </c>
      <c r="E565"/>
      <c r="F565"/>
      <c r="G565"/>
      <c r="H565"/>
      <c r="I565"/>
      <c r="J565"/>
      <c r="K565"/>
      <c r="L565"/>
      <c r="M565"/>
      <c r="N565"/>
    </row>
    <row r="566" spans="1:14" x14ac:dyDescent="0.25">
      <c r="A566" t="str">
        <f t="shared" si="16"/>
        <v>2386060</v>
      </c>
      <c r="B566" t="str">
        <f t="shared" si="17"/>
        <v xml:space="preserve"> T-Mobile-Portland Market 2026-2027</v>
      </c>
      <c r="C566" t="s">
        <v>1041</v>
      </c>
      <c r="D566" s="15">
        <v>59076.46</v>
      </c>
      <c r="E566" s="15">
        <v>56815.83</v>
      </c>
      <c r="F566" s="15">
        <v>2260.63</v>
      </c>
      <c r="G566" s="34">
        <v>3.82661723468197</v>
      </c>
      <c r="H566" s="15">
        <v>0</v>
      </c>
      <c r="I566" s="15">
        <v>65524.86</v>
      </c>
      <c r="J566" s="15">
        <v>3000000</v>
      </c>
      <c r="K566" s="15">
        <v>65524.86</v>
      </c>
      <c r="L566" s="15">
        <v>62621.94</v>
      </c>
      <c r="M566" s="15">
        <v>2902.92</v>
      </c>
      <c r="N566" s="34">
        <v>4.4302574625874804</v>
      </c>
    </row>
    <row r="567" spans="1:14" x14ac:dyDescent="0.25">
      <c r="A567" t="e">
        <f t="shared" si="16"/>
        <v>#VALUE!</v>
      </c>
      <c r="B567" t="e">
        <f t="shared" si="17"/>
        <v>#VALUE!</v>
      </c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25">
      <c r="A568" t="e">
        <f t="shared" si="16"/>
        <v>#VALUE!</v>
      </c>
      <c r="B568" t="e">
        <f t="shared" si="17"/>
        <v>#VALUE!</v>
      </c>
      <c r="C568" s="14">
        <v>149186.18</v>
      </c>
      <c r="D568" s="14">
        <v>149186.18</v>
      </c>
      <c r="E568"/>
      <c r="F568"/>
      <c r="G568"/>
      <c r="H568"/>
      <c r="I568"/>
      <c r="J568"/>
      <c r="K568"/>
      <c r="L568"/>
      <c r="M568"/>
      <c r="N568"/>
    </row>
    <row r="569" spans="1:14" x14ac:dyDescent="0.25">
      <c r="A569" t="e">
        <f t="shared" si="16"/>
        <v>#VALUE!</v>
      </c>
      <c r="B569" t="e">
        <f t="shared" si="17"/>
        <v>#VALUE!</v>
      </c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25">
      <c r="A570" t="e">
        <f t="shared" si="16"/>
        <v>#VALUE!</v>
      </c>
      <c r="B570" t="e">
        <f t="shared" si="17"/>
        <v>#VALUE!</v>
      </c>
      <c r="D570" s="14">
        <v>0</v>
      </c>
      <c r="E570"/>
      <c r="F570"/>
      <c r="G570"/>
      <c r="H570"/>
      <c r="I570"/>
      <c r="J570"/>
      <c r="K570"/>
      <c r="L570"/>
      <c r="M570"/>
      <c r="N570"/>
    </row>
    <row r="571" spans="1:14" x14ac:dyDescent="0.25">
      <c r="A571" t="str">
        <f t="shared" si="16"/>
        <v>2387000</v>
      </c>
      <c r="B571" t="str">
        <f t="shared" si="17"/>
        <v xml:space="preserve"> VZ-Verizon OR Ruch</v>
      </c>
      <c r="C571" t="s">
        <v>1144</v>
      </c>
      <c r="D571" s="15">
        <v>34946.57</v>
      </c>
      <c r="E571" s="15">
        <v>32644.53</v>
      </c>
      <c r="F571" s="15">
        <v>2302.04</v>
      </c>
      <c r="G571" s="34">
        <v>6.58731314689825</v>
      </c>
      <c r="H571" s="15">
        <v>0</v>
      </c>
      <c r="I571" s="15">
        <v>34946.57</v>
      </c>
      <c r="J571" s="15">
        <v>149186.18</v>
      </c>
      <c r="K571" s="15">
        <v>34946.57</v>
      </c>
      <c r="L571" s="15">
        <v>32644.53</v>
      </c>
      <c r="M571" s="15">
        <v>2302.04</v>
      </c>
      <c r="N571" s="34">
        <v>6.58731314689825</v>
      </c>
    </row>
    <row r="572" spans="1:14" x14ac:dyDescent="0.25">
      <c r="A572" t="e">
        <f t="shared" si="16"/>
        <v>#VALUE!</v>
      </c>
      <c r="B572" t="e">
        <f t="shared" si="17"/>
        <v>#VALUE!</v>
      </c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25">
      <c r="A573" t="e">
        <f t="shared" si="16"/>
        <v>#VALUE!</v>
      </c>
      <c r="B573" t="e">
        <f t="shared" si="17"/>
        <v>#VALUE!</v>
      </c>
      <c r="C573" s="14">
        <v>350000</v>
      </c>
      <c r="D573" s="14">
        <v>350000</v>
      </c>
      <c r="E573"/>
      <c r="F573"/>
      <c r="G573"/>
      <c r="H573"/>
      <c r="I573"/>
      <c r="J573"/>
      <c r="K573"/>
      <c r="L573"/>
      <c r="M573"/>
      <c r="N573"/>
    </row>
    <row r="574" spans="1:14" x14ac:dyDescent="0.25">
      <c r="A574" t="e">
        <f t="shared" si="16"/>
        <v>#VALUE!</v>
      </c>
      <c r="B574" t="e">
        <f t="shared" si="17"/>
        <v>#VALUE!</v>
      </c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25">
      <c r="A575" t="e">
        <f t="shared" si="16"/>
        <v>#VALUE!</v>
      </c>
      <c r="B575" t="e">
        <f t="shared" si="17"/>
        <v>#VALUE!</v>
      </c>
      <c r="D575" s="14">
        <v>0</v>
      </c>
      <c r="E575"/>
      <c r="F575"/>
      <c r="G575"/>
      <c r="H575"/>
      <c r="I575"/>
      <c r="J575"/>
      <c r="K575"/>
      <c r="L575"/>
      <c r="M575"/>
      <c r="N575"/>
    </row>
    <row r="576" spans="1:14" x14ac:dyDescent="0.25">
      <c r="A576" t="str">
        <f t="shared" si="16"/>
        <v>2484111</v>
      </c>
      <c r="B576" t="str">
        <f t="shared" si="17"/>
        <v xml:space="preserve"> VZ-Verizon Spokane Market (MSA)</v>
      </c>
      <c r="C576" t="s">
        <v>421</v>
      </c>
      <c r="D576" s="15">
        <v>45839.29</v>
      </c>
      <c r="E576" s="15">
        <v>41077.5</v>
      </c>
      <c r="F576" s="15">
        <v>4761.79</v>
      </c>
      <c r="G576" s="34">
        <v>10.3880099364541</v>
      </c>
      <c r="H576" s="15">
        <v>674147.45</v>
      </c>
      <c r="I576" s="15">
        <v>121852.23</v>
      </c>
      <c r="J576" s="15">
        <v>350000</v>
      </c>
      <c r="K576" s="15">
        <v>795999.68</v>
      </c>
      <c r="L576" s="15">
        <v>759225.12</v>
      </c>
      <c r="M576" s="15">
        <v>36774.559999999998</v>
      </c>
      <c r="N576" s="34">
        <v>4.6199214552448096</v>
      </c>
    </row>
    <row r="577" spans="1:14" x14ac:dyDescent="0.25">
      <c r="A577" t="e">
        <f t="shared" si="16"/>
        <v>#VALUE!</v>
      </c>
      <c r="B577" t="e">
        <f t="shared" si="17"/>
        <v>#VALUE!</v>
      </c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25">
      <c r="A578" t="e">
        <f t="shared" si="16"/>
        <v>#VALUE!</v>
      </c>
      <c r="B578" t="e">
        <f t="shared" si="17"/>
        <v>#VALUE!</v>
      </c>
      <c r="C578" s="14">
        <v>150000</v>
      </c>
      <c r="D578" s="14">
        <v>150000</v>
      </c>
      <c r="E578"/>
      <c r="F578"/>
      <c r="G578"/>
      <c r="H578"/>
      <c r="I578"/>
      <c r="J578"/>
      <c r="K578"/>
      <c r="L578"/>
      <c r="M578"/>
      <c r="N578"/>
    </row>
    <row r="579" spans="1:14" x14ac:dyDescent="0.25">
      <c r="A579" t="e">
        <f t="shared" si="16"/>
        <v>#VALUE!</v>
      </c>
      <c r="B579" t="e">
        <f t="shared" si="17"/>
        <v>#VALUE!</v>
      </c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25">
      <c r="A580" t="e">
        <f t="shared" si="16"/>
        <v>#VALUE!</v>
      </c>
      <c r="B580" t="e">
        <f t="shared" si="17"/>
        <v>#VALUE!</v>
      </c>
      <c r="D580" s="14">
        <v>0</v>
      </c>
      <c r="E580"/>
      <c r="F580"/>
      <c r="G580"/>
      <c r="H580"/>
      <c r="I580"/>
      <c r="J580"/>
      <c r="K580"/>
      <c r="L580"/>
      <c r="M580"/>
      <c r="N580"/>
    </row>
    <row r="581" spans="1:14" x14ac:dyDescent="0.25">
      <c r="A581" t="str">
        <f t="shared" ref="A581:A644" si="18">LEFT(C581,FIND(" ",C581)-1)</f>
        <v>2484115</v>
      </c>
      <c r="B581" t="str">
        <f t="shared" ref="B581:B644" si="19">RIGHT(C581,LEN(C581)-FIND(" ",C581))</f>
        <v xml:space="preserve"> American Tower Corporation-WA</v>
      </c>
      <c r="C581" t="s">
        <v>984</v>
      </c>
      <c r="D581" s="15">
        <v>0</v>
      </c>
      <c r="E581" s="15">
        <v>7.26</v>
      </c>
      <c r="F581" s="15">
        <v>-7.26</v>
      </c>
      <c r="G581" s="34">
        <v>0</v>
      </c>
      <c r="H581" s="15">
        <v>34982.74</v>
      </c>
      <c r="I581" s="15">
        <v>0</v>
      </c>
      <c r="J581" s="15">
        <v>150000</v>
      </c>
      <c r="K581" s="15">
        <v>34982.74</v>
      </c>
      <c r="L581" s="15">
        <v>29538.69</v>
      </c>
      <c r="M581" s="15">
        <v>5444.05</v>
      </c>
      <c r="N581" s="34">
        <v>15.5621029113214</v>
      </c>
    </row>
    <row r="582" spans="1:14" x14ac:dyDescent="0.25">
      <c r="A582" t="e">
        <f t="shared" si="18"/>
        <v>#VALUE!</v>
      </c>
      <c r="B582" t="e">
        <f t="shared" si="19"/>
        <v>#VALUE!</v>
      </c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25">
      <c r="A583" t="e">
        <f t="shared" si="18"/>
        <v>#VALUE!</v>
      </c>
      <c r="B583" t="e">
        <f t="shared" si="19"/>
        <v>#VALUE!</v>
      </c>
      <c r="C583" s="14">
        <v>600000</v>
      </c>
      <c r="D583" s="14">
        <v>600000</v>
      </c>
      <c r="E583"/>
      <c r="F583"/>
      <c r="G583"/>
      <c r="H583"/>
      <c r="I583"/>
      <c r="J583"/>
      <c r="K583"/>
      <c r="L583"/>
      <c r="M583"/>
      <c r="N583"/>
    </row>
    <row r="584" spans="1:14" x14ac:dyDescent="0.25">
      <c r="A584" t="e">
        <f t="shared" si="18"/>
        <v>#VALUE!</v>
      </c>
      <c r="B584" t="e">
        <f t="shared" si="19"/>
        <v>#VALUE!</v>
      </c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25">
      <c r="A585" t="e">
        <f t="shared" si="18"/>
        <v>#VALUE!</v>
      </c>
      <c r="B585" t="e">
        <f t="shared" si="19"/>
        <v>#VALUE!</v>
      </c>
      <c r="D585" s="14">
        <v>0</v>
      </c>
      <c r="E585"/>
      <c r="F585"/>
      <c r="G585"/>
      <c r="H585"/>
      <c r="I585"/>
      <c r="J585"/>
      <c r="K585"/>
      <c r="L585"/>
      <c r="M585"/>
      <c r="N585"/>
    </row>
    <row r="586" spans="1:14" x14ac:dyDescent="0.25">
      <c r="A586" t="str">
        <f t="shared" si="18"/>
        <v>2484116</v>
      </c>
      <c r="B586" t="str">
        <f t="shared" si="19"/>
        <v xml:space="preserve"> VZ-Verizon Sw Wa Market (MSA)</v>
      </c>
      <c r="C586" t="s">
        <v>198</v>
      </c>
      <c r="D586" s="15">
        <v>64620.97</v>
      </c>
      <c r="E586" s="15">
        <v>63221.88</v>
      </c>
      <c r="F586" s="15">
        <v>1399.09</v>
      </c>
      <c r="G586" s="34">
        <v>2.16507118354924</v>
      </c>
      <c r="H586" s="15">
        <v>1172155.68</v>
      </c>
      <c r="I586" s="15">
        <v>64620.97</v>
      </c>
      <c r="J586" s="15">
        <v>600000</v>
      </c>
      <c r="K586" s="15">
        <v>1236776.6499999999</v>
      </c>
      <c r="L586" s="15">
        <v>1153368.1299999999</v>
      </c>
      <c r="M586" s="15">
        <v>83408.52</v>
      </c>
      <c r="N586" s="34">
        <v>6.7440244768527897</v>
      </c>
    </row>
    <row r="587" spans="1:14" x14ac:dyDescent="0.25">
      <c r="A587" t="e">
        <f t="shared" si="18"/>
        <v>#VALUE!</v>
      </c>
      <c r="B587" t="e">
        <f t="shared" si="19"/>
        <v>#VALUE!</v>
      </c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25">
      <c r="A588" t="e">
        <f t="shared" si="18"/>
        <v>#VALUE!</v>
      </c>
      <c r="B588" t="e">
        <f t="shared" si="19"/>
        <v>#VALUE!</v>
      </c>
      <c r="C588" s="14">
        <v>12600</v>
      </c>
      <c r="D588" s="14">
        <v>12600</v>
      </c>
      <c r="E588"/>
      <c r="F588"/>
      <c r="G588"/>
      <c r="H588"/>
      <c r="I588"/>
      <c r="J588"/>
      <c r="K588"/>
      <c r="L588"/>
      <c r="M588"/>
      <c r="N588"/>
    </row>
    <row r="589" spans="1:14" x14ac:dyDescent="0.25">
      <c r="A589" t="e">
        <f t="shared" si="18"/>
        <v>#VALUE!</v>
      </c>
      <c r="B589" t="e">
        <f t="shared" si="19"/>
        <v>#VALUE!</v>
      </c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25">
      <c r="A590" t="e">
        <f t="shared" si="18"/>
        <v>#VALUE!</v>
      </c>
      <c r="B590" t="e">
        <f t="shared" si="19"/>
        <v>#VALUE!</v>
      </c>
      <c r="D590" s="14">
        <v>0</v>
      </c>
      <c r="E590"/>
      <c r="F590"/>
      <c r="G590"/>
      <c r="H590"/>
      <c r="I590"/>
      <c r="J590"/>
      <c r="K590"/>
      <c r="L590"/>
      <c r="M590"/>
      <c r="N590"/>
    </row>
    <row r="591" spans="1:14" x14ac:dyDescent="0.25">
      <c r="A591" t="str">
        <f t="shared" si="18"/>
        <v>2484120</v>
      </c>
      <c r="B591" t="str">
        <f t="shared" si="19"/>
        <v xml:space="preserve"> Colville Tribes - Wireless Maintenance</v>
      </c>
      <c r="C591" t="s">
        <v>985</v>
      </c>
      <c r="D591" s="15">
        <v>0</v>
      </c>
      <c r="E591" s="15">
        <v>0</v>
      </c>
      <c r="F591" s="15">
        <v>0</v>
      </c>
      <c r="G591" s="34">
        <v>0</v>
      </c>
      <c r="H591" s="15">
        <v>73423.820000000007</v>
      </c>
      <c r="I591" s="15">
        <v>0</v>
      </c>
      <c r="J591" s="15">
        <v>12600</v>
      </c>
      <c r="K591" s="15">
        <v>73423.820000000007</v>
      </c>
      <c r="L591" s="15">
        <v>53482.51</v>
      </c>
      <c r="M591" s="15">
        <v>19941.310000000001</v>
      </c>
      <c r="N591" s="34">
        <v>27.159183491134101</v>
      </c>
    </row>
    <row r="592" spans="1:14" x14ac:dyDescent="0.25">
      <c r="A592" t="e">
        <f t="shared" si="18"/>
        <v>#VALUE!</v>
      </c>
      <c r="B592" t="e">
        <f t="shared" si="19"/>
        <v>#VALUE!</v>
      </c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25">
      <c r="A593" t="e">
        <f t="shared" si="18"/>
        <v>#VALUE!</v>
      </c>
      <c r="B593" t="e">
        <f t="shared" si="19"/>
        <v>#VALUE!</v>
      </c>
      <c r="C593" s="14">
        <v>228033.16</v>
      </c>
      <c r="D593" s="14">
        <v>228033.16</v>
      </c>
      <c r="E593"/>
      <c r="F593"/>
      <c r="G593"/>
      <c r="H593"/>
      <c r="I593"/>
      <c r="J593"/>
      <c r="K593"/>
      <c r="L593"/>
      <c r="M593"/>
      <c r="N593"/>
    </row>
    <row r="594" spans="1:14" x14ac:dyDescent="0.25">
      <c r="A594" t="e">
        <f t="shared" si="18"/>
        <v>#VALUE!</v>
      </c>
      <c r="B594" t="e">
        <f t="shared" si="19"/>
        <v>#VALUE!</v>
      </c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25">
      <c r="A595" t="e">
        <f t="shared" si="18"/>
        <v>#VALUE!</v>
      </c>
      <c r="B595" t="e">
        <f t="shared" si="19"/>
        <v>#VALUE!</v>
      </c>
      <c r="D595" s="14">
        <v>0</v>
      </c>
      <c r="E595"/>
      <c r="F595"/>
      <c r="G595"/>
      <c r="H595"/>
      <c r="I595"/>
      <c r="J595"/>
      <c r="K595"/>
      <c r="L595"/>
      <c r="M595"/>
      <c r="N595"/>
    </row>
    <row r="596" spans="1:14" x14ac:dyDescent="0.25">
      <c r="A596" t="str">
        <f t="shared" si="18"/>
        <v>2485013</v>
      </c>
      <c r="B596" t="str">
        <f t="shared" si="19"/>
        <v xml:space="preserve"> VZ-Verizon Wa North Colfax</v>
      </c>
      <c r="C596" t="s">
        <v>411</v>
      </c>
      <c r="D596" s="15">
        <v>0</v>
      </c>
      <c r="E596" s="15">
        <v>0</v>
      </c>
      <c r="F596" s="15">
        <v>0</v>
      </c>
      <c r="G596" s="34">
        <v>0</v>
      </c>
      <c r="H596" s="15">
        <v>224337.66</v>
      </c>
      <c r="I596" s="15">
        <v>6497.5</v>
      </c>
      <c r="J596" s="15">
        <v>228033.16</v>
      </c>
      <c r="K596" s="15">
        <v>230835.16</v>
      </c>
      <c r="L596" s="15">
        <v>211644.11</v>
      </c>
      <c r="M596" s="15">
        <v>19191.05</v>
      </c>
      <c r="N596" s="34">
        <v>8.3137464847209603</v>
      </c>
    </row>
    <row r="597" spans="1:14" x14ac:dyDescent="0.25">
      <c r="A597" t="e">
        <f t="shared" si="18"/>
        <v>#VALUE!</v>
      </c>
      <c r="B597" t="e">
        <f t="shared" si="19"/>
        <v>#VALUE!</v>
      </c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25">
      <c r="A598" t="e">
        <f t="shared" si="18"/>
        <v>#VALUE!</v>
      </c>
      <c r="B598" t="e">
        <f t="shared" si="19"/>
        <v>#VALUE!</v>
      </c>
      <c r="C598" s="14">
        <v>259629.31</v>
      </c>
      <c r="D598" s="14">
        <v>259629.31</v>
      </c>
      <c r="E598"/>
      <c r="F598"/>
      <c r="G598"/>
      <c r="H598"/>
      <c r="I598"/>
      <c r="J598"/>
      <c r="K598"/>
      <c r="L598"/>
      <c r="M598"/>
      <c r="N598"/>
    </row>
    <row r="599" spans="1:14" x14ac:dyDescent="0.25">
      <c r="A599" t="e">
        <f t="shared" si="18"/>
        <v>#VALUE!</v>
      </c>
      <c r="B599" t="e">
        <f t="shared" si="19"/>
        <v>#VALUE!</v>
      </c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25">
      <c r="A600" t="e">
        <f t="shared" si="18"/>
        <v>#VALUE!</v>
      </c>
      <c r="B600" t="e">
        <f t="shared" si="19"/>
        <v>#VALUE!</v>
      </c>
      <c r="D600" s="14">
        <v>0</v>
      </c>
      <c r="E600"/>
      <c r="F600"/>
      <c r="G600"/>
      <c r="H600"/>
      <c r="I600"/>
      <c r="J600"/>
      <c r="K600"/>
      <c r="L600"/>
      <c r="M600"/>
      <c r="N600"/>
    </row>
    <row r="601" spans="1:14" x14ac:dyDescent="0.25">
      <c r="A601" t="str">
        <f t="shared" si="18"/>
        <v>2485014</v>
      </c>
      <c r="B601" t="str">
        <f t="shared" si="19"/>
        <v xml:space="preserve"> VZ-Verizon Wa Booker Rd</v>
      </c>
      <c r="C601" t="s">
        <v>1001</v>
      </c>
      <c r="D601" s="15">
        <v>0</v>
      </c>
      <c r="E601" s="15">
        <v>0</v>
      </c>
      <c r="F601" s="15">
        <v>0</v>
      </c>
      <c r="G601" s="34">
        <v>0</v>
      </c>
      <c r="H601" s="15">
        <v>259629.31</v>
      </c>
      <c r="I601" s="15">
        <v>4.5474735088646402E-13</v>
      </c>
      <c r="J601" s="15">
        <v>259629.31</v>
      </c>
      <c r="K601" s="15">
        <v>259629.31</v>
      </c>
      <c r="L601" s="15">
        <v>225094.7</v>
      </c>
      <c r="M601" s="15">
        <v>34534.61</v>
      </c>
      <c r="N601" s="34">
        <v>13.301506675036</v>
      </c>
    </row>
    <row r="602" spans="1:14" x14ac:dyDescent="0.25">
      <c r="A602" t="e">
        <f t="shared" si="18"/>
        <v>#VALUE!</v>
      </c>
      <c r="B602" t="e">
        <f t="shared" si="19"/>
        <v>#VALUE!</v>
      </c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25">
      <c r="A603" t="e">
        <f t="shared" si="18"/>
        <v>#VALUE!</v>
      </c>
      <c r="B603" t="e">
        <f t="shared" si="19"/>
        <v>#VALUE!</v>
      </c>
      <c r="C603" s="14">
        <v>0</v>
      </c>
      <c r="D603" s="14">
        <v>0</v>
      </c>
      <c r="E603"/>
      <c r="F603"/>
      <c r="G603"/>
      <c r="H603"/>
      <c r="I603"/>
      <c r="J603"/>
      <c r="K603"/>
      <c r="L603"/>
      <c r="M603"/>
      <c r="N603"/>
    </row>
    <row r="604" spans="1:14" x14ac:dyDescent="0.25">
      <c r="A604" t="e">
        <f t="shared" si="18"/>
        <v>#VALUE!</v>
      </c>
      <c r="B604" t="e">
        <f t="shared" si="19"/>
        <v>#VALUE!</v>
      </c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25">
      <c r="A605" t="e">
        <f t="shared" si="18"/>
        <v>#VALUE!</v>
      </c>
      <c r="B605" t="e">
        <f t="shared" si="19"/>
        <v>#VALUE!</v>
      </c>
      <c r="D605" s="14">
        <v>0</v>
      </c>
      <c r="E605"/>
      <c r="F605"/>
      <c r="G605"/>
      <c r="H605"/>
      <c r="I605"/>
      <c r="J605"/>
      <c r="K605"/>
      <c r="L605"/>
      <c r="M605"/>
      <c r="N605"/>
    </row>
    <row r="606" spans="1:14" x14ac:dyDescent="0.25">
      <c r="A606" t="str">
        <f t="shared" si="18"/>
        <v>2486021</v>
      </c>
      <c r="B606" t="str">
        <f t="shared" si="19"/>
        <v xml:space="preserve"> Astound - WA- Oak Harbor</v>
      </c>
      <c r="C606" t="s">
        <v>816</v>
      </c>
      <c r="D606" s="15">
        <v>0</v>
      </c>
      <c r="E606" s="15">
        <v>0</v>
      </c>
      <c r="F606" s="15">
        <v>0</v>
      </c>
      <c r="G606" s="34">
        <v>0</v>
      </c>
      <c r="H606" s="15">
        <v>0</v>
      </c>
      <c r="I606" s="15">
        <v>8400</v>
      </c>
      <c r="J606" s="15">
        <v>0</v>
      </c>
      <c r="K606" s="15">
        <v>8400</v>
      </c>
      <c r="L606" s="15">
        <v>6564.52</v>
      </c>
      <c r="M606" s="15">
        <v>1835.48</v>
      </c>
      <c r="N606" s="34">
        <v>21.8509523809524</v>
      </c>
    </row>
    <row r="607" spans="1:14" x14ac:dyDescent="0.25">
      <c r="A607" t="e">
        <f t="shared" si="18"/>
        <v>#VALUE!</v>
      </c>
      <c r="B607" t="e">
        <f t="shared" si="19"/>
        <v>#VALUE!</v>
      </c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25">
      <c r="A608" t="e">
        <f t="shared" si="18"/>
        <v>#VALUE!</v>
      </c>
      <c r="B608" t="e">
        <f t="shared" si="19"/>
        <v>#VALUE!</v>
      </c>
      <c r="C608" s="14">
        <v>0</v>
      </c>
      <c r="D608" s="14">
        <v>0</v>
      </c>
      <c r="E608"/>
      <c r="F608"/>
      <c r="G608"/>
      <c r="H608"/>
      <c r="I608"/>
      <c r="J608"/>
      <c r="K608"/>
      <c r="L608"/>
      <c r="M608"/>
      <c r="N608"/>
    </row>
    <row r="609" spans="1:14" x14ac:dyDescent="0.25">
      <c r="A609" t="e">
        <f t="shared" si="18"/>
        <v>#VALUE!</v>
      </c>
      <c r="B609" t="e">
        <f t="shared" si="19"/>
        <v>#VALUE!</v>
      </c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25">
      <c r="A610" t="e">
        <f t="shared" si="18"/>
        <v>#VALUE!</v>
      </c>
      <c r="B610" t="e">
        <f t="shared" si="19"/>
        <v>#VALUE!</v>
      </c>
      <c r="D610" s="14">
        <v>0</v>
      </c>
      <c r="E610"/>
      <c r="F610"/>
      <c r="G610"/>
      <c r="H610"/>
      <c r="I610"/>
      <c r="J610"/>
      <c r="K610"/>
      <c r="L610"/>
      <c r="M610"/>
      <c r="N610"/>
    </row>
    <row r="611" spans="1:14" x14ac:dyDescent="0.25">
      <c r="A611" t="str">
        <f t="shared" si="18"/>
        <v>2486022</v>
      </c>
      <c r="B611" t="str">
        <f t="shared" si="19"/>
        <v xml:space="preserve"> Astound - WA - Lewis River</v>
      </c>
      <c r="C611" t="s">
        <v>817</v>
      </c>
      <c r="D611" s="15">
        <v>0</v>
      </c>
      <c r="E611" s="15">
        <v>0</v>
      </c>
      <c r="F611" s="15">
        <v>0</v>
      </c>
      <c r="G611" s="34">
        <v>0</v>
      </c>
      <c r="H611" s="15">
        <v>121030</v>
      </c>
      <c r="I611" s="15">
        <v>0</v>
      </c>
      <c r="J611" s="15">
        <v>0</v>
      </c>
      <c r="K611" s="15">
        <v>121030</v>
      </c>
      <c r="L611" s="15">
        <v>93987.32</v>
      </c>
      <c r="M611" s="15">
        <v>27042.68</v>
      </c>
      <c r="N611" s="34">
        <v>22.343782533256199</v>
      </c>
    </row>
    <row r="612" spans="1:14" x14ac:dyDescent="0.25">
      <c r="A612" t="e">
        <f t="shared" si="18"/>
        <v>#VALUE!</v>
      </c>
      <c r="B612" t="e">
        <f t="shared" si="19"/>
        <v>#VALUE!</v>
      </c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25">
      <c r="A613" t="e">
        <f t="shared" si="18"/>
        <v>#VALUE!</v>
      </c>
      <c r="B613" t="e">
        <f t="shared" si="19"/>
        <v>#VALUE!</v>
      </c>
      <c r="C613" s="14">
        <v>0</v>
      </c>
      <c r="D613" s="14">
        <v>0</v>
      </c>
      <c r="E613"/>
      <c r="F613"/>
      <c r="G613"/>
      <c r="H613"/>
      <c r="I613"/>
      <c r="J613"/>
      <c r="K613"/>
      <c r="L613"/>
      <c r="M613"/>
      <c r="N613"/>
    </row>
    <row r="614" spans="1:14" x14ac:dyDescent="0.25">
      <c r="A614" t="e">
        <f t="shared" si="18"/>
        <v>#VALUE!</v>
      </c>
      <c r="B614" t="e">
        <f t="shared" si="19"/>
        <v>#VALUE!</v>
      </c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25">
      <c r="A615" t="e">
        <f t="shared" si="18"/>
        <v>#VALUE!</v>
      </c>
      <c r="B615" t="e">
        <f t="shared" si="19"/>
        <v>#VALUE!</v>
      </c>
      <c r="D615" s="14">
        <v>0</v>
      </c>
      <c r="E615"/>
      <c r="F615"/>
      <c r="G615"/>
      <c r="H615"/>
      <c r="I615"/>
      <c r="J615"/>
      <c r="K615"/>
      <c r="L615"/>
      <c r="M615"/>
      <c r="N615"/>
    </row>
    <row r="616" spans="1:14" x14ac:dyDescent="0.25">
      <c r="A616" t="str">
        <f t="shared" si="18"/>
        <v>2486024</v>
      </c>
      <c r="B616" t="str">
        <f t="shared" si="19"/>
        <v xml:space="preserve"> Astound - WA - Drone Work</v>
      </c>
      <c r="C616" t="s">
        <v>1021</v>
      </c>
      <c r="D616" s="15">
        <v>0</v>
      </c>
      <c r="E616" s="15">
        <v>31.46</v>
      </c>
      <c r="F616" s="15">
        <v>-31.46</v>
      </c>
      <c r="G616" s="34">
        <v>0</v>
      </c>
      <c r="H616" s="15">
        <v>6500</v>
      </c>
      <c r="I616" s="15">
        <v>0</v>
      </c>
      <c r="J616" s="15">
        <v>0</v>
      </c>
      <c r="K616" s="15">
        <v>6500</v>
      </c>
      <c r="L616" s="15">
        <v>4309.1099999999997</v>
      </c>
      <c r="M616" s="15">
        <v>2190.89</v>
      </c>
      <c r="N616" s="34">
        <v>33.706000000000003</v>
      </c>
    </row>
    <row r="617" spans="1:14" x14ac:dyDescent="0.25">
      <c r="A617" t="e">
        <f t="shared" si="18"/>
        <v>#VALUE!</v>
      </c>
      <c r="B617" t="e">
        <f t="shared" si="19"/>
        <v>#VALUE!</v>
      </c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25">
      <c r="A618" t="e">
        <f t="shared" si="18"/>
        <v>#VALUE!</v>
      </c>
      <c r="B618" t="e">
        <f t="shared" si="19"/>
        <v>#VALUE!</v>
      </c>
      <c r="C618" s="14">
        <v>4894499.5199999996</v>
      </c>
      <c r="D618" s="14">
        <v>4894499.5199999996</v>
      </c>
      <c r="E618"/>
      <c r="F618"/>
      <c r="G618"/>
      <c r="H618"/>
      <c r="I618"/>
      <c r="J618"/>
      <c r="K618"/>
      <c r="L618"/>
      <c r="M618"/>
      <c r="N618"/>
    </row>
    <row r="619" spans="1:14" x14ac:dyDescent="0.25">
      <c r="A619" t="e">
        <f t="shared" si="18"/>
        <v>#VALUE!</v>
      </c>
      <c r="B619" t="e">
        <f t="shared" si="19"/>
        <v>#VALUE!</v>
      </c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25">
      <c r="A620" t="e">
        <f t="shared" si="18"/>
        <v>#VALUE!</v>
      </c>
      <c r="B620" t="e">
        <f t="shared" si="19"/>
        <v>#VALUE!</v>
      </c>
      <c r="D620" s="14">
        <v>0</v>
      </c>
      <c r="E620"/>
      <c r="F620"/>
      <c r="G620"/>
      <c r="H620"/>
      <c r="I620"/>
      <c r="J620"/>
      <c r="K620"/>
      <c r="L620"/>
      <c r="M620"/>
      <c r="N620"/>
    </row>
    <row r="621" spans="1:14" x14ac:dyDescent="0.25">
      <c r="A621" t="str">
        <f t="shared" si="18"/>
        <v>2486025</v>
      </c>
      <c r="B621" t="str">
        <f t="shared" si="19"/>
        <v xml:space="preserve"> Colville Tribes - Wireless Sites</v>
      </c>
      <c r="C621" t="s">
        <v>738</v>
      </c>
      <c r="D621" s="15">
        <v>92885</v>
      </c>
      <c r="E621" s="15">
        <v>102033.97</v>
      </c>
      <c r="F621" s="15">
        <v>-9148.9699999999993</v>
      </c>
      <c r="G621" s="34">
        <v>-9.8497819884803803</v>
      </c>
      <c r="H621" s="15">
        <v>500000</v>
      </c>
      <c r="I621" s="15">
        <v>263332.86</v>
      </c>
      <c r="J621" s="15">
        <v>4894499.5199999996</v>
      </c>
      <c r="K621" s="15">
        <v>763332.86</v>
      </c>
      <c r="L621" s="15">
        <v>753008.32</v>
      </c>
      <c r="M621" s="15">
        <v>10324.540000000001</v>
      </c>
      <c r="N621" s="34">
        <v>1.3525606640332499</v>
      </c>
    </row>
    <row r="622" spans="1:14" x14ac:dyDescent="0.25">
      <c r="A622" t="e">
        <f t="shared" si="18"/>
        <v>#VALUE!</v>
      </c>
      <c r="B622" t="e">
        <f t="shared" si="19"/>
        <v>#VALUE!</v>
      </c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25">
      <c r="A623" t="e">
        <f t="shared" si="18"/>
        <v>#VALUE!</v>
      </c>
      <c r="B623" t="e">
        <f t="shared" si="19"/>
        <v>#VALUE!</v>
      </c>
      <c r="C623" s="14">
        <v>878171.98</v>
      </c>
      <c r="D623" s="14">
        <v>878171.98</v>
      </c>
      <c r="E623"/>
      <c r="F623"/>
      <c r="G623"/>
      <c r="H623"/>
      <c r="I623"/>
      <c r="J623"/>
      <c r="K623"/>
      <c r="L623"/>
      <c r="M623"/>
      <c r="N623"/>
    </row>
    <row r="624" spans="1:14" x14ac:dyDescent="0.25">
      <c r="A624" t="e">
        <f t="shared" si="18"/>
        <v>#VALUE!</v>
      </c>
      <c r="B624" t="e">
        <f t="shared" si="19"/>
        <v>#VALUE!</v>
      </c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25">
      <c r="A625" t="e">
        <f t="shared" si="18"/>
        <v>#VALUE!</v>
      </c>
      <c r="B625" t="e">
        <f t="shared" si="19"/>
        <v>#VALUE!</v>
      </c>
      <c r="D625" s="14">
        <v>0</v>
      </c>
      <c r="E625"/>
      <c r="F625"/>
      <c r="G625"/>
      <c r="H625"/>
      <c r="I625"/>
      <c r="J625"/>
      <c r="K625"/>
      <c r="L625"/>
      <c r="M625"/>
      <c r="N625"/>
    </row>
    <row r="626" spans="1:14" x14ac:dyDescent="0.25">
      <c r="A626" t="str">
        <f t="shared" si="18"/>
        <v>2486026</v>
      </c>
      <c r="B626" t="str">
        <f t="shared" si="19"/>
        <v xml:space="preserve"> Colville Tribes - MAT Solar</v>
      </c>
      <c r="C626" t="s">
        <v>868</v>
      </c>
      <c r="D626" s="15">
        <v>18763</v>
      </c>
      <c r="E626" s="15">
        <v>18839.47</v>
      </c>
      <c r="F626" s="15">
        <v>-76.47</v>
      </c>
      <c r="G626" s="34">
        <v>-0.407557426850717</v>
      </c>
      <c r="H626" s="15">
        <v>0</v>
      </c>
      <c r="I626" s="15">
        <v>144263</v>
      </c>
      <c r="J626" s="15">
        <v>878171.98</v>
      </c>
      <c r="K626" s="15">
        <v>144263</v>
      </c>
      <c r="L626" s="15">
        <v>139744.20000000001</v>
      </c>
      <c r="M626" s="15">
        <v>4518.8</v>
      </c>
      <c r="N626" s="34">
        <v>3.1323346942736499</v>
      </c>
    </row>
    <row r="627" spans="1:14" x14ac:dyDescent="0.25">
      <c r="A627" t="e">
        <f t="shared" si="18"/>
        <v>#VALUE!</v>
      </c>
      <c r="B627" t="e">
        <f t="shared" si="19"/>
        <v>#VALUE!</v>
      </c>
      <c r="D627"/>
      <c r="E627" s="15"/>
      <c r="F627" s="15"/>
      <c r="G627" s="15"/>
      <c r="H627" s="15"/>
      <c r="I627" s="15"/>
      <c r="J627" s="15"/>
      <c r="K627" s="14"/>
      <c r="L627" s="15"/>
      <c r="M627" s="15"/>
      <c r="N627" s="14"/>
    </row>
    <row r="628" spans="1:14" x14ac:dyDescent="0.25">
      <c r="A628" t="e">
        <f t="shared" si="18"/>
        <v>#VALUE!</v>
      </c>
      <c r="B628" t="e">
        <f t="shared" si="19"/>
        <v>#VALUE!</v>
      </c>
      <c r="C628">
        <v>23637</v>
      </c>
      <c r="D628">
        <v>23637</v>
      </c>
      <c r="E628"/>
      <c r="F628"/>
      <c r="G628"/>
      <c r="H628"/>
      <c r="I628"/>
      <c r="J628"/>
      <c r="K628"/>
      <c r="L628"/>
      <c r="M628"/>
      <c r="N628"/>
    </row>
    <row r="629" spans="1:14" x14ac:dyDescent="0.25">
      <c r="A629" t="e">
        <f t="shared" si="18"/>
        <v>#VALUE!</v>
      </c>
      <c r="B629" t="e">
        <f t="shared" si="19"/>
        <v>#VALUE!</v>
      </c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25">
      <c r="A630" t="e">
        <f t="shared" si="18"/>
        <v>#VALUE!</v>
      </c>
      <c r="B630" t="e">
        <f t="shared" si="19"/>
        <v>#VALUE!</v>
      </c>
      <c r="C630" s="14"/>
      <c r="D630" s="14">
        <v>0</v>
      </c>
      <c r="E630"/>
      <c r="F630"/>
      <c r="G630"/>
      <c r="H630"/>
      <c r="I630"/>
      <c r="J630"/>
      <c r="K630"/>
      <c r="L630"/>
      <c r="M630"/>
      <c r="N630"/>
    </row>
    <row r="631" spans="1:14" x14ac:dyDescent="0.25">
      <c r="A631" t="str">
        <f t="shared" si="18"/>
        <v>2486030</v>
      </c>
      <c r="B631" t="str">
        <f t="shared" si="19"/>
        <v xml:space="preserve"> Spokane Tribe - WA</v>
      </c>
      <c r="C631" t="s">
        <v>1022</v>
      </c>
      <c r="D631">
        <v>2600</v>
      </c>
      <c r="E631">
        <v>2777.11</v>
      </c>
      <c r="F631">
        <v>-177.11</v>
      </c>
      <c r="G631">
        <v>-6.8119230769230796</v>
      </c>
      <c r="H631">
        <v>23637.33</v>
      </c>
      <c r="I631">
        <v>2600</v>
      </c>
      <c r="J631">
        <v>23637</v>
      </c>
      <c r="K631">
        <v>26237.33</v>
      </c>
      <c r="L631">
        <v>22418.93</v>
      </c>
      <c r="M631">
        <v>3818.4</v>
      </c>
      <c r="N631">
        <v>14.5533101119664</v>
      </c>
    </row>
    <row r="632" spans="1:14" x14ac:dyDescent="0.25">
      <c r="A632" t="e">
        <f t="shared" si="18"/>
        <v>#VALUE!</v>
      </c>
      <c r="B632" t="e">
        <f t="shared" si="19"/>
        <v>#VALUE!</v>
      </c>
      <c r="D632" s="14"/>
      <c r="E632"/>
      <c r="F632"/>
      <c r="G632"/>
      <c r="H632"/>
      <c r="I632"/>
      <c r="J632"/>
      <c r="K632"/>
      <c r="L632"/>
      <c r="M632"/>
      <c r="N632"/>
    </row>
    <row r="633" spans="1:14" x14ac:dyDescent="0.25">
      <c r="A633" t="e">
        <f t="shared" si="18"/>
        <v>#VALUE!</v>
      </c>
      <c r="B633" t="e">
        <f t="shared" si="19"/>
        <v>#VALUE!</v>
      </c>
      <c r="C633">
        <v>500000</v>
      </c>
      <c r="D633" s="15">
        <v>500000</v>
      </c>
      <c r="E633" s="15"/>
      <c r="F633" s="15"/>
      <c r="G633" s="34"/>
      <c r="H633" s="15"/>
      <c r="I633" s="15"/>
      <c r="J633" s="15"/>
      <c r="K633" s="15"/>
      <c r="L633" s="15"/>
      <c r="M633" s="15"/>
      <c r="N633" s="34"/>
    </row>
    <row r="634" spans="1:14" x14ac:dyDescent="0.25">
      <c r="A634" t="e">
        <f t="shared" si="18"/>
        <v>#VALUE!</v>
      </c>
      <c r="B634" t="e">
        <f t="shared" si="19"/>
        <v>#VALUE!</v>
      </c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25">
      <c r="A635" t="e">
        <f t="shared" si="18"/>
        <v>#VALUE!</v>
      </c>
      <c r="B635" t="e">
        <f t="shared" si="19"/>
        <v>#VALUE!</v>
      </c>
      <c r="C635" s="14"/>
      <c r="D635" s="14">
        <v>0</v>
      </c>
      <c r="E635"/>
      <c r="F635"/>
      <c r="G635"/>
      <c r="H635"/>
      <c r="I635"/>
      <c r="J635"/>
      <c r="K635"/>
      <c r="L635"/>
      <c r="M635"/>
      <c r="N635"/>
    </row>
    <row r="636" spans="1:14" x14ac:dyDescent="0.25">
      <c r="A636" t="str">
        <f t="shared" si="18"/>
        <v>2486051</v>
      </c>
      <c r="B636" t="str">
        <f t="shared" si="19"/>
        <v xml:space="preserve"> T-Mobile-Spokane Market 2025-2026</v>
      </c>
      <c r="C636" t="s">
        <v>793</v>
      </c>
      <c r="D636">
        <v>0</v>
      </c>
      <c r="E636">
        <v>30.36</v>
      </c>
      <c r="F636">
        <v>-30.36</v>
      </c>
      <c r="G636">
        <v>0</v>
      </c>
      <c r="H636">
        <v>601785.28</v>
      </c>
      <c r="I636">
        <v>3987.1</v>
      </c>
      <c r="J636">
        <v>500000</v>
      </c>
      <c r="K636">
        <v>605772.38</v>
      </c>
      <c r="L636">
        <v>580451.15</v>
      </c>
      <c r="M636">
        <v>25321.23</v>
      </c>
      <c r="N636">
        <v>4.1799908407841198</v>
      </c>
    </row>
    <row r="637" spans="1:14" x14ac:dyDescent="0.25">
      <c r="A637" t="e">
        <f t="shared" si="18"/>
        <v>#VALUE!</v>
      </c>
      <c r="B637" t="e">
        <f t="shared" si="19"/>
        <v>#VALUE!</v>
      </c>
      <c r="D637" s="14"/>
      <c r="E637"/>
      <c r="F637"/>
      <c r="G637"/>
      <c r="H637"/>
      <c r="I637"/>
      <c r="J637"/>
      <c r="K637"/>
      <c r="L637"/>
      <c r="M637"/>
      <c r="N637"/>
    </row>
    <row r="638" spans="1:14" x14ac:dyDescent="0.25">
      <c r="A638" t="e">
        <f t="shared" si="18"/>
        <v>#VALUE!</v>
      </c>
      <c r="B638" t="e">
        <f t="shared" si="19"/>
        <v>#VALUE!</v>
      </c>
      <c r="C638">
        <v>300000</v>
      </c>
      <c r="D638" s="15">
        <v>300000</v>
      </c>
      <c r="E638" s="15"/>
      <c r="F638" s="15"/>
      <c r="G638" s="34"/>
      <c r="H638" s="15"/>
      <c r="I638" s="15"/>
      <c r="J638" s="15"/>
      <c r="K638" s="15"/>
      <c r="L638" s="15"/>
      <c r="M638" s="15"/>
      <c r="N638" s="34"/>
    </row>
    <row r="639" spans="1:14" x14ac:dyDescent="0.25">
      <c r="A639" t="e">
        <f t="shared" si="18"/>
        <v>#VALUE!</v>
      </c>
      <c r="B639" t="e">
        <f t="shared" si="19"/>
        <v>#VALUE!</v>
      </c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25">
      <c r="A640" t="e">
        <f t="shared" si="18"/>
        <v>#VALUE!</v>
      </c>
      <c r="B640" t="e">
        <f t="shared" si="19"/>
        <v>#VALUE!</v>
      </c>
      <c r="C640" s="14"/>
      <c r="D640" s="14">
        <v>0</v>
      </c>
      <c r="E640"/>
      <c r="F640"/>
      <c r="G640"/>
      <c r="H640"/>
      <c r="I640"/>
      <c r="J640"/>
      <c r="K640"/>
      <c r="L640"/>
      <c r="M640"/>
      <c r="N640"/>
    </row>
    <row r="641" spans="1:14" x14ac:dyDescent="0.25">
      <c r="A641" t="str">
        <f t="shared" si="18"/>
        <v>2486061</v>
      </c>
      <c r="B641" t="str">
        <f t="shared" si="19"/>
        <v xml:space="preserve"> T-Mobile-Spokane Market 2026-2027</v>
      </c>
      <c r="C641" t="s">
        <v>1118</v>
      </c>
      <c r="D641">
        <v>10192</v>
      </c>
      <c r="E641">
        <v>12837.93</v>
      </c>
      <c r="F641">
        <v>-2645.93</v>
      </c>
      <c r="G641">
        <v>-25.960851648351699</v>
      </c>
      <c r="H641">
        <v>0</v>
      </c>
      <c r="I641">
        <v>10192</v>
      </c>
      <c r="J641">
        <v>300000</v>
      </c>
      <c r="K641">
        <v>10192</v>
      </c>
      <c r="L641">
        <v>12837.93</v>
      </c>
      <c r="M641">
        <v>-2645.93</v>
      </c>
      <c r="N641">
        <v>-25.960851648351699</v>
      </c>
    </row>
    <row r="642" spans="1:14" x14ac:dyDescent="0.25">
      <c r="A642" t="e">
        <f t="shared" si="18"/>
        <v>#VALUE!</v>
      </c>
      <c r="B642" t="e">
        <f t="shared" si="19"/>
        <v>#VALUE!</v>
      </c>
      <c r="C642" t="s">
        <v>78</v>
      </c>
      <c r="D642" s="14" t="s">
        <v>79</v>
      </c>
      <c r="E642">
        <v>647456.81000000006</v>
      </c>
      <c r="F642">
        <v>-24802.32</v>
      </c>
      <c r="G642">
        <v>10323522.33</v>
      </c>
      <c r="H642">
        <v>11631047.130000001</v>
      </c>
      <c r="I642">
        <v>727520.45</v>
      </c>
      <c r="J642">
        <v>672259.13</v>
      </c>
      <c r="K642">
        <v>-3.8307296512951998</v>
      </c>
      <c r="L642">
        <v>1307524.8</v>
      </c>
      <c r="M642">
        <v>10903526.68</v>
      </c>
      <c r="N642">
        <v>-2.2748854599474101E-2</v>
      </c>
    </row>
    <row r="643" spans="1:14" x14ac:dyDescent="0.25">
      <c r="A643" t="e">
        <f t="shared" si="18"/>
        <v>#VALUE!</v>
      </c>
      <c r="B643" t="e">
        <f t="shared" si="19"/>
        <v>#VALUE!</v>
      </c>
      <c r="C643" t="s">
        <v>80</v>
      </c>
      <c r="D643" s="15" t="s">
        <v>81</v>
      </c>
      <c r="E643" s="15"/>
      <c r="F643" s="15"/>
      <c r="G643" s="34"/>
      <c r="H643" s="15"/>
      <c r="I643" s="15"/>
      <c r="J643" s="15"/>
      <c r="K643" s="15"/>
      <c r="L643" s="15"/>
      <c r="M643" s="15"/>
      <c r="N643" s="34"/>
    </row>
    <row r="644" spans="1:14" x14ac:dyDescent="0.25">
      <c r="A644" t="e">
        <f t="shared" si="18"/>
        <v>#VALUE!</v>
      </c>
      <c r="B644" t="e">
        <f t="shared" si="19"/>
        <v>#VALUE!</v>
      </c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25">
      <c r="A645" t="e">
        <f t="shared" ref="A645:A708" si="20">LEFT(C645,FIND(" ",C645)-1)</f>
        <v>#VALUE!</v>
      </c>
      <c r="B645" t="e">
        <f t="shared" ref="B645:B708" si="21">RIGHT(C645,LEN(C645)-FIND(" ",C645))</f>
        <v>#VALUE!</v>
      </c>
      <c r="C645" s="14">
        <v>793150</v>
      </c>
      <c r="D645" s="14">
        <v>793150</v>
      </c>
      <c r="E645"/>
      <c r="F645"/>
      <c r="G645"/>
      <c r="H645"/>
      <c r="I645"/>
      <c r="J645"/>
      <c r="K645"/>
      <c r="L645"/>
      <c r="M645"/>
      <c r="N645"/>
    </row>
    <row r="646" spans="1:14" x14ac:dyDescent="0.25">
      <c r="A646" t="e">
        <f t="shared" si="20"/>
        <v>#VALUE!</v>
      </c>
      <c r="B646" t="e">
        <f t="shared" si="21"/>
        <v>#VALUE!</v>
      </c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25">
      <c r="A647" t="e">
        <f t="shared" si="20"/>
        <v>#VALUE!</v>
      </c>
      <c r="B647" t="e">
        <f t="shared" si="21"/>
        <v>#VALUE!</v>
      </c>
      <c r="D647" s="14">
        <v>0</v>
      </c>
      <c r="E647"/>
      <c r="F647"/>
      <c r="G647"/>
      <c r="H647"/>
      <c r="I647"/>
      <c r="J647"/>
      <c r="K647"/>
      <c r="L647"/>
      <c r="M647"/>
      <c r="N647"/>
    </row>
    <row r="648" spans="1:14" x14ac:dyDescent="0.25">
      <c r="A648" t="str">
        <f t="shared" si="20"/>
        <v>2383011</v>
      </c>
      <c r="B648" t="str">
        <f t="shared" si="21"/>
        <v xml:space="preserve"> Consol Bus Svs-Canby dba Directlink Resi</v>
      </c>
      <c r="C648" t="s">
        <v>199</v>
      </c>
      <c r="D648" s="15">
        <v>52225</v>
      </c>
      <c r="E648" s="15">
        <v>55403.839999999997</v>
      </c>
      <c r="F648" s="15">
        <v>-3178.84</v>
      </c>
      <c r="G648" s="34">
        <v>-6.0868166586883703</v>
      </c>
      <c r="H648" s="15">
        <v>1274650</v>
      </c>
      <c r="I648" s="15">
        <v>0</v>
      </c>
      <c r="J648" s="15">
        <v>793150</v>
      </c>
      <c r="K648" s="15">
        <v>1274650</v>
      </c>
      <c r="L648" s="15">
        <v>1076156.71</v>
      </c>
      <c r="M648" s="15">
        <v>198493.29</v>
      </c>
      <c r="N648" s="34">
        <v>15.5723759463382</v>
      </c>
    </row>
    <row r="649" spans="1:14" x14ac:dyDescent="0.25">
      <c r="A649" t="e">
        <f t="shared" si="20"/>
        <v>#VALUE!</v>
      </c>
      <c r="B649" t="e">
        <f t="shared" si="21"/>
        <v>#VALUE!</v>
      </c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25">
      <c r="A650" t="e">
        <f t="shared" si="20"/>
        <v>#VALUE!</v>
      </c>
      <c r="B650" t="e">
        <f t="shared" si="21"/>
        <v>#VALUE!</v>
      </c>
      <c r="C650" s="14">
        <v>411209.29</v>
      </c>
      <c r="D650" s="14">
        <v>411209.29</v>
      </c>
      <c r="E650"/>
      <c r="F650"/>
      <c r="G650"/>
      <c r="H650"/>
      <c r="I650"/>
      <c r="J650"/>
      <c r="K650"/>
      <c r="L650"/>
      <c r="M650"/>
      <c r="N650"/>
    </row>
    <row r="651" spans="1:14" x14ac:dyDescent="0.25">
      <c r="A651" t="e">
        <f t="shared" si="20"/>
        <v>#VALUE!</v>
      </c>
      <c r="B651" t="e">
        <f t="shared" si="21"/>
        <v>#VALUE!</v>
      </c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25">
      <c r="A652" t="e">
        <f t="shared" si="20"/>
        <v>#VALUE!</v>
      </c>
      <c r="B652" t="e">
        <f t="shared" si="21"/>
        <v>#VALUE!</v>
      </c>
      <c r="D652" s="14">
        <v>0</v>
      </c>
      <c r="E652"/>
      <c r="F652"/>
      <c r="G652"/>
      <c r="H652"/>
      <c r="I652"/>
      <c r="J652"/>
      <c r="K652"/>
      <c r="L652"/>
      <c r="M652"/>
      <c r="N652"/>
    </row>
    <row r="653" spans="1:14" x14ac:dyDescent="0.25">
      <c r="A653" t="str">
        <f t="shared" si="20"/>
        <v>2385000</v>
      </c>
      <c r="B653" t="str">
        <f t="shared" si="21"/>
        <v xml:space="preserve"> Astound - OR Wave Broadband</v>
      </c>
      <c r="C653" t="s">
        <v>657</v>
      </c>
      <c r="D653" s="15">
        <v>2448.16</v>
      </c>
      <c r="E653" s="15">
        <v>2157.58</v>
      </c>
      <c r="F653" s="15">
        <v>290.58</v>
      </c>
      <c r="G653" s="34">
        <v>11.8693222665185</v>
      </c>
      <c r="H653" s="15">
        <v>418457.14</v>
      </c>
      <c r="I653" s="15">
        <v>4580.92</v>
      </c>
      <c r="J653" s="15">
        <v>411209.29</v>
      </c>
      <c r="K653" s="15">
        <v>423038.06</v>
      </c>
      <c r="L653" s="15">
        <v>318884.27</v>
      </c>
      <c r="M653" s="15">
        <v>104153.79</v>
      </c>
      <c r="N653" s="34">
        <v>24.620430133402198</v>
      </c>
    </row>
    <row r="654" spans="1:14" x14ac:dyDescent="0.25">
      <c r="A654" t="e">
        <f t="shared" si="20"/>
        <v>#VALUE!</v>
      </c>
      <c r="B654" t="e">
        <f t="shared" si="21"/>
        <v>#VALUE!</v>
      </c>
      <c r="D654"/>
      <c r="E654" s="15"/>
      <c r="F654" s="15"/>
      <c r="G654" s="15"/>
      <c r="H654" s="15"/>
      <c r="I654" s="15"/>
      <c r="J654" s="15"/>
      <c r="K654" s="14"/>
      <c r="L654" s="15"/>
      <c r="M654" s="15"/>
      <c r="N654" s="14"/>
    </row>
    <row r="655" spans="1:14" x14ac:dyDescent="0.25">
      <c r="A655" t="e">
        <f t="shared" si="20"/>
        <v>#VALUE!</v>
      </c>
      <c r="B655" t="e">
        <f t="shared" si="21"/>
        <v>#VALUE!</v>
      </c>
      <c r="C655">
        <v>80000</v>
      </c>
      <c r="D655">
        <v>80000</v>
      </c>
      <c r="E655"/>
      <c r="F655"/>
      <c r="G655"/>
      <c r="H655"/>
      <c r="I655"/>
      <c r="J655"/>
      <c r="K655"/>
      <c r="L655"/>
      <c r="M655"/>
      <c r="N655"/>
    </row>
    <row r="656" spans="1:14" x14ac:dyDescent="0.25">
      <c r="A656" t="e">
        <f t="shared" si="20"/>
        <v>#VALUE!</v>
      </c>
      <c r="B656" t="e">
        <f t="shared" si="21"/>
        <v>#VALUE!</v>
      </c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25">
      <c r="A657" t="e">
        <f t="shared" si="20"/>
        <v>#VALUE!</v>
      </c>
      <c r="B657" t="e">
        <f t="shared" si="21"/>
        <v>#VALUE!</v>
      </c>
      <c r="D657">
        <v>0</v>
      </c>
      <c r="E657"/>
      <c r="F657"/>
      <c r="G657"/>
      <c r="H657"/>
      <c r="I657"/>
      <c r="J657"/>
      <c r="K657"/>
      <c r="L657"/>
      <c r="M657"/>
      <c r="N657"/>
    </row>
    <row r="658" spans="1:14" x14ac:dyDescent="0.25">
      <c r="A658" t="str">
        <f t="shared" si="20"/>
        <v>2386011</v>
      </c>
      <c r="B658" t="str">
        <f t="shared" si="21"/>
        <v xml:space="preserve"> Hunter Communications &amp; Technologies, LL</v>
      </c>
      <c r="C658" t="s">
        <v>926</v>
      </c>
      <c r="D658">
        <v>0</v>
      </c>
      <c r="E658">
        <v>0</v>
      </c>
      <c r="F658">
        <v>0</v>
      </c>
      <c r="G658">
        <v>0</v>
      </c>
      <c r="H658">
        <v>78870</v>
      </c>
      <c r="I658">
        <v>0</v>
      </c>
      <c r="J658">
        <v>80000</v>
      </c>
      <c r="K658">
        <v>78870</v>
      </c>
      <c r="L658">
        <v>65941.039999999994</v>
      </c>
      <c r="M658">
        <v>12928.96</v>
      </c>
      <c r="N658">
        <v>16.392747559274799</v>
      </c>
    </row>
    <row r="659" spans="1:14" x14ac:dyDescent="0.25">
      <c r="A659" t="e">
        <f t="shared" si="20"/>
        <v>#VALUE!</v>
      </c>
      <c r="B659" t="e">
        <f t="shared" si="21"/>
        <v>#VALUE!</v>
      </c>
      <c r="D659" s="14"/>
      <c r="E659"/>
      <c r="F659"/>
      <c r="G659"/>
      <c r="H659"/>
      <c r="I659"/>
      <c r="J659"/>
      <c r="K659"/>
      <c r="L659"/>
      <c r="M659"/>
      <c r="N659"/>
    </row>
    <row r="660" spans="1:14" x14ac:dyDescent="0.25">
      <c r="A660" t="e">
        <f t="shared" si="20"/>
        <v>#VALUE!</v>
      </c>
      <c r="B660" t="e">
        <f t="shared" si="21"/>
        <v>#VALUE!</v>
      </c>
      <c r="C660">
        <v>1900000</v>
      </c>
      <c r="D660" s="15">
        <v>1900000</v>
      </c>
      <c r="E660" s="15"/>
      <c r="F660" s="15"/>
      <c r="G660" s="34"/>
      <c r="H660" s="15"/>
      <c r="I660" s="15"/>
      <c r="J660" s="15"/>
      <c r="K660" s="15"/>
      <c r="L660" s="15"/>
      <c r="M660" s="15"/>
      <c r="N660" s="34"/>
    </row>
    <row r="661" spans="1:14" x14ac:dyDescent="0.25">
      <c r="A661" t="e">
        <f t="shared" si="20"/>
        <v>#VALUE!</v>
      </c>
      <c r="B661" t="e">
        <f t="shared" si="21"/>
        <v>#VALUE!</v>
      </c>
      <c r="D661"/>
      <c r="E661" s="15"/>
      <c r="F661" s="15"/>
      <c r="G661" s="15"/>
      <c r="H661" s="15"/>
      <c r="I661" s="15"/>
      <c r="J661" s="15"/>
      <c r="K661" s="14"/>
      <c r="L661" s="15"/>
      <c r="M661" s="15"/>
      <c r="N661" s="14"/>
    </row>
    <row r="662" spans="1:14" x14ac:dyDescent="0.25">
      <c r="A662" t="e">
        <f t="shared" si="20"/>
        <v>#VALUE!</v>
      </c>
      <c r="B662" t="e">
        <f t="shared" si="21"/>
        <v>#VALUE!</v>
      </c>
      <c r="D662">
        <v>0</v>
      </c>
      <c r="E662"/>
      <c r="F662"/>
      <c r="G662"/>
      <c r="H662"/>
      <c r="I662"/>
      <c r="J662"/>
      <c r="K662"/>
      <c r="L662"/>
      <c r="M662"/>
      <c r="N662"/>
    </row>
    <row r="663" spans="1:14" x14ac:dyDescent="0.25">
      <c r="A663" t="str">
        <f t="shared" si="20"/>
        <v>2484117</v>
      </c>
      <c r="B663" t="str">
        <f t="shared" si="21"/>
        <v xml:space="preserve"> Astound - WA Wave Broadband</v>
      </c>
      <c r="C663" t="s">
        <v>658</v>
      </c>
      <c r="D663">
        <v>15330.35</v>
      </c>
      <c r="E663">
        <v>10063.74</v>
      </c>
      <c r="F663">
        <v>5266.61</v>
      </c>
      <c r="G663">
        <v>34.354140642581498</v>
      </c>
      <c r="H663">
        <v>2074550.08</v>
      </c>
      <c r="I663">
        <v>81215.92</v>
      </c>
      <c r="J663">
        <v>1900000</v>
      </c>
      <c r="K663">
        <v>2155766</v>
      </c>
      <c r="L663">
        <v>1735648.14</v>
      </c>
      <c r="M663">
        <v>420117.86</v>
      </c>
      <c r="N663">
        <v>19.4881012132115</v>
      </c>
    </row>
    <row r="664" spans="1:14" x14ac:dyDescent="0.25">
      <c r="A664" t="e">
        <f t="shared" si="20"/>
        <v>#VALUE!</v>
      </c>
      <c r="B664" t="e">
        <f t="shared" si="21"/>
        <v>#VALUE!</v>
      </c>
      <c r="C664" s="14"/>
      <c r="D664" s="14"/>
      <c r="E664"/>
      <c r="F664"/>
      <c r="G664"/>
      <c r="H664"/>
      <c r="I664"/>
      <c r="J664"/>
      <c r="K664"/>
      <c r="L664"/>
      <c r="M664"/>
      <c r="N664"/>
    </row>
    <row r="665" spans="1:14" x14ac:dyDescent="0.25">
      <c r="A665" t="e">
        <f t="shared" si="20"/>
        <v>#VALUE!</v>
      </c>
      <c r="B665" t="e">
        <f t="shared" si="21"/>
        <v>#VALUE!</v>
      </c>
      <c r="C665">
        <v>300000</v>
      </c>
      <c r="D665">
        <v>300000</v>
      </c>
      <c r="E665"/>
      <c r="F665"/>
      <c r="G665"/>
      <c r="H665"/>
      <c r="I665"/>
      <c r="J665"/>
      <c r="K665"/>
      <c r="L665"/>
      <c r="M665"/>
      <c r="N665"/>
    </row>
    <row r="666" spans="1:14" x14ac:dyDescent="0.25">
      <c r="A666" t="e">
        <f t="shared" si="20"/>
        <v>#VALUE!</v>
      </c>
      <c r="B666" t="e">
        <f t="shared" si="21"/>
        <v>#VALUE!</v>
      </c>
      <c r="D666" s="14"/>
      <c r="E666"/>
      <c r="F666"/>
      <c r="G666"/>
      <c r="H666"/>
      <c r="I666"/>
      <c r="J666"/>
      <c r="K666"/>
      <c r="L666"/>
      <c r="M666"/>
      <c r="N666"/>
    </row>
    <row r="667" spans="1:14" x14ac:dyDescent="0.25">
      <c r="A667" t="e">
        <f t="shared" si="20"/>
        <v>#VALUE!</v>
      </c>
      <c r="B667" t="e">
        <f t="shared" si="21"/>
        <v>#VALUE!</v>
      </c>
      <c r="D667" s="15">
        <v>0</v>
      </c>
      <c r="E667" s="15"/>
      <c r="F667" s="15"/>
      <c r="G667" s="34"/>
      <c r="H667" s="15"/>
      <c r="I667" s="15"/>
      <c r="J667" s="15"/>
      <c r="K667" s="15"/>
      <c r="L667" s="15"/>
      <c r="M667" s="15"/>
      <c r="N667" s="34"/>
    </row>
    <row r="668" spans="1:14" x14ac:dyDescent="0.25">
      <c r="A668" t="str">
        <f t="shared" si="20"/>
        <v>2486050</v>
      </c>
      <c r="B668" t="str">
        <f t="shared" si="21"/>
        <v xml:space="preserve"> Mereo 89, LLC</v>
      </c>
      <c r="C668" t="s">
        <v>690</v>
      </c>
      <c r="D668">
        <v>0</v>
      </c>
      <c r="E668" s="15">
        <v>6134.56</v>
      </c>
      <c r="F668" s="15">
        <v>-6134.56</v>
      </c>
      <c r="G668" s="15">
        <v>0</v>
      </c>
      <c r="H668" s="15">
        <v>0</v>
      </c>
      <c r="I668" s="15">
        <v>26050</v>
      </c>
      <c r="J668" s="15">
        <v>300000</v>
      </c>
      <c r="K668" s="14">
        <v>26050</v>
      </c>
      <c r="L668" s="15">
        <v>29153.72</v>
      </c>
      <c r="M668" s="15">
        <v>-3103.72</v>
      </c>
      <c r="N668" s="14">
        <v>-11.914472168906</v>
      </c>
    </row>
    <row r="669" spans="1:14" x14ac:dyDescent="0.25">
      <c r="A669" t="e">
        <f t="shared" si="20"/>
        <v>#VALUE!</v>
      </c>
      <c r="B669" t="e">
        <f t="shared" si="21"/>
        <v>#VALUE!</v>
      </c>
      <c r="C669" t="s">
        <v>80</v>
      </c>
      <c r="D669" t="s">
        <v>81</v>
      </c>
      <c r="E669">
        <v>70003.509999999995</v>
      </c>
      <c r="F669">
        <v>-3756.21</v>
      </c>
      <c r="G669">
        <v>3846527.22</v>
      </c>
      <c r="H669">
        <v>3958374.06</v>
      </c>
      <c r="I669">
        <v>732590.18</v>
      </c>
      <c r="J669">
        <v>73759.72</v>
      </c>
      <c r="K669">
        <v>-5.3657452319176597</v>
      </c>
      <c r="L669">
        <v>111846.84</v>
      </c>
      <c r="M669">
        <v>3225783.88</v>
      </c>
      <c r="N669">
        <v>-7.8408961683626197E-2</v>
      </c>
    </row>
    <row r="670" spans="1:14" x14ac:dyDescent="0.25">
      <c r="A670" t="e">
        <f t="shared" si="20"/>
        <v>#VALUE!</v>
      </c>
      <c r="B670" t="e">
        <f t="shared" si="21"/>
        <v>#VALUE!</v>
      </c>
      <c r="C670" t="s">
        <v>82</v>
      </c>
      <c r="D670" t="s">
        <v>83</v>
      </c>
      <c r="E670"/>
      <c r="F670"/>
      <c r="G670"/>
      <c r="H670"/>
      <c r="I670"/>
      <c r="J670"/>
      <c r="K670"/>
      <c r="L670"/>
      <c r="M670"/>
      <c r="N670"/>
    </row>
    <row r="671" spans="1:14" x14ac:dyDescent="0.25">
      <c r="A671" t="e">
        <f t="shared" si="20"/>
        <v>#VALUE!</v>
      </c>
      <c r="B671" t="e">
        <f t="shared" si="21"/>
        <v>#VALUE!</v>
      </c>
      <c r="C671" s="14"/>
      <c r="D671" s="14"/>
      <c r="E671"/>
      <c r="F671"/>
      <c r="G671"/>
      <c r="H671"/>
      <c r="I671"/>
      <c r="J671"/>
      <c r="K671"/>
      <c r="L671"/>
      <c r="M671"/>
      <c r="N671"/>
    </row>
    <row r="672" spans="1:14" x14ac:dyDescent="0.25">
      <c r="A672" t="e">
        <f t="shared" si="20"/>
        <v>#VALUE!</v>
      </c>
      <c r="B672" t="e">
        <f t="shared" si="21"/>
        <v>#VALUE!</v>
      </c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25">
      <c r="A673" t="e">
        <f t="shared" si="20"/>
        <v>#VALUE!</v>
      </c>
      <c r="B673" t="e">
        <f t="shared" si="21"/>
        <v>#VALUE!</v>
      </c>
      <c r="D673" s="14"/>
      <c r="E673"/>
      <c r="F673"/>
      <c r="G673"/>
      <c r="H673"/>
      <c r="I673"/>
      <c r="J673"/>
      <c r="K673"/>
      <c r="L673"/>
      <c r="M673"/>
      <c r="N673"/>
    </row>
    <row r="674" spans="1:14" x14ac:dyDescent="0.25">
      <c r="A674" t="e">
        <f t="shared" si="20"/>
        <v>#VALUE!</v>
      </c>
      <c r="B674" t="e">
        <f t="shared" si="21"/>
        <v>#VALUE!</v>
      </c>
      <c r="D674" s="15">
        <v>0</v>
      </c>
      <c r="E674" s="15"/>
      <c r="F674" s="15"/>
      <c r="G674" s="34"/>
      <c r="H674" s="15"/>
      <c r="I674" s="15"/>
      <c r="J674" s="15"/>
      <c r="K674" s="15"/>
      <c r="L674" s="15"/>
      <c r="M674" s="15"/>
      <c r="N674" s="34"/>
    </row>
    <row r="675" spans="1:14" x14ac:dyDescent="0.25">
      <c r="A675" t="str">
        <f t="shared" si="20"/>
        <v>1056135</v>
      </c>
      <c r="B675" t="str">
        <f t="shared" si="21"/>
        <v xml:space="preserve"> Arcadian - Redwood Segment 5-1</v>
      </c>
      <c r="C675" t="s">
        <v>900</v>
      </c>
      <c r="D675">
        <v>0</v>
      </c>
      <c r="E675">
        <v>2301.36</v>
      </c>
      <c r="F675">
        <v>-2301.36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18739.66</v>
      </c>
      <c r="M675">
        <v>-18739.66</v>
      </c>
      <c r="N675">
        <v>0</v>
      </c>
    </row>
    <row r="676" spans="1:14" x14ac:dyDescent="0.25">
      <c r="A676" t="e">
        <f t="shared" si="20"/>
        <v>#VALUE!</v>
      </c>
      <c r="B676" t="e">
        <f t="shared" si="21"/>
        <v>#VALUE!</v>
      </c>
      <c r="C676" s="14" t="s">
        <v>82</v>
      </c>
      <c r="D676" s="14" t="s">
        <v>83</v>
      </c>
      <c r="E676">
        <v>0</v>
      </c>
      <c r="F676">
        <v>-2301.36</v>
      </c>
      <c r="G676">
        <v>0</v>
      </c>
      <c r="H676">
        <v>0</v>
      </c>
      <c r="I676">
        <v>-18739.66</v>
      </c>
      <c r="J676">
        <v>2301.36</v>
      </c>
      <c r="K676">
        <v>0</v>
      </c>
      <c r="L676">
        <v>0</v>
      </c>
      <c r="M676">
        <v>18739.66</v>
      </c>
      <c r="N676">
        <v>0</v>
      </c>
    </row>
    <row r="677" spans="1:14" x14ac:dyDescent="0.25">
      <c r="A677" t="e">
        <f t="shared" si="20"/>
        <v>#VALUE!</v>
      </c>
      <c r="B677" t="e">
        <f t="shared" si="21"/>
        <v>#VALUE!</v>
      </c>
      <c r="C677" t="s">
        <v>84</v>
      </c>
      <c r="D677" t="s">
        <v>85</v>
      </c>
      <c r="E677"/>
      <c r="F677"/>
      <c r="G677"/>
      <c r="H677"/>
      <c r="I677"/>
      <c r="J677"/>
      <c r="K677"/>
      <c r="L677"/>
      <c r="M677"/>
      <c r="N677"/>
    </row>
    <row r="678" spans="1:14" x14ac:dyDescent="0.25">
      <c r="A678" t="e">
        <f t="shared" si="20"/>
        <v>#VALUE!</v>
      </c>
      <c r="B678" t="e">
        <f t="shared" si="21"/>
        <v>#VALUE!</v>
      </c>
      <c r="D678" s="14"/>
      <c r="E678"/>
      <c r="F678"/>
      <c r="G678"/>
      <c r="H678"/>
      <c r="I678"/>
      <c r="J678"/>
      <c r="K678"/>
      <c r="L678"/>
      <c r="M678"/>
      <c r="N678"/>
    </row>
    <row r="679" spans="1:14" x14ac:dyDescent="0.25">
      <c r="A679" t="e">
        <f t="shared" si="20"/>
        <v>#VALUE!</v>
      </c>
      <c r="B679" t="e">
        <f t="shared" si="21"/>
        <v>#VALUE!</v>
      </c>
      <c r="C679">
        <v>0</v>
      </c>
      <c r="D679" s="15">
        <v>0</v>
      </c>
      <c r="E679" s="15"/>
      <c r="F679" s="15"/>
      <c r="G679" s="34"/>
      <c r="H679" s="15"/>
      <c r="I679" s="15"/>
      <c r="J679" s="15"/>
      <c r="K679" s="15"/>
      <c r="L679" s="15"/>
      <c r="M679" s="15"/>
      <c r="N679" s="34"/>
    </row>
    <row r="680" spans="1:14" x14ac:dyDescent="0.25">
      <c r="A680" t="e">
        <f t="shared" si="20"/>
        <v>#VALUE!</v>
      </c>
      <c r="B680" t="e">
        <f t="shared" si="21"/>
        <v>#VALUE!</v>
      </c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25">
      <c r="A681" t="e">
        <f t="shared" si="20"/>
        <v>#VALUE!</v>
      </c>
      <c r="B681" t="e">
        <f t="shared" si="21"/>
        <v>#VALUE!</v>
      </c>
      <c r="C681" s="14"/>
      <c r="D681" s="14">
        <v>0</v>
      </c>
      <c r="E681"/>
      <c r="F681"/>
      <c r="G681"/>
      <c r="H681"/>
      <c r="I681"/>
      <c r="J681"/>
      <c r="K681"/>
      <c r="L681"/>
      <c r="M681"/>
      <c r="N681"/>
    </row>
    <row r="682" spans="1:14" x14ac:dyDescent="0.25">
      <c r="A682" t="str">
        <f t="shared" si="20"/>
        <v>00EQUIP</v>
      </c>
      <c r="B682" t="str">
        <f t="shared" si="21"/>
        <v xml:space="preserve"> 00-Shop Equipment</v>
      </c>
      <c r="C682" t="s">
        <v>86</v>
      </c>
      <c r="D682">
        <v>0</v>
      </c>
      <c r="E682">
        <v>345661.15</v>
      </c>
      <c r="F682">
        <v>-345661.15</v>
      </c>
      <c r="G682">
        <v>0</v>
      </c>
      <c r="H682">
        <v>8642670.3900000006</v>
      </c>
      <c r="I682">
        <v>0</v>
      </c>
      <c r="J682">
        <v>0</v>
      </c>
      <c r="K682">
        <v>8642670.3900000006</v>
      </c>
      <c r="L682">
        <v>12397461.130000001</v>
      </c>
      <c r="M682">
        <v>-3754790.74</v>
      </c>
      <c r="N682">
        <v>-43.444798546806602</v>
      </c>
    </row>
    <row r="683" spans="1:14" x14ac:dyDescent="0.25">
      <c r="A683" t="e">
        <f t="shared" si="20"/>
        <v>#VALUE!</v>
      </c>
      <c r="B683" t="e">
        <f t="shared" si="21"/>
        <v>#VALUE!</v>
      </c>
      <c r="C683" t="s">
        <v>84</v>
      </c>
      <c r="D683" s="14" t="s">
        <v>85</v>
      </c>
      <c r="E683">
        <v>0</v>
      </c>
      <c r="F683">
        <v>-345661.15</v>
      </c>
      <c r="G683">
        <v>8642670.3900000006</v>
      </c>
      <c r="H683">
        <v>8642670.3900000006</v>
      </c>
      <c r="I683">
        <v>-3754790.74</v>
      </c>
      <c r="J683">
        <v>345661.15</v>
      </c>
      <c r="K683">
        <v>0</v>
      </c>
      <c r="L683">
        <v>0</v>
      </c>
      <c r="M683">
        <v>12397461.130000001</v>
      </c>
      <c r="N683">
        <v>-43.444798546806602</v>
      </c>
    </row>
    <row r="684" spans="1:14" x14ac:dyDescent="0.25">
      <c r="A684" t="e">
        <f t="shared" si="20"/>
        <v>#VALUE!</v>
      </c>
      <c r="B684" t="e">
        <f t="shared" si="21"/>
        <v>#VALUE!</v>
      </c>
      <c r="C684" t="s">
        <v>87</v>
      </c>
      <c r="D684" s="15" t="s">
        <v>88</v>
      </c>
      <c r="E684" s="15"/>
      <c r="F684" s="15"/>
      <c r="G684" s="34"/>
      <c r="H684" s="15"/>
      <c r="I684" s="15"/>
      <c r="J684" s="15"/>
      <c r="K684" s="15"/>
      <c r="L684" s="15"/>
      <c r="M684" s="15"/>
      <c r="N684" s="34"/>
    </row>
    <row r="685" spans="1:14" x14ac:dyDescent="0.25">
      <c r="A685" t="e">
        <f t="shared" si="20"/>
        <v>#VALUE!</v>
      </c>
      <c r="B685" t="e">
        <f t="shared" si="21"/>
        <v>#VALUE!</v>
      </c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25">
      <c r="A686" t="e">
        <f t="shared" si="20"/>
        <v>#VALUE!</v>
      </c>
      <c r="B686" t="e">
        <f t="shared" si="21"/>
        <v>#VALUE!</v>
      </c>
      <c r="C686" s="14">
        <v>1350000</v>
      </c>
      <c r="D686" s="14">
        <v>1350000</v>
      </c>
      <c r="E686"/>
      <c r="F686"/>
      <c r="G686"/>
      <c r="H686"/>
      <c r="I686"/>
      <c r="J686"/>
      <c r="K686"/>
      <c r="L686"/>
      <c r="M686"/>
      <c r="N686"/>
    </row>
    <row r="687" spans="1:14" x14ac:dyDescent="0.25">
      <c r="A687" t="e">
        <f t="shared" si="20"/>
        <v>#VALUE!</v>
      </c>
      <c r="B687" t="e">
        <f t="shared" si="21"/>
        <v>#VALUE!</v>
      </c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25">
      <c r="A688" t="e">
        <f t="shared" si="20"/>
        <v>#VALUE!</v>
      </c>
      <c r="B688" t="e">
        <f t="shared" si="21"/>
        <v>#VALUE!</v>
      </c>
      <c r="D688" s="14">
        <v>0</v>
      </c>
      <c r="E688"/>
      <c r="F688"/>
      <c r="G688"/>
      <c r="H688"/>
      <c r="I688"/>
      <c r="J688"/>
      <c r="K688"/>
      <c r="L688"/>
      <c r="M688"/>
      <c r="N688"/>
    </row>
    <row r="689" spans="1:14" x14ac:dyDescent="0.25">
      <c r="A689" t="str">
        <f t="shared" si="20"/>
        <v>1055210</v>
      </c>
      <c r="B689" t="str">
        <f t="shared" si="21"/>
        <v xml:space="preserve"> CAL-Ore 2024</v>
      </c>
      <c r="C689" t="s">
        <v>150</v>
      </c>
      <c r="D689" s="15">
        <v>0</v>
      </c>
      <c r="E689" s="15">
        <v>0</v>
      </c>
      <c r="F689" s="15">
        <v>0</v>
      </c>
      <c r="G689" s="34">
        <v>0</v>
      </c>
      <c r="H689" s="15">
        <v>1336408.76</v>
      </c>
      <c r="I689" s="15">
        <v>8.1854523159563493E-12</v>
      </c>
      <c r="J689" s="15">
        <v>1350000</v>
      </c>
      <c r="K689" s="15">
        <v>1336408.76</v>
      </c>
      <c r="L689" s="15">
        <v>1311114.1000000001</v>
      </c>
      <c r="M689" s="15">
        <v>25294.66</v>
      </c>
      <c r="N689" s="34">
        <v>1.89273377705187</v>
      </c>
    </row>
    <row r="690" spans="1:14" x14ac:dyDescent="0.25">
      <c r="A690" t="e">
        <f t="shared" si="20"/>
        <v>#VALUE!</v>
      </c>
      <c r="B690" t="e">
        <f t="shared" si="21"/>
        <v>#VALUE!</v>
      </c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25">
      <c r="A691" t="e">
        <f t="shared" si="20"/>
        <v>#VALUE!</v>
      </c>
      <c r="B691" t="e">
        <f t="shared" si="21"/>
        <v>#VALUE!</v>
      </c>
      <c r="C691" s="14">
        <v>1822370</v>
      </c>
      <c r="D691" s="14">
        <v>1822370</v>
      </c>
      <c r="E691"/>
      <c r="F691"/>
      <c r="G691"/>
      <c r="H691"/>
      <c r="I691"/>
      <c r="J691"/>
      <c r="K691"/>
      <c r="L691"/>
      <c r="M691"/>
      <c r="N691"/>
    </row>
    <row r="692" spans="1:14" x14ac:dyDescent="0.25">
      <c r="A692" t="e">
        <f t="shared" si="20"/>
        <v>#VALUE!</v>
      </c>
      <c r="B692" t="e">
        <f t="shared" si="21"/>
        <v>#VALUE!</v>
      </c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25">
      <c r="A693" t="e">
        <f t="shared" si="20"/>
        <v>#VALUE!</v>
      </c>
      <c r="B693" t="e">
        <f t="shared" si="21"/>
        <v>#VALUE!</v>
      </c>
      <c r="D693" s="14">
        <v>0</v>
      </c>
      <c r="E693"/>
      <c r="F693"/>
      <c r="G693"/>
      <c r="H693"/>
      <c r="I693"/>
      <c r="J693"/>
      <c r="K693"/>
      <c r="L693"/>
      <c r="M693"/>
      <c r="N693"/>
    </row>
    <row r="694" spans="1:14" x14ac:dyDescent="0.25">
      <c r="A694" t="str">
        <f t="shared" si="20"/>
        <v>1056195</v>
      </c>
      <c r="B694" t="str">
        <f t="shared" si="21"/>
        <v xml:space="preserve"> Frontier - End of MM at Hwy 36 (Fire)</v>
      </c>
      <c r="C694" t="s">
        <v>739</v>
      </c>
      <c r="D694" s="15">
        <v>0</v>
      </c>
      <c r="E694" s="15">
        <v>0</v>
      </c>
      <c r="F694" s="15">
        <v>0</v>
      </c>
      <c r="G694" s="34">
        <v>0</v>
      </c>
      <c r="H694" s="15">
        <v>0</v>
      </c>
      <c r="I694" s="15">
        <v>0</v>
      </c>
      <c r="J694" s="15">
        <v>1822370</v>
      </c>
      <c r="K694" s="15">
        <v>0</v>
      </c>
      <c r="L694" s="15">
        <v>0.01</v>
      </c>
      <c r="M694" s="15">
        <v>-0.01</v>
      </c>
      <c r="N694" s="34">
        <v>0</v>
      </c>
    </row>
    <row r="695" spans="1:14" x14ac:dyDescent="0.25">
      <c r="A695" t="e">
        <f t="shared" si="20"/>
        <v>#VALUE!</v>
      </c>
      <c r="B695" t="e">
        <f t="shared" si="21"/>
        <v>#VALUE!</v>
      </c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25">
      <c r="A696" t="e">
        <f t="shared" si="20"/>
        <v>#VALUE!</v>
      </c>
      <c r="B696" t="e">
        <f t="shared" si="21"/>
        <v>#VALUE!</v>
      </c>
      <c r="C696" s="14">
        <v>4769746</v>
      </c>
      <c r="D696" s="14">
        <v>4769746</v>
      </c>
      <c r="E696"/>
      <c r="F696"/>
      <c r="G696"/>
      <c r="H696"/>
      <c r="I696"/>
      <c r="J696"/>
      <c r="K696"/>
      <c r="L696"/>
      <c r="M696"/>
      <c r="N696"/>
    </row>
    <row r="697" spans="1:14" x14ac:dyDescent="0.25">
      <c r="A697" t="e">
        <f t="shared" si="20"/>
        <v>#VALUE!</v>
      </c>
      <c r="B697" t="e">
        <f t="shared" si="21"/>
        <v>#VALUE!</v>
      </c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25">
      <c r="A698" t="e">
        <f t="shared" si="20"/>
        <v>#VALUE!</v>
      </c>
      <c r="B698" t="e">
        <f t="shared" si="21"/>
        <v>#VALUE!</v>
      </c>
      <c r="D698" s="14">
        <v>0</v>
      </c>
      <c r="E698"/>
      <c r="F698"/>
      <c r="G698"/>
      <c r="H698"/>
      <c r="I698"/>
      <c r="J698"/>
      <c r="K698"/>
      <c r="L698"/>
      <c r="M698"/>
      <c r="N698"/>
    </row>
    <row r="699" spans="1:14" x14ac:dyDescent="0.25">
      <c r="A699" t="str">
        <f t="shared" si="20"/>
        <v>1056196</v>
      </c>
      <c r="B699" t="str">
        <f t="shared" si="21"/>
        <v xml:space="preserve"> Frontier - Middle Mile Segment (Fire)</v>
      </c>
      <c r="C699" t="s">
        <v>749</v>
      </c>
      <c r="D699" s="15">
        <v>0</v>
      </c>
      <c r="E699" s="15">
        <v>6132.07</v>
      </c>
      <c r="F699" s="15">
        <v>-6132.07</v>
      </c>
      <c r="G699" s="34">
        <v>0</v>
      </c>
      <c r="H699" s="15">
        <v>663000.4</v>
      </c>
      <c r="I699" s="15">
        <v>0</v>
      </c>
      <c r="J699" s="15">
        <v>4769746</v>
      </c>
      <c r="K699" s="15">
        <v>663000.4</v>
      </c>
      <c r="L699" s="15">
        <v>590920.27</v>
      </c>
      <c r="M699" s="15">
        <v>72080.13</v>
      </c>
      <c r="N699" s="34">
        <v>10.871807920477901</v>
      </c>
    </row>
    <row r="700" spans="1:14" x14ac:dyDescent="0.25">
      <c r="A700" t="e">
        <f t="shared" si="20"/>
        <v>#VALUE!</v>
      </c>
      <c r="B700" t="e">
        <f t="shared" si="21"/>
        <v>#VALUE!</v>
      </c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25">
      <c r="A701" t="e">
        <f t="shared" si="20"/>
        <v>#VALUE!</v>
      </c>
      <c r="B701" t="e">
        <f t="shared" si="21"/>
        <v>#VALUE!</v>
      </c>
      <c r="C701" s="14">
        <v>3642867.79</v>
      </c>
      <c r="D701" s="14">
        <v>3642867.79</v>
      </c>
      <c r="E701"/>
      <c r="F701"/>
      <c r="G701"/>
      <c r="H701"/>
      <c r="I701"/>
      <c r="J701"/>
      <c r="K701"/>
      <c r="L701"/>
      <c r="M701"/>
      <c r="N701"/>
    </row>
    <row r="702" spans="1:14" x14ac:dyDescent="0.25">
      <c r="A702" t="e">
        <f t="shared" si="20"/>
        <v>#VALUE!</v>
      </c>
      <c r="B702" t="e">
        <f t="shared" si="21"/>
        <v>#VALUE!</v>
      </c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25">
      <c r="A703" t="e">
        <f t="shared" si="20"/>
        <v>#VALUE!</v>
      </c>
      <c r="B703" t="e">
        <f t="shared" si="21"/>
        <v>#VALUE!</v>
      </c>
      <c r="D703" s="14">
        <v>0</v>
      </c>
      <c r="E703"/>
      <c r="F703"/>
      <c r="G703"/>
      <c r="H703"/>
      <c r="I703"/>
      <c r="J703"/>
      <c r="K703"/>
      <c r="L703"/>
      <c r="M703"/>
      <c r="N703"/>
    </row>
    <row r="704" spans="1:14" x14ac:dyDescent="0.25">
      <c r="A704" t="str">
        <f t="shared" si="20"/>
        <v>1136235</v>
      </c>
      <c r="B704" t="str">
        <f t="shared" si="21"/>
        <v xml:space="preserve"> Idaho County - DIGB2 Phase II - Np - Grv</v>
      </c>
      <c r="C704" t="s">
        <v>830</v>
      </c>
      <c r="D704" s="15">
        <v>156727.74</v>
      </c>
      <c r="E704" s="15">
        <v>365202.32</v>
      </c>
      <c r="F704" s="15">
        <v>-208474.58</v>
      </c>
      <c r="G704" s="34">
        <v>-133.01702685178799</v>
      </c>
      <c r="H704" s="15">
        <v>51915.16</v>
      </c>
      <c r="I704" s="15">
        <v>362593.72</v>
      </c>
      <c r="J704" s="15">
        <v>3642867.79</v>
      </c>
      <c r="K704" s="15">
        <v>414508.88</v>
      </c>
      <c r="L704" s="15">
        <v>652430.26</v>
      </c>
      <c r="M704" s="15">
        <v>-237921.38</v>
      </c>
      <c r="N704" s="34">
        <v>-57.3983794991316</v>
      </c>
    </row>
    <row r="705" spans="1:14" x14ac:dyDescent="0.25">
      <c r="A705" t="e">
        <f t="shared" si="20"/>
        <v>#VALUE!</v>
      </c>
      <c r="B705" t="e">
        <f t="shared" si="21"/>
        <v>#VALUE!</v>
      </c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25">
      <c r="A706" t="e">
        <f t="shared" si="20"/>
        <v>#VALUE!</v>
      </c>
      <c r="B706" t="e">
        <f t="shared" si="21"/>
        <v>#VALUE!</v>
      </c>
      <c r="C706" s="14">
        <v>825210.95</v>
      </c>
      <c r="D706" s="14">
        <v>825210.95</v>
      </c>
      <c r="E706"/>
      <c r="F706"/>
      <c r="G706"/>
      <c r="H706"/>
      <c r="I706"/>
      <c r="J706"/>
      <c r="K706"/>
      <c r="L706"/>
      <c r="M706"/>
      <c r="N706"/>
    </row>
    <row r="707" spans="1:14" x14ac:dyDescent="0.25">
      <c r="A707" t="e">
        <f t="shared" si="20"/>
        <v>#VALUE!</v>
      </c>
      <c r="B707" t="e">
        <f t="shared" si="21"/>
        <v>#VALUE!</v>
      </c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25">
      <c r="A708" t="e">
        <f t="shared" si="20"/>
        <v>#VALUE!</v>
      </c>
      <c r="B708" t="e">
        <f t="shared" si="21"/>
        <v>#VALUE!</v>
      </c>
      <c r="D708" s="14">
        <v>0</v>
      </c>
      <c r="E708"/>
      <c r="F708"/>
      <c r="G708"/>
      <c r="H708"/>
      <c r="I708"/>
      <c r="J708"/>
      <c r="K708"/>
      <c r="L708"/>
      <c r="M708"/>
      <c r="N708"/>
    </row>
    <row r="709" spans="1:14" x14ac:dyDescent="0.25">
      <c r="A709" t="str">
        <f t="shared" ref="A709:A772" si="22">LEFT(C709,FIND(" ",C709)-1)</f>
        <v>1136238</v>
      </c>
      <c r="B709" t="str">
        <f t="shared" ref="B709:B772" si="23">RIGHT(C709,LEN(C709)-FIND(" ",C709))</f>
        <v xml:space="preserve"> Avista - Dalton sub to CDA Call Center</v>
      </c>
      <c r="C709" t="s">
        <v>853</v>
      </c>
      <c r="D709" s="15">
        <v>-37621.9</v>
      </c>
      <c r="E709" s="15">
        <v>-3718.44</v>
      </c>
      <c r="F709" s="15">
        <v>-33903.46</v>
      </c>
      <c r="G709" s="34">
        <v>0</v>
      </c>
      <c r="H709" s="15">
        <v>760552.1</v>
      </c>
      <c r="I709" s="15">
        <v>1216</v>
      </c>
      <c r="J709" s="15">
        <v>825210.95</v>
      </c>
      <c r="K709" s="15">
        <v>761768.1</v>
      </c>
      <c r="L709" s="15">
        <v>657956.96</v>
      </c>
      <c r="M709" s="15">
        <v>103811.14</v>
      </c>
      <c r="N709" s="34">
        <v>13.627656500712</v>
      </c>
    </row>
    <row r="710" spans="1:14" x14ac:dyDescent="0.25">
      <c r="A710" t="e">
        <f t="shared" si="22"/>
        <v>#VALUE!</v>
      </c>
      <c r="B710" t="e">
        <f t="shared" si="23"/>
        <v>#VALUE!</v>
      </c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25">
      <c r="A711" t="e">
        <f t="shared" si="22"/>
        <v>#VALUE!</v>
      </c>
      <c r="B711" t="e">
        <f t="shared" si="23"/>
        <v>#VALUE!</v>
      </c>
      <c r="C711" s="14">
        <v>126555.1</v>
      </c>
      <c r="D711" s="14">
        <v>126555.1</v>
      </c>
      <c r="E711"/>
      <c r="F711"/>
      <c r="G711"/>
      <c r="H711"/>
      <c r="I711"/>
      <c r="J711"/>
      <c r="K711"/>
      <c r="L711"/>
      <c r="M711"/>
      <c r="N711"/>
    </row>
    <row r="712" spans="1:14" x14ac:dyDescent="0.25">
      <c r="A712" t="e">
        <f t="shared" si="22"/>
        <v>#VALUE!</v>
      </c>
      <c r="B712" t="e">
        <f t="shared" si="23"/>
        <v>#VALUE!</v>
      </c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25">
      <c r="A713" t="e">
        <f t="shared" si="22"/>
        <v>#VALUE!</v>
      </c>
      <c r="B713" t="e">
        <f t="shared" si="23"/>
        <v>#VALUE!</v>
      </c>
      <c r="D713" s="14">
        <v>0</v>
      </c>
      <c r="E713"/>
      <c r="F713"/>
      <c r="G713"/>
      <c r="H713"/>
      <c r="I713"/>
      <c r="J713"/>
      <c r="K713"/>
      <c r="L713"/>
      <c r="M713"/>
      <c r="N713"/>
    </row>
    <row r="714" spans="1:14" x14ac:dyDescent="0.25">
      <c r="A714" t="str">
        <f t="shared" si="22"/>
        <v>1136264</v>
      </c>
      <c r="B714" t="str">
        <f t="shared" si="23"/>
        <v xml:space="preserve"> ATT - CDA Bridge Cable Pulling</v>
      </c>
      <c r="C714" t="s">
        <v>1145</v>
      </c>
      <c r="D714" s="15">
        <v>0</v>
      </c>
      <c r="E714" s="15">
        <v>793.52</v>
      </c>
      <c r="F714" s="15">
        <v>-793.52</v>
      </c>
      <c r="G714" s="34">
        <v>0</v>
      </c>
      <c r="H714" s="15">
        <v>0</v>
      </c>
      <c r="I714" s="15">
        <v>0</v>
      </c>
      <c r="J714" s="15">
        <v>126555.1</v>
      </c>
      <c r="K714" s="15">
        <v>0</v>
      </c>
      <c r="L714" s="15">
        <v>793.52</v>
      </c>
      <c r="M714" s="15">
        <v>-793.52</v>
      </c>
      <c r="N714" s="34">
        <v>0</v>
      </c>
    </row>
    <row r="715" spans="1:14" x14ac:dyDescent="0.25">
      <c r="A715" t="e">
        <f t="shared" si="22"/>
        <v>#VALUE!</v>
      </c>
      <c r="B715" t="e">
        <f t="shared" si="23"/>
        <v>#VALUE!</v>
      </c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25">
      <c r="A716" t="e">
        <f t="shared" si="22"/>
        <v>#VALUE!</v>
      </c>
      <c r="B716" t="e">
        <f t="shared" si="23"/>
        <v>#VALUE!</v>
      </c>
      <c r="C716" s="14">
        <v>0</v>
      </c>
      <c r="D716" s="14">
        <v>0</v>
      </c>
      <c r="E716"/>
      <c r="F716"/>
      <c r="G716"/>
      <c r="H716"/>
      <c r="I716"/>
      <c r="J716"/>
      <c r="K716"/>
      <c r="L716"/>
      <c r="M716"/>
      <c r="N716"/>
    </row>
    <row r="717" spans="1:14" x14ac:dyDescent="0.25">
      <c r="A717" t="e">
        <f t="shared" si="22"/>
        <v>#VALUE!</v>
      </c>
      <c r="B717" t="e">
        <f t="shared" si="23"/>
        <v>#VALUE!</v>
      </c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25">
      <c r="A718" t="e">
        <f t="shared" si="22"/>
        <v>#VALUE!</v>
      </c>
      <c r="B718" t="e">
        <f t="shared" si="23"/>
        <v>#VALUE!</v>
      </c>
      <c r="D718" s="14">
        <v>0</v>
      </c>
      <c r="E718"/>
      <c r="F718"/>
      <c r="G718"/>
      <c r="H718"/>
      <c r="I718"/>
      <c r="J718"/>
      <c r="K718"/>
      <c r="L718"/>
      <c r="M718"/>
      <c r="N718"/>
    </row>
    <row r="719" spans="1:14" x14ac:dyDescent="0.25">
      <c r="A719" t="str">
        <f t="shared" si="22"/>
        <v>1276223</v>
      </c>
      <c r="B719" t="str">
        <f t="shared" si="23"/>
        <v xml:space="preserve"> Cogent Bridge 76 Final Reattach</v>
      </c>
      <c r="C719" t="s">
        <v>831</v>
      </c>
      <c r="D719" s="15">
        <v>0</v>
      </c>
      <c r="E719" s="15">
        <v>0</v>
      </c>
      <c r="F719" s="15">
        <v>0</v>
      </c>
      <c r="G719" s="34">
        <v>0</v>
      </c>
      <c r="H719" s="15">
        <v>16954</v>
      </c>
      <c r="I719" s="15">
        <v>0</v>
      </c>
      <c r="J719" s="15">
        <v>0</v>
      </c>
      <c r="K719" s="15">
        <v>16954</v>
      </c>
      <c r="L719" s="15">
        <v>12241.68</v>
      </c>
      <c r="M719" s="15">
        <v>4712.32</v>
      </c>
      <c r="N719" s="34">
        <v>27.794738704730399</v>
      </c>
    </row>
    <row r="720" spans="1:14" x14ac:dyDescent="0.25">
      <c r="A720" t="e">
        <f t="shared" si="22"/>
        <v>#VALUE!</v>
      </c>
      <c r="B720" t="e">
        <f t="shared" si="23"/>
        <v>#VALUE!</v>
      </c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25">
      <c r="A721" t="e">
        <f t="shared" si="22"/>
        <v>#VALUE!</v>
      </c>
      <c r="B721" t="e">
        <f t="shared" si="23"/>
        <v>#VALUE!</v>
      </c>
      <c r="C721" s="14">
        <v>2110925.9900000002</v>
      </c>
      <c r="D721" s="14">
        <v>2110925.9900000002</v>
      </c>
      <c r="E721"/>
      <c r="F721"/>
      <c r="G721"/>
      <c r="H721"/>
      <c r="I721"/>
      <c r="J721"/>
      <c r="K721"/>
      <c r="L721"/>
      <c r="M721"/>
      <c r="N721"/>
    </row>
    <row r="722" spans="1:14" x14ac:dyDescent="0.25">
      <c r="A722" t="e">
        <f t="shared" si="22"/>
        <v>#VALUE!</v>
      </c>
      <c r="B722" t="e">
        <f t="shared" si="23"/>
        <v>#VALUE!</v>
      </c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25">
      <c r="A723" t="e">
        <f t="shared" si="22"/>
        <v>#VALUE!</v>
      </c>
      <c r="B723" t="e">
        <f t="shared" si="23"/>
        <v>#VALUE!</v>
      </c>
      <c r="D723" s="14">
        <v>0</v>
      </c>
      <c r="E723"/>
      <c r="F723"/>
      <c r="G723"/>
      <c r="H723"/>
      <c r="I723"/>
      <c r="J723"/>
      <c r="K723"/>
      <c r="L723"/>
      <c r="M723"/>
      <c r="N723"/>
    </row>
    <row r="724" spans="1:14" x14ac:dyDescent="0.25">
      <c r="A724" t="str">
        <f t="shared" si="22"/>
        <v>1386118</v>
      </c>
      <c r="B724" t="str">
        <f t="shared" si="23"/>
        <v xml:space="preserve"> Alyrica - Webfoot</v>
      </c>
      <c r="C724" t="s">
        <v>395</v>
      </c>
      <c r="D724" s="15">
        <v>0</v>
      </c>
      <c r="E724" s="15">
        <v>0.02</v>
      </c>
      <c r="F724" s="15">
        <v>-0.02</v>
      </c>
      <c r="G724" s="34">
        <v>0</v>
      </c>
      <c r="H724" s="15">
        <v>1549104</v>
      </c>
      <c r="I724" s="15">
        <v>581319.88</v>
      </c>
      <c r="J724" s="15">
        <v>2110925.9900000002</v>
      </c>
      <c r="K724" s="15">
        <v>2130423.88</v>
      </c>
      <c r="L724" s="15">
        <v>1741149.49</v>
      </c>
      <c r="M724" s="15">
        <v>389274.39</v>
      </c>
      <c r="N724" s="34">
        <v>18.272156712775899</v>
      </c>
    </row>
    <row r="725" spans="1:14" x14ac:dyDescent="0.25">
      <c r="A725" t="e">
        <f t="shared" si="22"/>
        <v>#VALUE!</v>
      </c>
      <c r="B725" t="e">
        <f t="shared" si="23"/>
        <v>#VALUE!</v>
      </c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25">
      <c r="A726" t="e">
        <f t="shared" si="22"/>
        <v>#VALUE!</v>
      </c>
      <c r="B726" t="e">
        <f t="shared" si="23"/>
        <v>#VALUE!</v>
      </c>
      <c r="C726" s="14">
        <v>4243378</v>
      </c>
      <c r="D726" s="14">
        <v>4243378</v>
      </c>
      <c r="E726"/>
      <c r="F726"/>
      <c r="G726"/>
      <c r="H726"/>
      <c r="I726"/>
      <c r="J726"/>
      <c r="K726"/>
      <c r="L726"/>
      <c r="M726"/>
      <c r="N726"/>
    </row>
    <row r="727" spans="1:14" x14ac:dyDescent="0.25">
      <c r="A727" t="e">
        <f t="shared" si="22"/>
        <v>#VALUE!</v>
      </c>
      <c r="B727" t="e">
        <f t="shared" si="23"/>
        <v>#VALUE!</v>
      </c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25">
      <c r="A728" t="e">
        <f t="shared" si="22"/>
        <v>#VALUE!</v>
      </c>
      <c r="B728" t="e">
        <f t="shared" si="23"/>
        <v>#VALUE!</v>
      </c>
      <c r="D728" s="14">
        <v>0</v>
      </c>
      <c r="E728"/>
      <c r="F728"/>
      <c r="G728"/>
      <c r="H728"/>
      <c r="I728"/>
      <c r="J728"/>
      <c r="K728"/>
      <c r="L728"/>
      <c r="M728"/>
      <c r="N728"/>
    </row>
    <row r="729" spans="1:14" x14ac:dyDescent="0.25">
      <c r="A729" t="str">
        <f t="shared" si="22"/>
        <v>1485117</v>
      </c>
      <c r="B729" t="str">
        <f t="shared" si="23"/>
        <v xml:space="preserve"> Pacific PUD-ITB 2023-2 Fiber</v>
      </c>
      <c r="C729" t="s">
        <v>201</v>
      </c>
      <c r="D729" s="15">
        <v>0</v>
      </c>
      <c r="E729" s="15">
        <v>0</v>
      </c>
      <c r="F729" s="15">
        <v>0</v>
      </c>
      <c r="G729" s="34">
        <v>0</v>
      </c>
      <c r="H729" s="15">
        <v>4243377.72</v>
      </c>
      <c r="I729" s="15">
        <v>5.9117155615240303E-12</v>
      </c>
      <c r="J729" s="15">
        <v>4243378</v>
      </c>
      <c r="K729" s="15">
        <v>4243377.72</v>
      </c>
      <c r="L729" s="15">
        <v>3301433.07</v>
      </c>
      <c r="M729" s="15">
        <v>941944.65</v>
      </c>
      <c r="N729" s="34">
        <v>22.1979920750491</v>
      </c>
    </row>
    <row r="730" spans="1:14" x14ac:dyDescent="0.25">
      <c r="A730" t="e">
        <f t="shared" si="22"/>
        <v>#VALUE!</v>
      </c>
      <c r="B730" t="e">
        <f t="shared" si="23"/>
        <v>#VALUE!</v>
      </c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25">
      <c r="A731" t="e">
        <f t="shared" si="22"/>
        <v>#VALUE!</v>
      </c>
      <c r="B731" t="e">
        <f t="shared" si="23"/>
        <v>#VALUE!</v>
      </c>
      <c r="C731" s="14">
        <v>1884090</v>
      </c>
      <c r="D731" s="14">
        <v>1884090</v>
      </c>
      <c r="E731"/>
      <c r="F731"/>
      <c r="G731"/>
      <c r="H731"/>
      <c r="I731"/>
      <c r="J731"/>
      <c r="K731"/>
      <c r="L731"/>
      <c r="M731"/>
      <c r="N731"/>
    </row>
    <row r="732" spans="1:14" x14ac:dyDescent="0.25">
      <c r="A732" t="e">
        <f t="shared" si="22"/>
        <v>#VALUE!</v>
      </c>
      <c r="B732" t="e">
        <f t="shared" si="23"/>
        <v>#VALUE!</v>
      </c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25">
      <c r="A733" t="e">
        <f t="shared" si="22"/>
        <v>#VALUE!</v>
      </c>
      <c r="B733" t="e">
        <f t="shared" si="23"/>
        <v>#VALUE!</v>
      </c>
      <c r="D733" s="14">
        <v>0</v>
      </c>
      <c r="E733"/>
      <c r="F733"/>
      <c r="G733"/>
      <c r="H733"/>
      <c r="I733"/>
      <c r="J733"/>
      <c r="K733"/>
      <c r="L733"/>
      <c r="M733"/>
      <c r="N733"/>
    </row>
    <row r="734" spans="1:14" x14ac:dyDescent="0.25">
      <c r="A734" t="str">
        <f t="shared" si="22"/>
        <v>1485118</v>
      </c>
      <c r="B734" t="str">
        <f t="shared" si="23"/>
        <v xml:space="preserve"> Pacific PUD-ITB 2023-2 Electrical</v>
      </c>
      <c r="C734" t="s">
        <v>202</v>
      </c>
      <c r="D734" s="15">
        <v>0</v>
      </c>
      <c r="E734" s="15">
        <v>0</v>
      </c>
      <c r="F734" s="15">
        <v>0</v>
      </c>
      <c r="G734" s="34">
        <v>0</v>
      </c>
      <c r="H734" s="15">
        <v>1884090.39</v>
      </c>
      <c r="I734" s="15">
        <v>-3.6379788070917097E-11</v>
      </c>
      <c r="J734" s="15">
        <v>1884090</v>
      </c>
      <c r="K734" s="15">
        <v>1884090.39</v>
      </c>
      <c r="L734" s="15">
        <v>1229376.69</v>
      </c>
      <c r="M734" s="15">
        <v>654713.69999999995</v>
      </c>
      <c r="N734" s="34">
        <v>34.7495907560996</v>
      </c>
    </row>
    <row r="735" spans="1:14" x14ac:dyDescent="0.25">
      <c r="A735" t="e">
        <f t="shared" si="22"/>
        <v>#VALUE!</v>
      </c>
      <c r="B735" t="e">
        <f t="shared" si="23"/>
        <v>#VALUE!</v>
      </c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25">
      <c r="A736" t="e">
        <f t="shared" si="22"/>
        <v>#VALUE!</v>
      </c>
      <c r="B736" t="e">
        <f t="shared" si="23"/>
        <v>#VALUE!</v>
      </c>
      <c r="C736" s="14">
        <v>364162.75</v>
      </c>
      <c r="D736" s="14">
        <v>364162.75</v>
      </c>
      <c r="E736"/>
      <c r="F736"/>
      <c r="G736"/>
      <c r="H736"/>
      <c r="I736"/>
      <c r="J736"/>
      <c r="K736"/>
      <c r="L736"/>
      <c r="M736"/>
      <c r="N736"/>
    </row>
    <row r="737" spans="1:14" x14ac:dyDescent="0.25">
      <c r="A737" t="e">
        <f t="shared" si="22"/>
        <v>#VALUE!</v>
      </c>
      <c r="B737" t="e">
        <f t="shared" si="23"/>
        <v>#VALUE!</v>
      </c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25">
      <c r="A738" t="e">
        <f t="shared" si="22"/>
        <v>#VALUE!</v>
      </c>
      <c r="B738" t="e">
        <f t="shared" si="23"/>
        <v>#VALUE!</v>
      </c>
      <c r="D738" s="14">
        <v>0</v>
      </c>
      <c r="E738"/>
      <c r="F738"/>
      <c r="G738"/>
      <c r="H738"/>
      <c r="I738"/>
      <c r="J738"/>
      <c r="K738"/>
      <c r="L738"/>
      <c r="M738"/>
      <c r="N738"/>
    </row>
    <row r="739" spans="1:14" x14ac:dyDescent="0.25">
      <c r="A739" t="str">
        <f t="shared" si="22"/>
        <v>1485119</v>
      </c>
      <c r="B739" t="str">
        <f t="shared" si="23"/>
        <v xml:space="preserve"> Pacific PUD-ITB 2023-3 Splicing</v>
      </c>
      <c r="C739" t="s">
        <v>203</v>
      </c>
      <c r="D739" s="15">
        <v>0</v>
      </c>
      <c r="E739" s="15">
        <v>0</v>
      </c>
      <c r="F739" s="15">
        <v>0</v>
      </c>
      <c r="G739" s="34">
        <v>0</v>
      </c>
      <c r="H739" s="15">
        <v>364162.75</v>
      </c>
      <c r="I739" s="15">
        <v>-2.0463630789890902E-11</v>
      </c>
      <c r="J739" s="15">
        <v>364162.75</v>
      </c>
      <c r="K739" s="15">
        <v>364162.75</v>
      </c>
      <c r="L739" s="15">
        <v>421443.75</v>
      </c>
      <c r="M739" s="15">
        <v>-57281</v>
      </c>
      <c r="N739" s="34">
        <v>-15.729505557611301</v>
      </c>
    </row>
    <row r="740" spans="1:14" x14ac:dyDescent="0.25">
      <c r="A740" t="e">
        <f t="shared" si="22"/>
        <v>#VALUE!</v>
      </c>
      <c r="B740" t="e">
        <f t="shared" si="23"/>
        <v>#VALUE!</v>
      </c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25">
      <c r="A741" t="e">
        <f t="shared" si="22"/>
        <v>#VALUE!</v>
      </c>
      <c r="B741" t="e">
        <f t="shared" si="23"/>
        <v>#VALUE!</v>
      </c>
      <c r="C741" s="14">
        <v>10223408.24</v>
      </c>
      <c r="D741" s="14">
        <v>10223408.24</v>
      </c>
      <c r="E741"/>
      <c r="F741"/>
      <c r="G741"/>
      <c r="H741"/>
      <c r="I741"/>
      <c r="J741"/>
      <c r="K741"/>
      <c r="L741"/>
      <c r="M741"/>
      <c r="N741"/>
    </row>
    <row r="742" spans="1:14" x14ac:dyDescent="0.25">
      <c r="A742" t="e">
        <f t="shared" si="22"/>
        <v>#VALUE!</v>
      </c>
      <c r="B742" t="e">
        <f t="shared" si="23"/>
        <v>#VALUE!</v>
      </c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25">
      <c r="A743" t="e">
        <f t="shared" si="22"/>
        <v>#VALUE!</v>
      </c>
      <c r="B743" t="e">
        <f t="shared" si="23"/>
        <v>#VALUE!</v>
      </c>
      <c r="D743" s="14">
        <v>0</v>
      </c>
      <c r="E743"/>
      <c r="F743"/>
      <c r="G743"/>
      <c r="H743"/>
      <c r="I743"/>
      <c r="J743"/>
      <c r="K743"/>
      <c r="L743"/>
      <c r="M743"/>
      <c r="N743"/>
    </row>
    <row r="744" spans="1:14" x14ac:dyDescent="0.25">
      <c r="A744" t="str">
        <f t="shared" si="22"/>
        <v>1485141</v>
      </c>
      <c r="B744" t="str">
        <f t="shared" si="23"/>
        <v xml:space="preserve"> Jefferson PUD-Olympic Fiber Build</v>
      </c>
      <c r="C744" t="s">
        <v>204</v>
      </c>
      <c r="D744" s="15">
        <v>34821.24</v>
      </c>
      <c r="E744" s="15">
        <v>116818.8</v>
      </c>
      <c r="F744" s="15">
        <v>-81997.56</v>
      </c>
      <c r="G744" s="34">
        <v>-235.48144753029999</v>
      </c>
      <c r="H744" s="15">
        <v>10602354.77</v>
      </c>
      <c r="I744" s="15">
        <v>93446.180000000197</v>
      </c>
      <c r="J744" s="15">
        <v>10223408.24</v>
      </c>
      <c r="K744" s="15">
        <v>10695800.949999999</v>
      </c>
      <c r="L744" s="15">
        <v>9565370.2599999998</v>
      </c>
      <c r="M744" s="15">
        <v>1130430.69</v>
      </c>
      <c r="N744" s="34">
        <v>10.568920413575899</v>
      </c>
    </row>
    <row r="745" spans="1:14" x14ac:dyDescent="0.25">
      <c r="A745" t="e">
        <f t="shared" si="22"/>
        <v>#VALUE!</v>
      </c>
      <c r="B745" t="e">
        <f t="shared" si="23"/>
        <v>#VALUE!</v>
      </c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25">
      <c r="A746" t="e">
        <f t="shared" si="22"/>
        <v>#VALUE!</v>
      </c>
      <c r="B746" t="e">
        <f t="shared" si="23"/>
        <v>#VALUE!</v>
      </c>
      <c r="C746" s="14">
        <v>18688</v>
      </c>
      <c r="D746" s="14">
        <v>18688</v>
      </c>
      <c r="E746"/>
      <c r="F746"/>
      <c r="G746"/>
      <c r="H746"/>
      <c r="I746"/>
      <c r="J746"/>
      <c r="K746"/>
      <c r="L746"/>
      <c r="M746"/>
      <c r="N746"/>
    </row>
    <row r="747" spans="1:14" x14ac:dyDescent="0.25">
      <c r="A747" t="e">
        <f t="shared" si="22"/>
        <v>#VALUE!</v>
      </c>
      <c r="B747" t="e">
        <f t="shared" si="23"/>
        <v>#VALUE!</v>
      </c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25">
      <c r="A748" t="e">
        <f t="shared" si="22"/>
        <v>#VALUE!</v>
      </c>
      <c r="B748" t="e">
        <f t="shared" si="23"/>
        <v>#VALUE!</v>
      </c>
      <c r="D748" s="14">
        <v>0</v>
      </c>
      <c r="E748"/>
      <c r="F748"/>
      <c r="G748"/>
      <c r="H748"/>
      <c r="I748"/>
      <c r="J748"/>
      <c r="K748"/>
      <c r="L748"/>
      <c r="M748"/>
      <c r="N748"/>
    </row>
    <row r="749" spans="1:14" x14ac:dyDescent="0.25">
      <c r="A749" t="str">
        <f t="shared" si="22"/>
        <v>1485253</v>
      </c>
      <c r="B749" t="str">
        <f t="shared" si="23"/>
        <v xml:space="preserve"> Astound - Furnish and Install 6in class</v>
      </c>
      <c r="C749" t="s">
        <v>691</v>
      </c>
      <c r="D749" s="15">
        <v>0</v>
      </c>
      <c r="E749" s="15">
        <v>0</v>
      </c>
      <c r="F749" s="15">
        <v>0</v>
      </c>
      <c r="G749" s="34">
        <v>0</v>
      </c>
      <c r="H749" s="15">
        <v>25404.03</v>
      </c>
      <c r="I749" s="15">
        <v>0</v>
      </c>
      <c r="J749" s="15">
        <v>18688</v>
      </c>
      <c r="K749" s="15">
        <v>25404.03</v>
      </c>
      <c r="L749" s="15">
        <v>19490.48</v>
      </c>
      <c r="M749" s="15">
        <v>5913.55</v>
      </c>
      <c r="N749" s="34">
        <v>23.277999592977999</v>
      </c>
    </row>
    <row r="750" spans="1:14" x14ac:dyDescent="0.25">
      <c r="A750" t="e">
        <f t="shared" si="22"/>
        <v>#VALUE!</v>
      </c>
      <c r="B750" t="e">
        <f t="shared" si="23"/>
        <v>#VALUE!</v>
      </c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25">
      <c r="A751" t="e">
        <f t="shared" si="22"/>
        <v>#VALUE!</v>
      </c>
      <c r="B751" t="e">
        <f t="shared" si="23"/>
        <v>#VALUE!</v>
      </c>
      <c r="C751" s="14">
        <v>12041649</v>
      </c>
      <c r="D751" s="14">
        <v>12041649</v>
      </c>
      <c r="E751"/>
      <c r="F751"/>
      <c r="G751"/>
      <c r="H751"/>
      <c r="I751"/>
      <c r="J751"/>
      <c r="K751"/>
      <c r="L751"/>
      <c r="M751"/>
      <c r="N751"/>
    </row>
    <row r="752" spans="1:14" x14ac:dyDescent="0.25">
      <c r="A752" t="e">
        <f t="shared" si="22"/>
        <v>#VALUE!</v>
      </c>
      <c r="B752" t="e">
        <f t="shared" si="23"/>
        <v>#VALUE!</v>
      </c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25">
      <c r="A753" t="e">
        <f t="shared" si="22"/>
        <v>#VALUE!</v>
      </c>
      <c r="B753" t="e">
        <f t="shared" si="23"/>
        <v>#VALUE!</v>
      </c>
      <c r="D753" s="14">
        <v>0</v>
      </c>
      <c r="E753"/>
      <c r="F753"/>
      <c r="G753"/>
      <c r="H753"/>
      <c r="I753"/>
      <c r="J753"/>
      <c r="K753"/>
      <c r="L753"/>
      <c r="M753"/>
      <c r="N753"/>
    </row>
    <row r="754" spans="1:14" x14ac:dyDescent="0.25">
      <c r="A754" t="str">
        <f t="shared" si="22"/>
        <v>1485262</v>
      </c>
      <c r="B754" t="str">
        <f t="shared" si="23"/>
        <v xml:space="preserve"> Astound - Clallam County WSBO Phase</v>
      </c>
      <c r="C754" t="s">
        <v>305</v>
      </c>
      <c r="D754" s="15">
        <v>546921.11</v>
      </c>
      <c r="E754" s="15">
        <v>377943.25</v>
      </c>
      <c r="F754" s="15">
        <v>168977.86</v>
      </c>
      <c r="G754" s="34">
        <v>30.896203659061499</v>
      </c>
      <c r="H754" s="15">
        <v>7152883.1100000003</v>
      </c>
      <c r="I754" s="15">
        <v>570296.66</v>
      </c>
      <c r="J754" s="15">
        <v>12041649</v>
      </c>
      <c r="K754" s="15">
        <v>7723179.7699999996</v>
      </c>
      <c r="L754" s="15">
        <v>5029383.82</v>
      </c>
      <c r="M754" s="15">
        <v>2693795.95</v>
      </c>
      <c r="N754" s="34">
        <v>34.879363555200499</v>
      </c>
    </row>
    <row r="755" spans="1:14" x14ac:dyDescent="0.25">
      <c r="A755" t="e">
        <f t="shared" si="22"/>
        <v>#VALUE!</v>
      </c>
      <c r="B755" t="e">
        <f t="shared" si="23"/>
        <v>#VALUE!</v>
      </c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25">
      <c r="A756" t="e">
        <f t="shared" si="22"/>
        <v>#VALUE!</v>
      </c>
      <c r="B756" t="e">
        <f t="shared" si="23"/>
        <v>#VALUE!</v>
      </c>
      <c r="C756" s="14">
        <v>0</v>
      </c>
      <c r="D756" s="14">
        <v>0</v>
      </c>
      <c r="E756"/>
      <c r="F756"/>
      <c r="G756"/>
      <c r="H756"/>
      <c r="I756"/>
      <c r="J756"/>
      <c r="K756"/>
      <c r="L756"/>
      <c r="M756"/>
      <c r="N756"/>
    </row>
    <row r="757" spans="1:14" x14ac:dyDescent="0.25">
      <c r="A757" t="e">
        <f t="shared" si="22"/>
        <v>#VALUE!</v>
      </c>
      <c r="B757" t="e">
        <f t="shared" si="23"/>
        <v>#VALUE!</v>
      </c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25">
      <c r="A758" t="e">
        <f t="shared" si="22"/>
        <v>#VALUE!</v>
      </c>
      <c r="B758" t="e">
        <f t="shared" si="23"/>
        <v>#VALUE!</v>
      </c>
      <c r="D758" s="14">
        <v>0</v>
      </c>
      <c r="E758"/>
      <c r="F758"/>
      <c r="G758"/>
      <c r="H758"/>
      <c r="I758"/>
      <c r="J758"/>
      <c r="K758"/>
      <c r="L758"/>
      <c r="M758"/>
      <c r="N758"/>
    </row>
    <row r="759" spans="1:14" x14ac:dyDescent="0.25">
      <c r="A759" t="str">
        <f t="shared" si="22"/>
        <v>1485263</v>
      </c>
      <c r="B759" t="str">
        <f t="shared" si="23"/>
        <v xml:space="preserve"> Astound - Clallam County PWB Phase</v>
      </c>
      <c r="C759" t="s">
        <v>349</v>
      </c>
      <c r="D759" s="15">
        <v>37208.75</v>
      </c>
      <c r="E759" s="15">
        <v>17467.509999999998</v>
      </c>
      <c r="F759" s="15">
        <v>19741.240000000002</v>
      </c>
      <c r="G759" s="34">
        <v>53.055370040649002</v>
      </c>
      <c r="H759" s="15">
        <v>1271316.55</v>
      </c>
      <c r="I759" s="15">
        <v>55020.85</v>
      </c>
      <c r="J759" s="15">
        <v>0</v>
      </c>
      <c r="K759" s="15">
        <v>1326337.3999999999</v>
      </c>
      <c r="L759" s="15">
        <v>1019422.82</v>
      </c>
      <c r="M759" s="15">
        <v>306914.58</v>
      </c>
      <c r="N759" s="34">
        <v>23.1400079647909</v>
      </c>
    </row>
    <row r="760" spans="1:14" x14ac:dyDescent="0.25">
      <c r="A760" t="e">
        <f t="shared" si="22"/>
        <v>#VALUE!</v>
      </c>
      <c r="B760" t="e">
        <f t="shared" si="23"/>
        <v>#VALUE!</v>
      </c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25">
      <c r="A761" t="e">
        <f t="shared" si="22"/>
        <v>#VALUE!</v>
      </c>
      <c r="B761" t="e">
        <f t="shared" si="23"/>
        <v>#VALUE!</v>
      </c>
      <c r="C761">
        <v>0</v>
      </c>
      <c r="D761">
        <v>0</v>
      </c>
      <c r="E761"/>
      <c r="F761"/>
      <c r="G761"/>
      <c r="H761"/>
      <c r="I761"/>
      <c r="J761"/>
      <c r="K761"/>
      <c r="L761"/>
      <c r="M761"/>
      <c r="N761"/>
    </row>
    <row r="762" spans="1:14" x14ac:dyDescent="0.25">
      <c r="A762" t="e">
        <f t="shared" si="22"/>
        <v>#VALUE!</v>
      </c>
      <c r="B762" t="e">
        <f t="shared" si="23"/>
        <v>#VALUE!</v>
      </c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25">
      <c r="A763" t="e">
        <f t="shared" si="22"/>
        <v>#VALUE!</v>
      </c>
      <c r="B763" t="e">
        <f t="shared" si="23"/>
        <v>#VALUE!</v>
      </c>
      <c r="D763" s="14">
        <v>0</v>
      </c>
      <c r="E763"/>
      <c r="F763"/>
      <c r="G763"/>
      <c r="H763"/>
      <c r="I763"/>
      <c r="J763"/>
      <c r="K763"/>
      <c r="L763"/>
      <c r="M763"/>
      <c r="N763"/>
    </row>
    <row r="764" spans="1:14" x14ac:dyDescent="0.25">
      <c r="A764" t="str">
        <f t="shared" si="22"/>
        <v>1486113</v>
      </c>
      <c r="B764" t="str">
        <f t="shared" si="23"/>
        <v xml:space="preserve"> Zayo - Maintenance</v>
      </c>
      <c r="C764" t="s">
        <v>590</v>
      </c>
      <c r="D764" s="15">
        <v>0</v>
      </c>
      <c r="E764" s="15">
        <v>0</v>
      </c>
      <c r="F764" s="15">
        <v>0</v>
      </c>
      <c r="G764" s="34">
        <v>0</v>
      </c>
      <c r="H764" s="15">
        <v>74159.539999999994</v>
      </c>
      <c r="I764" s="15">
        <v>0</v>
      </c>
      <c r="J764" s="15">
        <v>0</v>
      </c>
      <c r="K764" s="15">
        <v>74159.539999999994</v>
      </c>
      <c r="L764" s="15">
        <v>51352.39</v>
      </c>
      <c r="M764" s="15">
        <v>22807.15</v>
      </c>
      <c r="N764" s="34">
        <v>30.7541686477559</v>
      </c>
    </row>
    <row r="765" spans="1:14" x14ac:dyDescent="0.25">
      <c r="A765" t="e">
        <f t="shared" si="22"/>
        <v>#VALUE!</v>
      </c>
      <c r="B765" t="e">
        <f t="shared" si="23"/>
        <v>#VALUE!</v>
      </c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25">
      <c r="A766" t="e">
        <f t="shared" si="22"/>
        <v>#VALUE!</v>
      </c>
      <c r="B766" t="e">
        <f t="shared" si="23"/>
        <v>#VALUE!</v>
      </c>
      <c r="C766" s="14">
        <v>721133</v>
      </c>
      <c r="D766" s="14">
        <v>721133</v>
      </c>
      <c r="E766"/>
      <c r="F766"/>
      <c r="G766"/>
      <c r="H766"/>
      <c r="I766"/>
      <c r="J766"/>
      <c r="K766"/>
      <c r="L766"/>
      <c r="M766"/>
      <c r="N766"/>
    </row>
    <row r="767" spans="1:14" x14ac:dyDescent="0.25">
      <c r="A767" t="e">
        <f t="shared" si="22"/>
        <v>#VALUE!</v>
      </c>
      <c r="B767" t="e">
        <f t="shared" si="23"/>
        <v>#VALUE!</v>
      </c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25">
      <c r="A768" t="e">
        <f t="shared" si="22"/>
        <v>#VALUE!</v>
      </c>
      <c r="B768" t="e">
        <f t="shared" si="23"/>
        <v>#VALUE!</v>
      </c>
      <c r="D768" s="14">
        <v>0</v>
      </c>
      <c r="E768"/>
      <c r="F768"/>
      <c r="G768"/>
      <c r="H768"/>
      <c r="I768"/>
      <c r="J768"/>
      <c r="K768"/>
      <c r="L768"/>
      <c r="M768"/>
      <c r="N768"/>
    </row>
    <row r="769" spans="1:14" x14ac:dyDescent="0.25">
      <c r="A769" t="str">
        <f t="shared" si="22"/>
        <v>1486221</v>
      </c>
      <c r="B769" t="str">
        <f t="shared" si="23"/>
        <v xml:space="preserve"> Declaration - Deep Lake, Seg 6 and 7</v>
      </c>
      <c r="C769" t="s">
        <v>803</v>
      </c>
      <c r="D769" s="15">
        <v>0</v>
      </c>
      <c r="E769" s="15">
        <v>2979.14</v>
      </c>
      <c r="F769" s="15">
        <v>-2979.14</v>
      </c>
      <c r="G769" s="34">
        <v>0</v>
      </c>
      <c r="H769" s="15">
        <v>632513.49</v>
      </c>
      <c r="I769" s="15">
        <v>0</v>
      </c>
      <c r="J769" s="15">
        <v>721133</v>
      </c>
      <c r="K769" s="15">
        <v>632513.49</v>
      </c>
      <c r="L769" s="15">
        <v>520551.16</v>
      </c>
      <c r="M769" s="15">
        <v>111962.33</v>
      </c>
      <c r="N769" s="34">
        <v>17.7011766183833</v>
      </c>
    </row>
    <row r="770" spans="1:14" x14ac:dyDescent="0.25">
      <c r="A770" t="e">
        <f t="shared" si="22"/>
        <v>#VALUE!</v>
      </c>
      <c r="B770" t="e">
        <f t="shared" si="23"/>
        <v>#VALUE!</v>
      </c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25">
      <c r="A771" t="e">
        <f t="shared" si="22"/>
        <v>#VALUE!</v>
      </c>
      <c r="B771" t="e">
        <f t="shared" si="23"/>
        <v>#VALUE!</v>
      </c>
      <c r="C771" s="14">
        <v>0</v>
      </c>
      <c r="D771" s="14">
        <v>0</v>
      </c>
      <c r="E771"/>
      <c r="F771"/>
      <c r="G771"/>
      <c r="H771"/>
      <c r="I771"/>
      <c r="J771"/>
      <c r="K771"/>
      <c r="L771"/>
      <c r="M771"/>
      <c r="N771"/>
    </row>
    <row r="772" spans="1:14" x14ac:dyDescent="0.25">
      <c r="A772" t="e">
        <f t="shared" si="22"/>
        <v>#VALUE!</v>
      </c>
      <c r="B772" t="e">
        <f t="shared" si="23"/>
        <v>#VALUE!</v>
      </c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25">
      <c r="A773" t="e">
        <f t="shared" ref="A773:A836" si="24">LEFT(C773,FIND(" ",C773)-1)</f>
        <v>#VALUE!</v>
      </c>
      <c r="B773" t="e">
        <f t="shared" ref="B773:B836" si="25">RIGHT(C773,LEN(C773)-FIND(" ",C773))</f>
        <v>#VALUE!</v>
      </c>
      <c r="D773" s="14">
        <v>0</v>
      </c>
      <c r="E773"/>
      <c r="F773"/>
      <c r="G773"/>
      <c r="H773"/>
      <c r="I773"/>
      <c r="J773"/>
      <c r="K773"/>
      <c r="L773"/>
      <c r="M773"/>
      <c r="N773"/>
    </row>
    <row r="774" spans="1:14" x14ac:dyDescent="0.25">
      <c r="A774" t="str">
        <f t="shared" si="24"/>
        <v>1486224</v>
      </c>
      <c r="B774" t="str">
        <f t="shared" si="25"/>
        <v xml:space="preserve"> Redline - Hwy 112 West Cabinet</v>
      </c>
      <c r="C774" t="s">
        <v>886</v>
      </c>
      <c r="D774" s="15">
        <v>11912</v>
      </c>
      <c r="E774" s="15">
        <v>14739.92</v>
      </c>
      <c r="F774" s="15">
        <v>-2827.92</v>
      </c>
      <c r="G774" s="34">
        <v>-23.7400940228341</v>
      </c>
      <c r="H774" s="15">
        <v>65146</v>
      </c>
      <c r="I774" s="15">
        <v>0</v>
      </c>
      <c r="J774" s="15">
        <v>0</v>
      </c>
      <c r="K774" s="15">
        <v>65146</v>
      </c>
      <c r="L774" s="15">
        <v>50923.03</v>
      </c>
      <c r="M774" s="15">
        <v>14222.97</v>
      </c>
      <c r="N774" s="34">
        <v>21.832453258834001</v>
      </c>
    </row>
    <row r="775" spans="1:14" x14ac:dyDescent="0.25">
      <c r="A775" t="e">
        <f t="shared" si="24"/>
        <v>#VALUE!</v>
      </c>
      <c r="B775" t="e">
        <f t="shared" si="25"/>
        <v>#VALUE!</v>
      </c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25">
      <c r="A776" t="e">
        <f t="shared" si="24"/>
        <v>#VALUE!</v>
      </c>
      <c r="B776" t="e">
        <f t="shared" si="25"/>
        <v>#VALUE!</v>
      </c>
      <c r="C776" s="14">
        <v>0</v>
      </c>
      <c r="D776" s="14">
        <v>0</v>
      </c>
      <c r="E776"/>
      <c r="F776"/>
      <c r="G776"/>
      <c r="H776"/>
      <c r="I776"/>
      <c r="J776"/>
      <c r="K776"/>
      <c r="L776"/>
      <c r="M776"/>
      <c r="N776"/>
    </row>
    <row r="777" spans="1:14" x14ac:dyDescent="0.25">
      <c r="A777" t="e">
        <f t="shared" si="24"/>
        <v>#VALUE!</v>
      </c>
      <c r="B777" t="e">
        <f t="shared" si="25"/>
        <v>#VALUE!</v>
      </c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25">
      <c r="A778" t="e">
        <f t="shared" si="24"/>
        <v>#VALUE!</v>
      </c>
      <c r="B778" t="e">
        <f t="shared" si="25"/>
        <v>#VALUE!</v>
      </c>
      <c r="D778" s="14">
        <v>0</v>
      </c>
      <c r="E778"/>
      <c r="F778"/>
      <c r="G778"/>
      <c r="H778"/>
      <c r="I778"/>
      <c r="J778"/>
      <c r="K778"/>
      <c r="L778"/>
      <c r="M778"/>
      <c r="N778"/>
    </row>
    <row r="779" spans="1:14" x14ac:dyDescent="0.25">
      <c r="A779" t="str">
        <f t="shared" si="24"/>
        <v>1486246</v>
      </c>
      <c r="B779" t="str">
        <f t="shared" si="25"/>
        <v xml:space="preserve"> Zayo - First Tech Credit Union ECO</v>
      </c>
      <c r="C779" t="s">
        <v>1023</v>
      </c>
      <c r="D779" s="15">
        <v>0</v>
      </c>
      <c r="E779" s="15">
        <v>68.67</v>
      </c>
      <c r="F779" s="15">
        <v>-68.67</v>
      </c>
      <c r="G779" s="34">
        <v>0</v>
      </c>
      <c r="H779" s="15">
        <v>22889.29</v>
      </c>
      <c r="I779" s="15">
        <v>0</v>
      </c>
      <c r="J779" s="15">
        <v>0</v>
      </c>
      <c r="K779" s="15">
        <v>22889.29</v>
      </c>
      <c r="L779" s="15">
        <v>13262.34</v>
      </c>
      <c r="M779" s="15">
        <v>9626.9500000000007</v>
      </c>
      <c r="N779" s="34">
        <v>42.058753242236897</v>
      </c>
    </row>
    <row r="780" spans="1:14" x14ac:dyDescent="0.25">
      <c r="A780" t="e">
        <f t="shared" si="24"/>
        <v>#VALUE!</v>
      </c>
      <c r="B780" t="e">
        <f t="shared" si="25"/>
        <v>#VALUE!</v>
      </c>
      <c r="D780"/>
      <c r="E780" s="15"/>
      <c r="F780" s="15"/>
      <c r="G780" s="15"/>
      <c r="H780" s="15"/>
      <c r="I780" s="15"/>
      <c r="J780" s="15"/>
      <c r="K780" s="14"/>
      <c r="L780" s="15"/>
      <c r="M780" s="15"/>
      <c r="N780" s="14"/>
    </row>
    <row r="781" spans="1:14" x14ac:dyDescent="0.25">
      <c r="A781" t="e">
        <f t="shared" si="24"/>
        <v>#VALUE!</v>
      </c>
      <c r="B781" t="e">
        <f t="shared" si="25"/>
        <v>#VALUE!</v>
      </c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25">
      <c r="A782" t="e">
        <f t="shared" si="24"/>
        <v>#VALUE!</v>
      </c>
      <c r="B782" t="e">
        <f t="shared" si="25"/>
        <v>#VALUE!</v>
      </c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25">
      <c r="A783" t="e">
        <f t="shared" si="24"/>
        <v>#VALUE!</v>
      </c>
      <c r="B783" t="e">
        <f t="shared" si="25"/>
        <v>#VALUE!</v>
      </c>
      <c r="C783" s="14"/>
      <c r="D783" s="14">
        <v>0</v>
      </c>
      <c r="E783"/>
      <c r="F783"/>
      <c r="G783"/>
      <c r="H783"/>
      <c r="I783"/>
      <c r="J783"/>
      <c r="K783"/>
      <c r="L783"/>
      <c r="M783"/>
      <c r="N783"/>
    </row>
    <row r="784" spans="1:14" x14ac:dyDescent="0.25">
      <c r="A784" t="str">
        <f t="shared" si="24"/>
        <v>1486266</v>
      </c>
      <c r="B784" t="str">
        <f t="shared" si="25"/>
        <v xml:space="preserve"> Colville Tribes - Twin Lakes FTTH</v>
      </c>
      <c r="C784" t="s">
        <v>949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40.01</v>
      </c>
      <c r="M784">
        <v>-40.01</v>
      </c>
      <c r="N784">
        <v>0</v>
      </c>
    </row>
    <row r="785" spans="1:14" x14ac:dyDescent="0.25">
      <c r="A785" t="e">
        <f t="shared" si="24"/>
        <v>#VALUE!</v>
      </c>
      <c r="B785" t="e">
        <f t="shared" si="25"/>
        <v>#VALUE!</v>
      </c>
      <c r="D785" s="14"/>
      <c r="E785"/>
      <c r="F785"/>
      <c r="G785"/>
      <c r="H785"/>
      <c r="I785"/>
      <c r="J785"/>
      <c r="K785"/>
      <c r="L785"/>
      <c r="M785"/>
      <c r="N785"/>
    </row>
    <row r="786" spans="1:14" x14ac:dyDescent="0.25">
      <c r="A786" t="e">
        <f t="shared" si="24"/>
        <v>#VALUE!</v>
      </c>
      <c r="B786" t="e">
        <f t="shared" si="25"/>
        <v>#VALUE!</v>
      </c>
      <c r="C786">
        <v>0</v>
      </c>
      <c r="D786" s="15">
        <v>0</v>
      </c>
      <c r="E786" s="15"/>
      <c r="F786" s="15"/>
      <c r="G786" s="34"/>
      <c r="H786" s="15"/>
      <c r="I786" s="15"/>
      <c r="J786" s="15"/>
      <c r="K786" s="15"/>
      <c r="L786" s="15"/>
      <c r="M786" s="15"/>
      <c r="N786" s="34"/>
    </row>
    <row r="787" spans="1:14" x14ac:dyDescent="0.25">
      <c r="A787" t="e">
        <f t="shared" si="24"/>
        <v>#VALUE!</v>
      </c>
      <c r="B787" t="e">
        <f t="shared" si="25"/>
        <v>#VALUE!</v>
      </c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25">
      <c r="A788" t="e">
        <f t="shared" si="24"/>
        <v>#VALUE!</v>
      </c>
      <c r="B788" t="e">
        <f t="shared" si="25"/>
        <v>#VALUE!</v>
      </c>
      <c r="C788" s="14"/>
      <c r="D788" s="14">
        <v>0</v>
      </c>
      <c r="E788"/>
      <c r="F788"/>
      <c r="G788"/>
      <c r="H788"/>
      <c r="I788"/>
      <c r="J788"/>
      <c r="K788"/>
      <c r="L788"/>
      <c r="M788"/>
      <c r="N788"/>
    </row>
    <row r="789" spans="1:14" x14ac:dyDescent="0.25">
      <c r="A789" t="str">
        <f t="shared" si="24"/>
        <v>1486271</v>
      </c>
      <c r="B789" t="str">
        <f t="shared" si="25"/>
        <v xml:space="preserve"> Grant County PUD (2026-27)</v>
      </c>
      <c r="C789" t="s">
        <v>1002</v>
      </c>
      <c r="D789">
        <v>79675.149999999994</v>
      </c>
      <c r="E789">
        <v>75748.820000000007</v>
      </c>
      <c r="F789">
        <v>3926.33</v>
      </c>
      <c r="G789">
        <v>4.92792294711714</v>
      </c>
      <c r="H789">
        <v>76620.320000000007</v>
      </c>
      <c r="I789">
        <v>25967.18</v>
      </c>
      <c r="J789">
        <v>0</v>
      </c>
      <c r="K789">
        <v>102587.5</v>
      </c>
      <c r="L789">
        <v>92263.83</v>
      </c>
      <c r="M789">
        <v>10323.67</v>
      </c>
      <c r="N789">
        <v>10.063282563665201</v>
      </c>
    </row>
    <row r="790" spans="1:14" x14ac:dyDescent="0.25">
      <c r="A790" t="e">
        <f t="shared" si="24"/>
        <v>#VALUE!</v>
      </c>
      <c r="B790" t="e">
        <f t="shared" si="25"/>
        <v>#VALUE!</v>
      </c>
      <c r="D790" s="14"/>
      <c r="E790"/>
      <c r="F790"/>
      <c r="G790"/>
      <c r="H790"/>
      <c r="I790"/>
      <c r="J790"/>
      <c r="K790"/>
      <c r="L790"/>
      <c r="M790"/>
      <c r="N790"/>
    </row>
    <row r="791" spans="1:14" x14ac:dyDescent="0.25">
      <c r="A791" t="e">
        <f t="shared" si="24"/>
        <v>#VALUE!</v>
      </c>
      <c r="B791" t="e">
        <f t="shared" si="25"/>
        <v>#VALUE!</v>
      </c>
      <c r="C791">
        <v>6843770.8499999996</v>
      </c>
      <c r="D791" s="15">
        <v>6843770.8499999996</v>
      </c>
      <c r="E791" s="15"/>
      <c r="F791" s="15"/>
      <c r="G791" s="34"/>
      <c r="H791" s="15"/>
      <c r="I791" s="15"/>
      <c r="J791" s="15"/>
      <c r="K791" s="15"/>
      <c r="L791" s="15"/>
      <c r="M791" s="15"/>
      <c r="N791" s="34"/>
    </row>
    <row r="792" spans="1:14" x14ac:dyDescent="0.25">
      <c r="A792" t="e">
        <f t="shared" si="24"/>
        <v>#VALUE!</v>
      </c>
      <c r="B792" t="e">
        <f t="shared" si="25"/>
        <v>#VALUE!</v>
      </c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25">
      <c r="A793" t="e">
        <f t="shared" si="24"/>
        <v>#VALUE!</v>
      </c>
      <c r="B793" t="e">
        <f t="shared" si="25"/>
        <v>#VALUE!</v>
      </c>
      <c r="C793" s="14"/>
      <c r="D793" s="14">
        <v>0</v>
      </c>
      <c r="E793"/>
      <c r="F793"/>
      <c r="G793"/>
      <c r="H793"/>
      <c r="I793"/>
      <c r="J793"/>
      <c r="K793"/>
      <c r="L793"/>
      <c r="M793"/>
      <c r="N793"/>
    </row>
    <row r="794" spans="1:14" x14ac:dyDescent="0.25">
      <c r="A794" t="str">
        <f t="shared" si="24"/>
        <v>1486285</v>
      </c>
      <c r="B794" t="str">
        <f t="shared" si="25"/>
        <v xml:space="preserve"> Adams County - Othello FTTH</v>
      </c>
      <c r="C794" t="s">
        <v>986</v>
      </c>
      <c r="D794">
        <v>648392.31999999995</v>
      </c>
      <c r="E794">
        <v>782720.48</v>
      </c>
      <c r="F794">
        <v>-134328.16</v>
      </c>
      <c r="G794">
        <v>-20.717111516681701</v>
      </c>
      <c r="H794">
        <v>0</v>
      </c>
      <c r="I794">
        <v>648392.31999999995</v>
      </c>
      <c r="J794">
        <v>6843770.8499999996</v>
      </c>
      <c r="K794">
        <v>648392.31999999995</v>
      </c>
      <c r="L794">
        <v>782793.91</v>
      </c>
      <c r="M794">
        <v>-134401.59</v>
      </c>
      <c r="N794">
        <v>-20.7284364503269</v>
      </c>
    </row>
    <row r="795" spans="1:14" x14ac:dyDescent="0.25">
      <c r="A795" t="e">
        <f t="shared" si="24"/>
        <v>#VALUE!</v>
      </c>
      <c r="B795" t="e">
        <f t="shared" si="25"/>
        <v>#VALUE!</v>
      </c>
      <c r="D795" s="14"/>
      <c r="E795"/>
      <c r="F795"/>
      <c r="G795"/>
      <c r="H795"/>
      <c r="I795"/>
      <c r="J795"/>
      <c r="K795"/>
      <c r="L795"/>
      <c r="M795"/>
      <c r="N795"/>
    </row>
    <row r="796" spans="1:14" x14ac:dyDescent="0.25">
      <c r="A796" t="e">
        <f t="shared" si="24"/>
        <v>#VALUE!</v>
      </c>
      <c r="B796" t="e">
        <f t="shared" si="25"/>
        <v>#VALUE!</v>
      </c>
      <c r="C796">
        <v>225000</v>
      </c>
      <c r="D796" s="15">
        <v>225000</v>
      </c>
      <c r="E796" s="15"/>
      <c r="F796" s="15"/>
      <c r="G796" s="34"/>
      <c r="H796" s="15"/>
      <c r="I796" s="15"/>
      <c r="J796" s="15"/>
      <c r="K796" s="15"/>
      <c r="L796" s="15"/>
      <c r="M796" s="15"/>
      <c r="N796" s="34"/>
    </row>
    <row r="797" spans="1:14" x14ac:dyDescent="0.25">
      <c r="A797" t="e">
        <f t="shared" si="24"/>
        <v>#VALUE!</v>
      </c>
      <c r="B797" t="e">
        <f t="shared" si="25"/>
        <v>#VALUE!</v>
      </c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25">
      <c r="A798" t="e">
        <f t="shared" si="24"/>
        <v>#VALUE!</v>
      </c>
      <c r="B798" t="e">
        <f t="shared" si="25"/>
        <v>#VALUE!</v>
      </c>
      <c r="C798" s="14"/>
      <c r="D798" s="14">
        <v>0</v>
      </c>
      <c r="E798"/>
      <c r="F798"/>
      <c r="G798"/>
      <c r="H798"/>
      <c r="I798"/>
      <c r="J798"/>
      <c r="K798"/>
      <c r="L798"/>
      <c r="M798"/>
      <c r="N798"/>
    </row>
    <row r="799" spans="1:14" x14ac:dyDescent="0.25">
      <c r="A799" t="str">
        <f t="shared" si="24"/>
        <v>1487026</v>
      </c>
      <c r="B799" t="str">
        <f t="shared" si="25"/>
        <v xml:space="preserve"> VZ-Verizon Business-Seattle Maintenance</v>
      </c>
      <c r="C799" t="s">
        <v>200</v>
      </c>
      <c r="D799">
        <v>0</v>
      </c>
      <c r="E799">
        <v>0</v>
      </c>
      <c r="F799">
        <v>0</v>
      </c>
      <c r="G799">
        <v>0</v>
      </c>
      <c r="H799">
        <v>537716.87</v>
      </c>
      <c r="I799">
        <v>-28671.200000000001</v>
      </c>
      <c r="J799">
        <v>225000</v>
      </c>
      <c r="K799">
        <v>509045.67</v>
      </c>
      <c r="L799">
        <v>371904.74</v>
      </c>
      <c r="M799">
        <v>137140.93</v>
      </c>
      <c r="N799">
        <v>26.940790990325102</v>
      </c>
    </row>
    <row r="800" spans="1:14" x14ac:dyDescent="0.25">
      <c r="A800" t="e">
        <f t="shared" si="24"/>
        <v>#VALUE!</v>
      </c>
      <c r="B800" t="e">
        <f t="shared" si="25"/>
        <v>#VALUE!</v>
      </c>
      <c r="C800" t="s">
        <v>87</v>
      </c>
      <c r="D800" s="14" t="s">
        <v>88</v>
      </c>
      <c r="E800">
        <v>1478036.41</v>
      </c>
      <c r="F800">
        <v>-278859.67</v>
      </c>
      <c r="G800">
        <v>31330569.25</v>
      </c>
      <c r="H800">
        <v>33640150.840000004</v>
      </c>
      <c r="I800">
        <v>6204532.25</v>
      </c>
      <c r="J800">
        <v>1756896.08</v>
      </c>
      <c r="K800">
        <v>-18.866901255835799</v>
      </c>
      <c r="L800">
        <v>2309581.59</v>
      </c>
      <c r="M800">
        <v>27435618.59</v>
      </c>
      <c r="N800">
        <v>0.40767037773484599</v>
      </c>
    </row>
    <row r="801" spans="1:14" x14ac:dyDescent="0.25">
      <c r="A801" t="e">
        <f t="shared" si="24"/>
        <v>#VALUE!</v>
      </c>
      <c r="B801" t="e">
        <f t="shared" si="25"/>
        <v>#VALUE!</v>
      </c>
      <c r="C801" t="s">
        <v>442</v>
      </c>
      <c r="D801" s="15" t="s">
        <v>443</v>
      </c>
      <c r="E801" s="15"/>
      <c r="F801" s="15"/>
      <c r="G801" s="34"/>
      <c r="H801" s="15"/>
      <c r="I801" s="15"/>
      <c r="J801" s="15"/>
      <c r="K801" s="15"/>
      <c r="L801" s="15"/>
      <c r="M801" s="15"/>
      <c r="N801" s="34"/>
    </row>
    <row r="802" spans="1:14" x14ac:dyDescent="0.25">
      <c r="A802" t="e">
        <f t="shared" si="24"/>
        <v>#VALUE!</v>
      </c>
      <c r="B802" t="e">
        <f t="shared" si="25"/>
        <v>#VALUE!</v>
      </c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25">
      <c r="A803" t="e">
        <f t="shared" si="24"/>
        <v>#VALUE!</v>
      </c>
      <c r="B803" t="e">
        <f t="shared" si="25"/>
        <v>#VALUE!</v>
      </c>
      <c r="C803" s="14">
        <v>0</v>
      </c>
      <c r="D803" s="14">
        <v>0</v>
      </c>
      <c r="E803"/>
      <c r="F803"/>
      <c r="G803"/>
      <c r="H803"/>
      <c r="I803"/>
      <c r="J803"/>
      <c r="K803"/>
      <c r="L803"/>
      <c r="M803"/>
      <c r="N803"/>
    </row>
    <row r="804" spans="1:14" x14ac:dyDescent="0.25">
      <c r="A804" t="e">
        <f t="shared" si="24"/>
        <v>#VALUE!</v>
      </c>
      <c r="B804" t="e">
        <f t="shared" si="25"/>
        <v>#VALUE!</v>
      </c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25">
      <c r="A805" t="e">
        <f t="shared" si="24"/>
        <v>#VALUE!</v>
      </c>
      <c r="B805" t="e">
        <f t="shared" si="25"/>
        <v>#VALUE!</v>
      </c>
      <c r="D805" s="14">
        <v>0</v>
      </c>
      <c r="E805"/>
      <c r="F805"/>
      <c r="G805"/>
      <c r="H805"/>
      <c r="I805"/>
      <c r="J805"/>
      <c r="K805"/>
      <c r="L805"/>
      <c r="M805"/>
      <c r="N805"/>
    </row>
    <row r="806" spans="1:14" x14ac:dyDescent="0.25">
      <c r="A806" t="str">
        <f t="shared" si="24"/>
        <v>1056144</v>
      </c>
      <c r="B806" t="str">
        <f t="shared" si="25"/>
        <v xml:space="preserve"> Consolidated Communications MSA</v>
      </c>
      <c r="C806" t="s">
        <v>630</v>
      </c>
      <c r="D806" s="15">
        <v>20950.97</v>
      </c>
      <c r="E806" s="15">
        <v>10100.43</v>
      </c>
      <c r="F806" s="15">
        <v>10850.54</v>
      </c>
      <c r="G806" s="34">
        <v>51.790155777990201</v>
      </c>
      <c r="H806" s="15">
        <v>32452</v>
      </c>
      <c r="I806" s="15">
        <v>37802.97</v>
      </c>
      <c r="J806" s="15">
        <v>0</v>
      </c>
      <c r="K806" s="15">
        <v>70254.97</v>
      </c>
      <c r="L806" s="15">
        <v>42303.81</v>
      </c>
      <c r="M806" s="15">
        <v>27951.16</v>
      </c>
      <c r="N806" s="34">
        <v>39.785313409143903</v>
      </c>
    </row>
    <row r="807" spans="1:14" x14ac:dyDescent="0.25">
      <c r="A807" t="e">
        <f t="shared" si="24"/>
        <v>#VALUE!</v>
      </c>
      <c r="B807" t="e">
        <f t="shared" si="25"/>
        <v>#VALUE!</v>
      </c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25">
      <c r="A808" t="e">
        <f t="shared" si="24"/>
        <v>#VALUE!</v>
      </c>
      <c r="B808" t="e">
        <f t="shared" si="25"/>
        <v>#VALUE!</v>
      </c>
      <c r="C808" s="14">
        <v>165595</v>
      </c>
      <c r="D808" s="14">
        <v>165595</v>
      </c>
      <c r="E808"/>
      <c r="F808"/>
      <c r="G808"/>
      <c r="H808"/>
      <c r="I808"/>
      <c r="J808"/>
      <c r="K808"/>
      <c r="L808"/>
      <c r="M808"/>
      <c r="N808"/>
    </row>
    <row r="809" spans="1:14" x14ac:dyDescent="0.25">
      <c r="A809" t="e">
        <f t="shared" si="24"/>
        <v>#VALUE!</v>
      </c>
      <c r="B809" t="e">
        <f t="shared" si="25"/>
        <v>#VALUE!</v>
      </c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25">
      <c r="A810" t="e">
        <f t="shared" si="24"/>
        <v>#VALUE!</v>
      </c>
      <c r="B810" t="e">
        <f t="shared" si="25"/>
        <v>#VALUE!</v>
      </c>
      <c r="D810" s="14">
        <v>0</v>
      </c>
      <c r="E810"/>
      <c r="F810"/>
      <c r="G810"/>
      <c r="H810"/>
      <c r="I810"/>
      <c r="J810"/>
      <c r="K810"/>
      <c r="L810"/>
      <c r="M810"/>
      <c r="N810"/>
    </row>
    <row r="811" spans="1:14" x14ac:dyDescent="0.25">
      <c r="A811" t="str">
        <f t="shared" si="24"/>
        <v>1056203</v>
      </c>
      <c r="B811" t="str">
        <f t="shared" si="25"/>
        <v xml:space="preserve"> Zayo - ILA Build - Truckee</v>
      </c>
      <c r="C811" t="s">
        <v>785</v>
      </c>
      <c r="D811" s="15">
        <v>0</v>
      </c>
      <c r="E811" s="15">
        <v>0</v>
      </c>
      <c r="F811" s="15">
        <v>0</v>
      </c>
      <c r="G811" s="34">
        <v>0</v>
      </c>
      <c r="H811" s="15">
        <v>0</v>
      </c>
      <c r="I811" s="15">
        <v>0</v>
      </c>
      <c r="J811" s="15">
        <v>165595</v>
      </c>
      <c r="K811" s="15">
        <v>0</v>
      </c>
      <c r="L811" s="15">
        <v>543.48</v>
      </c>
      <c r="M811" s="15">
        <v>-543.48</v>
      </c>
      <c r="N811" s="34">
        <v>0</v>
      </c>
    </row>
    <row r="812" spans="1:14" x14ac:dyDescent="0.25">
      <c r="A812" t="e">
        <f t="shared" si="24"/>
        <v>#VALUE!</v>
      </c>
      <c r="B812" t="e">
        <f t="shared" si="25"/>
        <v>#VALUE!</v>
      </c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25">
      <c r="A813" t="e">
        <f t="shared" si="24"/>
        <v>#VALUE!</v>
      </c>
      <c r="B813" t="e">
        <f t="shared" si="25"/>
        <v>#VALUE!</v>
      </c>
      <c r="C813" s="14">
        <v>210295.02</v>
      </c>
      <c r="D813" s="14">
        <v>210295.02</v>
      </c>
      <c r="E813"/>
      <c r="F813"/>
      <c r="G813"/>
      <c r="H813"/>
      <c r="I813"/>
      <c r="J813"/>
      <c r="K813"/>
      <c r="L813"/>
      <c r="M813"/>
      <c r="N813"/>
    </row>
    <row r="814" spans="1:14" x14ac:dyDescent="0.25">
      <c r="A814" t="e">
        <f t="shared" si="24"/>
        <v>#VALUE!</v>
      </c>
      <c r="B814" t="e">
        <f t="shared" si="25"/>
        <v>#VALUE!</v>
      </c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25">
      <c r="A815" t="e">
        <f t="shared" si="24"/>
        <v>#VALUE!</v>
      </c>
      <c r="B815" t="e">
        <f t="shared" si="25"/>
        <v>#VALUE!</v>
      </c>
      <c r="D815" s="14">
        <v>0</v>
      </c>
      <c r="E815"/>
      <c r="F815"/>
      <c r="G815"/>
      <c r="H815"/>
      <c r="I815"/>
      <c r="J815"/>
      <c r="K815"/>
      <c r="L815"/>
      <c r="M815"/>
      <c r="N815"/>
    </row>
    <row r="816" spans="1:14" x14ac:dyDescent="0.25">
      <c r="A816" t="str">
        <f t="shared" si="24"/>
        <v>1056216</v>
      </c>
      <c r="B816" t="str">
        <f t="shared" si="25"/>
        <v xml:space="preserve"> Consolidated Communications - Natomas to</v>
      </c>
      <c r="C816" t="s">
        <v>869</v>
      </c>
      <c r="D816" s="15">
        <v>0</v>
      </c>
      <c r="E816" s="15">
        <v>0</v>
      </c>
      <c r="F816" s="15">
        <v>0</v>
      </c>
      <c r="G816" s="34">
        <v>0</v>
      </c>
      <c r="H816" s="15">
        <v>210295.02</v>
      </c>
      <c r="I816" s="15">
        <v>0</v>
      </c>
      <c r="J816" s="15">
        <v>210295.02</v>
      </c>
      <c r="K816" s="15">
        <v>210295.02</v>
      </c>
      <c r="L816" s="15">
        <v>100764.88</v>
      </c>
      <c r="M816" s="15">
        <v>109530.14</v>
      </c>
      <c r="N816" s="34">
        <v>52.084038889746402</v>
      </c>
    </row>
    <row r="817" spans="1:14" x14ac:dyDescent="0.25">
      <c r="A817" t="e">
        <f t="shared" si="24"/>
        <v>#VALUE!</v>
      </c>
      <c r="B817" t="e">
        <f t="shared" si="25"/>
        <v>#VALUE!</v>
      </c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25">
      <c r="A818" t="e">
        <f t="shared" si="24"/>
        <v>#VALUE!</v>
      </c>
      <c r="B818" t="e">
        <f t="shared" si="25"/>
        <v>#VALUE!</v>
      </c>
      <c r="C818" s="14">
        <v>47075</v>
      </c>
      <c r="D818" s="14">
        <v>47075</v>
      </c>
      <c r="E818"/>
      <c r="F818"/>
      <c r="G818"/>
      <c r="H818"/>
      <c r="I818"/>
      <c r="J818"/>
      <c r="K818"/>
      <c r="L818"/>
      <c r="M818"/>
      <c r="N818"/>
    </row>
    <row r="819" spans="1:14" x14ac:dyDescent="0.25">
      <c r="A819" t="e">
        <f t="shared" si="24"/>
        <v>#VALUE!</v>
      </c>
      <c r="B819" t="e">
        <f t="shared" si="25"/>
        <v>#VALUE!</v>
      </c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25">
      <c r="A820" t="e">
        <f t="shared" si="24"/>
        <v>#VALUE!</v>
      </c>
      <c r="B820" t="e">
        <f t="shared" si="25"/>
        <v>#VALUE!</v>
      </c>
      <c r="D820" s="14">
        <v>0</v>
      </c>
      <c r="E820"/>
      <c r="F820"/>
      <c r="G820"/>
      <c r="H820"/>
      <c r="I820"/>
      <c r="J820"/>
      <c r="K820"/>
      <c r="L820"/>
      <c r="M820"/>
      <c r="N820"/>
    </row>
    <row r="821" spans="1:14" x14ac:dyDescent="0.25">
      <c r="A821" t="str">
        <f t="shared" si="24"/>
        <v>1056217</v>
      </c>
      <c r="B821" t="str">
        <f t="shared" si="25"/>
        <v xml:space="preserve"> Sprint - Baseline Costco Relocation</v>
      </c>
      <c r="C821" t="s">
        <v>845</v>
      </c>
      <c r="D821" s="15">
        <v>-20275</v>
      </c>
      <c r="E821" s="15">
        <v>-12807.12</v>
      </c>
      <c r="F821" s="15">
        <v>-7467.88</v>
      </c>
      <c r="G821" s="34">
        <v>0</v>
      </c>
      <c r="H821" s="15">
        <v>47075</v>
      </c>
      <c r="I821" s="15">
        <v>0</v>
      </c>
      <c r="J821" s="15">
        <v>47075</v>
      </c>
      <c r="K821" s="15">
        <v>47075</v>
      </c>
      <c r="L821" s="15">
        <v>29571.45</v>
      </c>
      <c r="M821" s="15">
        <v>17503.55</v>
      </c>
      <c r="N821" s="34">
        <v>37.182262347318101</v>
      </c>
    </row>
    <row r="822" spans="1:14" x14ac:dyDescent="0.25">
      <c r="A822" t="e">
        <f t="shared" si="24"/>
        <v>#VALUE!</v>
      </c>
      <c r="B822" t="e">
        <f t="shared" si="25"/>
        <v>#VALUE!</v>
      </c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25">
      <c r="A823" t="e">
        <f t="shared" si="24"/>
        <v>#VALUE!</v>
      </c>
      <c r="B823" t="e">
        <f t="shared" si="25"/>
        <v>#VALUE!</v>
      </c>
      <c r="C823" s="14">
        <v>17494.8</v>
      </c>
      <c r="D823" s="14">
        <v>17494.8</v>
      </c>
      <c r="E823"/>
      <c r="F823"/>
      <c r="G823"/>
      <c r="H823"/>
      <c r="I823"/>
      <c r="J823"/>
      <c r="K823"/>
      <c r="L823"/>
      <c r="M823"/>
      <c r="N823"/>
    </row>
    <row r="824" spans="1:14" x14ac:dyDescent="0.25">
      <c r="A824" t="e">
        <f t="shared" si="24"/>
        <v>#VALUE!</v>
      </c>
      <c r="B824" t="e">
        <f t="shared" si="25"/>
        <v>#VALUE!</v>
      </c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25">
      <c r="A825" t="e">
        <f t="shared" si="24"/>
        <v>#VALUE!</v>
      </c>
      <c r="B825" t="e">
        <f t="shared" si="25"/>
        <v>#VALUE!</v>
      </c>
      <c r="D825" s="14">
        <v>0</v>
      </c>
      <c r="E825"/>
      <c r="F825"/>
      <c r="G825"/>
      <c r="H825"/>
      <c r="I825"/>
      <c r="J825"/>
      <c r="K825"/>
      <c r="L825"/>
      <c r="M825"/>
      <c r="N825"/>
    </row>
    <row r="826" spans="1:14" x14ac:dyDescent="0.25">
      <c r="A826" t="str">
        <f t="shared" si="24"/>
        <v>1056245</v>
      </c>
      <c r="B826" t="str">
        <f t="shared" si="25"/>
        <v xml:space="preserve"> Consolidated - Florin Rd - Sacramento</v>
      </c>
      <c r="C826" t="s">
        <v>887</v>
      </c>
      <c r="D826" s="15">
        <v>680</v>
      </c>
      <c r="E826" s="15">
        <v>-1983.46</v>
      </c>
      <c r="F826" s="15">
        <v>2663.46</v>
      </c>
      <c r="G826" s="34">
        <v>391.685294117647</v>
      </c>
      <c r="H826" s="15">
        <v>13574.8</v>
      </c>
      <c r="I826" s="15">
        <v>0</v>
      </c>
      <c r="J826" s="15">
        <v>17494.8</v>
      </c>
      <c r="K826" s="15">
        <v>13574.8</v>
      </c>
      <c r="L826" s="15">
        <v>13083.37</v>
      </c>
      <c r="M826" s="15">
        <v>491.43</v>
      </c>
      <c r="N826" s="34">
        <v>3.6201638329846499</v>
      </c>
    </row>
    <row r="827" spans="1:14" x14ac:dyDescent="0.25">
      <c r="A827" t="e">
        <f t="shared" si="24"/>
        <v>#VALUE!</v>
      </c>
      <c r="B827" t="e">
        <f t="shared" si="25"/>
        <v>#VALUE!</v>
      </c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25">
      <c r="A828" t="e">
        <f t="shared" si="24"/>
        <v>#VALUE!</v>
      </c>
      <c r="B828" t="e">
        <f t="shared" si="25"/>
        <v>#VALUE!</v>
      </c>
      <c r="C828" s="14">
        <v>18000</v>
      </c>
      <c r="D828" s="14">
        <v>18000</v>
      </c>
      <c r="E828"/>
      <c r="F828"/>
      <c r="G828"/>
      <c r="H828"/>
      <c r="I828"/>
      <c r="J828"/>
      <c r="K828"/>
      <c r="L828"/>
      <c r="M828"/>
      <c r="N828"/>
    </row>
    <row r="829" spans="1:14" x14ac:dyDescent="0.25">
      <c r="A829" t="e">
        <f t="shared" si="24"/>
        <v>#VALUE!</v>
      </c>
      <c r="B829" t="e">
        <f t="shared" si="25"/>
        <v>#VALUE!</v>
      </c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25">
      <c r="A830" t="e">
        <f t="shared" si="24"/>
        <v>#VALUE!</v>
      </c>
      <c r="B830" t="e">
        <f t="shared" si="25"/>
        <v>#VALUE!</v>
      </c>
      <c r="D830" s="14">
        <v>0</v>
      </c>
      <c r="E830"/>
      <c r="F830"/>
      <c r="G830"/>
      <c r="H830"/>
      <c r="I830"/>
      <c r="J830"/>
      <c r="K830"/>
      <c r="L830"/>
      <c r="M830"/>
      <c r="N830"/>
    </row>
    <row r="831" spans="1:14" x14ac:dyDescent="0.25">
      <c r="A831" t="str">
        <f t="shared" si="24"/>
        <v>1056268</v>
      </c>
      <c r="B831" t="str">
        <f t="shared" si="25"/>
        <v xml:space="preserve"> Consolidated Communications - 8320 Belve</v>
      </c>
      <c r="C831" t="s">
        <v>950</v>
      </c>
      <c r="D831" s="15">
        <v>0</v>
      </c>
      <c r="E831" s="15">
        <v>0</v>
      </c>
      <c r="F831" s="15">
        <v>0</v>
      </c>
      <c r="G831" s="34">
        <v>0</v>
      </c>
      <c r="H831" s="15">
        <v>0</v>
      </c>
      <c r="I831" s="15">
        <v>22280</v>
      </c>
      <c r="J831" s="15">
        <v>18000</v>
      </c>
      <c r="K831" s="15">
        <v>22280</v>
      </c>
      <c r="L831" s="15">
        <v>19895.91</v>
      </c>
      <c r="M831" s="15">
        <v>2384.09</v>
      </c>
      <c r="N831" s="34">
        <v>10.7005834829443</v>
      </c>
    </row>
    <row r="832" spans="1:14" x14ac:dyDescent="0.25">
      <c r="A832" t="e">
        <f t="shared" si="24"/>
        <v>#VALUE!</v>
      </c>
      <c r="B832" t="e">
        <f t="shared" si="25"/>
        <v>#VALUE!</v>
      </c>
      <c r="D832"/>
      <c r="E832" s="15"/>
      <c r="F832" s="15"/>
      <c r="G832" s="15"/>
      <c r="H832" s="15"/>
      <c r="I832" s="15"/>
      <c r="J832" s="15"/>
      <c r="K832" s="14"/>
      <c r="L832" s="15"/>
      <c r="M832" s="15"/>
      <c r="N832" s="14"/>
    </row>
    <row r="833" spans="1:14" x14ac:dyDescent="0.25">
      <c r="A833" t="e">
        <f t="shared" si="24"/>
        <v>#VALUE!</v>
      </c>
      <c r="B833" t="e">
        <f t="shared" si="25"/>
        <v>#VALUE!</v>
      </c>
      <c r="C833">
        <v>144000</v>
      </c>
      <c r="D833">
        <v>144000</v>
      </c>
      <c r="E833"/>
      <c r="F833"/>
      <c r="G833"/>
      <c r="H833"/>
      <c r="I833"/>
      <c r="J833"/>
      <c r="K833"/>
      <c r="L833"/>
      <c r="M833"/>
      <c r="N833"/>
    </row>
    <row r="834" spans="1:14" x14ac:dyDescent="0.25">
      <c r="A834" t="e">
        <f t="shared" si="24"/>
        <v>#VALUE!</v>
      </c>
      <c r="B834" t="e">
        <f t="shared" si="25"/>
        <v>#VALUE!</v>
      </c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25">
      <c r="A835" t="e">
        <f>LEFT(C835,FIND(" ",C835)-1)</f>
        <v>#VALUE!</v>
      </c>
      <c r="B835" t="e">
        <f t="shared" si="25"/>
        <v>#VALUE!</v>
      </c>
      <c r="C835" s="14"/>
      <c r="D835" s="14">
        <v>0</v>
      </c>
      <c r="E835"/>
      <c r="F835"/>
      <c r="G835"/>
      <c r="H835"/>
      <c r="I835"/>
      <c r="J835"/>
      <c r="K835"/>
      <c r="L835"/>
      <c r="M835"/>
      <c r="N835"/>
    </row>
    <row r="836" spans="1:14" x14ac:dyDescent="0.25">
      <c r="A836" t="str">
        <f t="shared" si="24"/>
        <v>1056272</v>
      </c>
      <c r="B836" t="str">
        <f t="shared" si="25"/>
        <v xml:space="preserve"> Sprint - Rancho Cordova Sunrise Blvd</v>
      </c>
      <c r="C836" t="s">
        <v>1119</v>
      </c>
      <c r="D836">
        <v>5030</v>
      </c>
      <c r="E836">
        <v>6391.11</v>
      </c>
      <c r="F836">
        <v>-1361.11</v>
      </c>
      <c r="G836">
        <v>-27.059840954274399</v>
      </c>
      <c r="H836">
        <v>0</v>
      </c>
      <c r="I836">
        <v>5030</v>
      </c>
      <c r="J836">
        <v>144000</v>
      </c>
      <c r="K836">
        <v>5030</v>
      </c>
      <c r="L836">
        <v>6391.11</v>
      </c>
      <c r="M836">
        <v>-1361.11</v>
      </c>
      <c r="N836">
        <v>-27.059840954274399</v>
      </c>
    </row>
    <row r="837" spans="1:14" x14ac:dyDescent="0.25">
      <c r="A837" t="e">
        <f t="shared" ref="A837:A900" si="26">LEFT(C837,FIND(" ",C837)-1)</f>
        <v>#VALUE!</v>
      </c>
      <c r="B837" t="e">
        <f t="shared" ref="B837:B900" si="27">RIGHT(C837,LEN(C837)-FIND(" ",C837))</f>
        <v>#VALUE!</v>
      </c>
      <c r="D837" s="14"/>
      <c r="E837"/>
      <c r="F837"/>
      <c r="G837"/>
      <c r="H837"/>
      <c r="I837"/>
      <c r="J837"/>
      <c r="K837"/>
      <c r="L837"/>
      <c r="M837"/>
      <c r="N837"/>
    </row>
    <row r="838" spans="1:14" x14ac:dyDescent="0.25">
      <c r="A838" t="e">
        <f t="shared" si="26"/>
        <v>#VALUE!</v>
      </c>
      <c r="B838" t="e">
        <f t="shared" si="27"/>
        <v>#VALUE!</v>
      </c>
      <c r="C838">
        <v>0</v>
      </c>
      <c r="D838" s="15">
        <v>0</v>
      </c>
      <c r="E838" s="15"/>
      <c r="F838" s="15"/>
      <c r="G838" s="34"/>
      <c r="H838" s="15"/>
      <c r="I838" s="15"/>
      <c r="J838" s="15"/>
      <c r="K838" s="15"/>
      <c r="L838" s="15"/>
      <c r="M838" s="15"/>
      <c r="N838" s="34"/>
    </row>
    <row r="839" spans="1:14" x14ac:dyDescent="0.25">
      <c r="A839" t="e">
        <f t="shared" si="26"/>
        <v>#VALUE!</v>
      </c>
      <c r="B839" t="e">
        <f t="shared" si="27"/>
        <v>#VALUE!</v>
      </c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25">
      <c r="A840" t="e">
        <f>LEFT(C840,FIND(" ",C840)-1)</f>
        <v>#VALUE!</v>
      </c>
      <c r="B840" t="e">
        <f t="shared" si="27"/>
        <v>#VALUE!</v>
      </c>
      <c r="C840" s="14"/>
      <c r="D840" s="14">
        <v>0</v>
      </c>
      <c r="E840"/>
      <c r="F840"/>
      <c r="G840"/>
      <c r="H840"/>
      <c r="I840"/>
      <c r="J840"/>
      <c r="K840"/>
      <c r="L840"/>
      <c r="M840"/>
      <c r="N840"/>
    </row>
    <row r="841" spans="1:14" x14ac:dyDescent="0.25">
      <c r="A841" t="str">
        <f t="shared" si="26"/>
        <v>1252046</v>
      </c>
      <c r="B841" t="str">
        <f t="shared" si="27"/>
        <v xml:space="preserve"> Frontier - FTTH Elk Grove</v>
      </c>
      <c r="C841" t="s">
        <v>692</v>
      </c>
      <c r="D841">
        <v>468043.17</v>
      </c>
      <c r="E841">
        <v>489919.6</v>
      </c>
      <c r="F841">
        <v>-21876.43</v>
      </c>
      <c r="G841">
        <v>-4.6740197063446098</v>
      </c>
      <c r="H841">
        <v>8029324.8799999999</v>
      </c>
      <c r="I841">
        <v>-579390.18000000005</v>
      </c>
      <c r="J841">
        <v>0</v>
      </c>
      <c r="K841">
        <v>7449934.7000000002</v>
      </c>
      <c r="L841">
        <v>6316518.7000000002</v>
      </c>
      <c r="M841">
        <v>1133416</v>
      </c>
      <c r="N841">
        <v>15.2137709341264</v>
      </c>
    </row>
    <row r="842" spans="1:14" x14ac:dyDescent="0.25">
      <c r="A842" t="e">
        <f t="shared" si="26"/>
        <v>#VALUE!</v>
      </c>
      <c r="B842" t="e">
        <f t="shared" si="27"/>
        <v>#VALUE!</v>
      </c>
      <c r="D842" s="14"/>
      <c r="E842"/>
      <c r="F842"/>
      <c r="G842"/>
      <c r="H842"/>
      <c r="I842"/>
      <c r="J842"/>
      <c r="K842"/>
      <c r="L842"/>
      <c r="M842"/>
      <c r="N842"/>
    </row>
    <row r="843" spans="1:14" x14ac:dyDescent="0.25">
      <c r="A843" t="e">
        <f t="shared" si="26"/>
        <v>#VALUE!</v>
      </c>
      <c r="B843" t="e">
        <f t="shared" si="27"/>
        <v>#VALUE!</v>
      </c>
      <c r="C843">
        <v>0</v>
      </c>
      <c r="D843" s="15">
        <v>0</v>
      </c>
      <c r="E843" s="15"/>
      <c r="F843" s="15"/>
      <c r="G843" s="34"/>
      <c r="H843" s="15"/>
      <c r="I843" s="15"/>
      <c r="J843" s="15"/>
      <c r="K843" s="15"/>
      <c r="L843" s="15"/>
      <c r="M843" s="15"/>
      <c r="N843" s="34"/>
    </row>
    <row r="844" spans="1:14" x14ac:dyDescent="0.25">
      <c r="A844" t="e">
        <f t="shared" si="26"/>
        <v>#VALUE!</v>
      </c>
      <c r="B844" t="e">
        <f t="shared" si="27"/>
        <v>#VALUE!</v>
      </c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25">
      <c r="A845" t="e">
        <f t="shared" si="26"/>
        <v>#VALUE!</v>
      </c>
      <c r="B845" t="e">
        <f t="shared" si="27"/>
        <v>#VALUE!</v>
      </c>
      <c r="C845" s="14"/>
      <c r="D845" s="14">
        <v>0</v>
      </c>
      <c r="E845"/>
      <c r="F845"/>
      <c r="G845"/>
      <c r="H845"/>
      <c r="I845"/>
      <c r="J845"/>
      <c r="K845"/>
      <c r="L845"/>
      <c r="M845"/>
      <c r="N845"/>
    </row>
    <row r="846" spans="1:14" x14ac:dyDescent="0.25">
      <c r="A846" t="str">
        <f t="shared" si="26"/>
        <v>1252078</v>
      </c>
      <c r="B846" t="str">
        <f t="shared" si="27"/>
        <v xml:space="preserve"> Frontier - FTTH Redding</v>
      </c>
      <c r="C846" t="s">
        <v>693</v>
      </c>
      <c r="D846">
        <v>1263514.24</v>
      </c>
      <c r="E846">
        <v>1003408.74</v>
      </c>
      <c r="F846">
        <v>260105.5</v>
      </c>
      <c r="G846">
        <v>20.585878003242801</v>
      </c>
      <c r="H846">
        <v>5285632.42</v>
      </c>
      <c r="I846">
        <v>4233556.3499999996</v>
      </c>
      <c r="J846">
        <v>0</v>
      </c>
      <c r="K846">
        <v>9519188.7699999996</v>
      </c>
      <c r="L846">
        <v>6337440.1500000004</v>
      </c>
      <c r="M846">
        <v>3181748.62</v>
      </c>
      <c r="N846">
        <v>33.4245774180608</v>
      </c>
    </row>
    <row r="847" spans="1:14" x14ac:dyDescent="0.25">
      <c r="A847" t="e">
        <f t="shared" si="26"/>
        <v>#VALUE!</v>
      </c>
      <c r="B847" t="e">
        <f t="shared" si="27"/>
        <v>#VALUE!</v>
      </c>
      <c r="D847" s="14"/>
      <c r="E847"/>
      <c r="F847"/>
      <c r="G847"/>
      <c r="H847"/>
      <c r="I847"/>
      <c r="J847"/>
      <c r="K847"/>
      <c r="L847"/>
      <c r="M847"/>
      <c r="N847"/>
    </row>
    <row r="848" spans="1:14" x14ac:dyDescent="0.25">
      <c r="A848" t="e">
        <f t="shared" si="26"/>
        <v>#VALUE!</v>
      </c>
      <c r="B848" t="e">
        <f t="shared" si="27"/>
        <v>#VALUE!</v>
      </c>
      <c r="C848">
        <v>0</v>
      </c>
      <c r="D848" s="15">
        <v>0</v>
      </c>
      <c r="E848" s="15"/>
      <c r="F848" s="15"/>
      <c r="G848" s="34"/>
      <c r="H848" s="15"/>
      <c r="I848" s="15"/>
      <c r="J848" s="15"/>
      <c r="K848" s="15"/>
      <c r="L848" s="15"/>
      <c r="M848" s="15"/>
      <c r="N848" s="34"/>
    </row>
    <row r="849" spans="1:14" x14ac:dyDescent="0.25">
      <c r="A849" t="e">
        <f t="shared" si="26"/>
        <v>#VALUE!</v>
      </c>
      <c r="B849" t="e">
        <f t="shared" si="27"/>
        <v>#VALUE!</v>
      </c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25">
      <c r="A850" t="e">
        <f t="shared" si="26"/>
        <v>#VALUE!</v>
      </c>
      <c r="B850" t="e">
        <f t="shared" si="27"/>
        <v>#VALUE!</v>
      </c>
      <c r="C850" s="14"/>
      <c r="D850" s="14">
        <v>0</v>
      </c>
      <c r="E850"/>
      <c r="F850"/>
      <c r="G850"/>
      <c r="H850"/>
      <c r="I850"/>
      <c r="J850"/>
      <c r="K850"/>
      <c r="L850"/>
      <c r="M850"/>
      <c r="N850"/>
    </row>
    <row r="851" spans="1:14" x14ac:dyDescent="0.25">
      <c r="A851" t="str">
        <f t="shared" si="26"/>
        <v>1252080</v>
      </c>
      <c r="B851" t="str">
        <f t="shared" si="27"/>
        <v xml:space="preserve"> Frontier - FTTH Northern CA Communities</v>
      </c>
      <c r="C851" t="s">
        <v>694</v>
      </c>
      <c r="D851">
        <v>54065.49</v>
      </c>
      <c r="E851">
        <v>40793.11</v>
      </c>
      <c r="F851">
        <v>13272.38</v>
      </c>
      <c r="G851">
        <v>24.548709352305899</v>
      </c>
      <c r="H851">
        <v>1811830.28</v>
      </c>
      <c r="I851">
        <v>-975818.82</v>
      </c>
      <c r="J851">
        <v>0</v>
      </c>
      <c r="K851">
        <v>836011.46</v>
      </c>
      <c r="L851">
        <v>658924.82999999996</v>
      </c>
      <c r="M851">
        <v>177086.63</v>
      </c>
      <c r="N851">
        <v>21.182320873926798</v>
      </c>
    </row>
    <row r="852" spans="1:14" x14ac:dyDescent="0.25">
      <c r="A852" t="e">
        <f t="shared" si="26"/>
        <v>#VALUE!</v>
      </c>
      <c r="B852" t="e">
        <f t="shared" si="27"/>
        <v>#VALUE!</v>
      </c>
      <c r="C852" t="s">
        <v>442</v>
      </c>
      <c r="D852" s="14" t="s">
        <v>443</v>
      </c>
      <c r="E852">
        <v>1792008.87</v>
      </c>
      <c r="F852">
        <v>256186.46</v>
      </c>
      <c r="G852">
        <v>15430184.4</v>
      </c>
      <c r="H852">
        <v>18173644.719999999</v>
      </c>
      <c r="I852">
        <v>4648207.03</v>
      </c>
      <c r="J852">
        <v>1535822.41</v>
      </c>
      <c r="K852">
        <v>14.296048657393101</v>
      </c>
      <c r="L852">
        <v>2743460.32</v>
      </c>
      <c r="M852">
        <v>13525437.689999999</v>
      </c>
      <c r="N852">
        <v>0.974414503685753</v>
      </c>
    </row>
    <row r="853" spans="1:14" x14ac:dyDescent="0.25">
      <c r="A853" t="e">
        <f t="shared" si="26"/>
        <v>#VALUE!</v>
      </c>
      <c r="B853" t="e">
        <f t="shared" si="27"/>
        <v>#VALUE!</v>
      </c>
      <c r="C853" t="s">
        <v>631</v>
      </c>
      <c r="D853" s="15" t="s">
        <v>632</v>
      </c>
      <c r="E853" s="15"/>
      <c r="F853" s="15"/>
      <c r="G853" s="34"/>
      <c r="H853" s="15"/>
      <c r="I853" s="15"/>
      <c r="J853" s="15"/>
      <c r="K853" s="15"/>
      <c r="L853" s="15"/>
      <c r="M853" s="15"/>
      <c r="N853" s="34"/>
    </row>
    <row r="854" spans="1:14" x14ac:dyDescent="0.25">
      <c r="A854" t="e">
        <f t="shared" si="26"/>
        <v>#VALUE!</v>
      </c>
      <c r="B854" t="e">
        <f t="shared" si="27"/>
        <v>#VALUE!</v>
      </c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25">
      <c r="A855" t="e">
        <f t="shared" si="26"/>
        <v>#VALUE!</v>
      </c>
      <c r="B855" t="e">
        <f t="shared" si="27"/>
        <v>#VALUE!</v>
      </c>
      <c r="C855" s="14">
        <v>0</v>
      </c>
      <c r="D855" s="14">
        <v>0</v>
      </c>
      <c r="E855"/>
      <c r="F855"/>
      <c r="G855"/>
      <c r="H855"/>
      <c r="I855"/>
      <c r="J855"/>
      <c r="K855"/>
      <c r="L855"/>
      <c r="M855"/>
      <c r="N855"/>
    </row>
    <row r="856" spans="1:14" x14ac:dyDescent="0.25">
      <c r="A856" t="e">
        <f t="shared" si="26"/>
        <v>#VALUE!</v>
      </c>
      <c r="B856" t="e">
        <f t="shared" si="27"/>
        <v>#VALUE!</v>
      </c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25">
      <c r="A857" t="e">
        <f t="shared" si="26"/>
        <v>#VALUE!</v>
      </c>
      <c r="B857" t="e">
        <f t="shared" si="27"/>
        <v>#VALUE!</v>
      </c>
      <c r="D857" s="14">
        <v>0</v>
      </c>
      <c r="E857"/>
      <c r="F857"/>
      <c r="G857"/>
      <c r="H857"/>
      <c r="I857"/>
      <c r="J857"/>
      <c r="K857"/>
      <c r="L857"/>
      <c r="M857"/>
      <c r="N857"/>
    </row>
    <row r="858" spans="1:14" x14ac:dyDescent="0.25">
      <c r="A858" t="str">
        <f t="shared" si="26"/>
        <v>1135158</v>
      </c>
      <c r="B858" t="str">
        <f t="shared" si="27"/>
        <v xml:space="preserve"> Lumen - ID Enterprise MSA</v>
      </c>
      <c r="C858" t="s">
        <v>695</v>
      </c>
      <c r="D858" s="15">
        <v>0</v>
      </c>
      <c r="E858" s="15">
        <v>0</v>
      </c>
      <c r="F858" s="15">
        <v>0</v>
      </c>
      <c r="G858" s="34">
        <v>0</v>
      </c>
      <c r="H858" s="15">
        <v>1089.5899999999999</v>
      </c>
      <c r="I858" s="15">
        <v>0</v>
      </c>
      <c r="J858" s="15">
        <v>0</v>
      </c>
      <c r="K858" s="15">
        <v>1089.5899999999999</v>
      </c>
      <c r="L858" s="15">
        <v>453.96</v>
      </c>
      <c r="M858" s="15">
        <v>635.63</v>
      </c>
      <c r="N858" s="34">
        <v>58.336622032140497</v>
      </c>
    </row>
    <row r="859" spans="1:14" x14ac:dyDescent="0.25">
      <c r="A859" t="e">
        <f t="shared" si="26"/>
        <v>#VALUE!</v>
      </c>
      <c r="B859" t="e">
        <f t="shared" si="27"/>
        <v>#VALUE!</v>
      </c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25">
      <c r="A860" t="e">
        <f t="shared" si="26"/>
        <v>#VALUE!</v>
      </c>
      <c r="B860" t="e">
        <f t="shared" si="27"/>
        <v>#VALUE!</v>
      </c>
      <c r="C860" s="14">
        <v>0</v>
      </c>
      <c r="D860" s="14">
        <v>0</v>
      </c>
      <c r="E860"/>
      <c r="F860"/>
      <c r="G860"/>
      <c r="H860"/>
      <c r="I860"/>
      <c r="J860"/>
      <c r="K860"/>
      <c r="L860"/>
      <c r="M860"/>
      <c r="N860"/>
    </row>
    <row r="861" spans="1:14" x14ac:dyDescent="0.25">
      <c r="A861" t="e">
        <f t="shared" si="26"/>
        <v>#VALUE!</v>
      </c>
      <c r="B861" t="e">
        <f t="shared" si="27"/>
        <v>#VALUE!</v>
      </c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25">
      <c r="A862" t="e">
        <f t="shared" si="26"/>
        <v>#VALUE!</v>
      </c>
      <c r="B862" t="e">
        <f t="shared" si="27"/>
        <v>#VALUE!</v>
      </c>
      <c r="D862" s="14">
        <v>0</v>
      </c>
      <c r="E862"/>
      <c r="F862"/>
      <c r="G862"/>
      <c r="H862"/>
      <c r="I862"/>
      <c r="J862"/>
      <c r="K862"/>
      <c r="L862"/>
      <c r="M862"/>
      <c r="N862"/>
    </row>
    <row r="863" spans="1:14" x14ac:dyDescent="0.25">
      <c r="A863" t="str">
        <f t="shared" si="26"/>
        <v>1482096</v>
      </c>
      <c r="B863" t="str">
        <f t="shared" si="27"/>
        <v xml:space="preserve"> Lumen - West WA Enterprise MSA (2022-24)</v>
      </c>
      <c r="C863" t="s">
        <v>1079</v>
      </c>
      <c r="D863" s="15">
        <v>2235</v>
      </c>
      <c r="E863" s="15">
        <v>744.62</v>
      </c>
      <c r="F863" s="15">
        <v>1490.38</v>
      </c>
      <c r="G863" s="34">
        <v>66.683668903803095</v>
      </c>
      <c r="H863" s="15">
        <v>6566170.04</v>
      </c>
      <c r="I863" s="15">
        <v>177944.35</v>
      </c>
      <c r="J863" s="15">
        <v>0</v>
      </c>
      <c r="K863" s="15">
        <v>6744114.3899999997</v>
      </c>
      <c r="L863" s="15">
        <v>6421216.0899999999</v>
      </c>
      <c r="M863" s="15">
        <v>322898.3</v>
      </c>
      <c r="N863" s="34">
        <v>4.7878532499209303</v>
      </c>
    </row>
    <row r="864" spans="1:14" x14ac:dyDescent="0.25">
      <c r="A864" t="e">
        <f t="shared" si="26"/>
        <v>#VALUE!</v>
      </c>
      <c r="B864" t="e">
        <f t="shared" si="27"/>
        <v>#VALUE!</v>
      </c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25">
      <c r="A865" t="e">
        <f t="shared" si="26"/>
        <v>#VALUE!</v>
      </c>
      <c r="B865" t="e">
        <f t="shared" si="27"/>
        <v>#VALUE!</v>
      </c>
      <c r="C865" s="14">
        <v>0</v>
      </c>
      <c r="D865" s="14">
        <v>0</v>
      </c>
      <c r="E865"/>
      <c r="F865"/>
      <c r="G865"/>
      <c r="H865"/>
      <c r="I865"/>
      <c r="J865"/>
      <c r="K865"/>
      <c r="L865"/>
      <c r="M865"/>
      <c r="N865"/>
    </row>
    <row r="866" spans="1:14" x14ac:dyDescent="0.25">
      <c r="A866" t="e">
        <f t="shared" si="26"/>
        <v>#VALUE!</v>
      </c>
      <c r="B866" t="e">
        <f t="shared" si="27"/>
        <v>#VALUE!</v>
      </c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25">
      <c r="A867" t="e">
        <f t="shared" si="26"/>
        <v>#VALUE!</v>
      </c>
      <c r="B867" t="e">
        <f t="shared" si="27"/>
        <v>#VALUE!</v>
      </c>
      <c r="D867" s="14">
        <v>0</v>
      </c>
      <c r="E867"/>
      <c r="F867"/>
      <c r="G867"/>
      <c r="H867"/>
      <c r="I867"/>
      <c r="J867"/>
      <c r="K867"/>
      <c r="L867"/>
      <c r="M867"/>
      <c r="N867"/>
    </row>
    <row r="868" spans="1:14" x14ac:dyDescent="0.25">
      <c r="A868" t="str">
        <f t="shared" si="26"/>
        <v>1483077</v>
      </c>
      <c r="B868" t="str">
        <f t="shared" si="27"/>
        <v xml:space="preserve"> Lumen - Northeast WA Consumer (2022-25)</v>
      </c>
      <c r="C868" t="s">
        <v>1080</v>
      </c>
      <c r="D868" s="15">
        <v>37286.550000000003</v>
      </c>
      <c r="E868" s="15">
        <v>57276.5</v>
      </c>
      <c r="F868" s="15">
        <v>-19989.95</v>
      </c>
      <c r="G868" s="34">
        <v>-53.611691078954699</v>
      </c>
      <c r="H868" s="15">
        <v>12682370.449999999</v>
      </c>
      <c r="I868" s="15">
        <v>421670.21</v>
      </c>
      <c r="J868" s="15">
        <v>0</v>
      </c>
      <c r="K868" s="15">
        <v>13104040.66</v>
      </c>
      <c r="L868" s="15">
        <v>12949610.199999999</v>
      </c>
      <c r="M868" s="15">
        <v>154430.46</v>
      </c>
      <c r="N868" s="34">
        <v>1.1784949696577001</v>
      </c>
    </row>
    <row r="869" spans="1:14" x14ac:dyDescent="0.25">
      <c r="A869" t="e">
        <f t="shared" si="26"/>
        <v>#VALUE!</v>
      </c>
      <c r="B869" t="e">
        <f t="shared" si="27"/>
        <v>#VALUE!</v>
      </c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25">
      <c r="A870" t="e">
        <f t="shared" si="26"/>
        <v>#VALUE!</v>
      </c>
      <c r="B870" t="e">
        <f t="shared" si="27"/>
        <v>#VALUE!</v>
      </c>
      <c r="C870" s="14">
        <v>0</v>
      </c>
      <c r="D870" s="14">
        <v>0</v>
      </c>
      <c r="E870"/>
      <c r="F870"/>
      <c r="G870"/>
      <c r="H870"/>
      <c r="I870"/>
      <c r="J870"/>
      <c r="K870"/>
      <c r="L870"/>
      <c r="M870"/>
      <c r="N870"/>
    </row>
    <row r="871" spans="1:14" x14ac:dyDescent="0.25">
      <c r="A871" t="e">
        <f t="shared" si="26"/>
        <v>#VALUE!</v>
      </c>
      <c r="B871" t="e">
        <f t="shared" si="27"/>
        <v>#VALUE!</v>
      </c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25">
      <c r="A872" t="e">
        <f t="shared" si="26"/>
        <v>#VALUE!</v>
      </c>
      <c r="B872" t="e">
        <f t="shared" si="27"/>
        <v>#VALUE!</v>
      </c>
      <c r="D872" s="14">
        <v>0</v>
      </c>
      <c r="E872"/>
      <c r="F872"/>
      <c r="G872"/>
      <c r="H872"/>
      <c r="I872"/>
      <c r="J872"/>
      <c r="K872"/>
      <c r="L872"/>
      <c r="M872"/>
      <c r="N872"/>
    </row>
    <row r="873" spans="1:14" x14ac:dyDescent="0.25">
      <c r="A873" t="str">
        <f t="shared" si="26"/>
        <v>1483096</v>
      </c>
      <c r="B873" t="str">
        <f t="shared" si="27"/>
        <v xml:space="preserve"> Lumen - 2023LE000081 Fiber Overbuild</v>
      </c>
      <c r="C873" t="s">
        <v>1081</v>
      </c>
      <c r="D873" s="15">
        <v>-3192.84</v>
      </c>
      <c r="E873" s="15">
        <v>-377.95</v>
      </c>
      <c r="F873" s="15">
        <v>-2814.89</v>
      </c>
      <c r="G873" s="34">
        <v>0</v>
      </c>
      <c r="H873" s="15">
        <v>15163167.27</v>
      </c>
      <c r="I873" s="15">
        <v>-79000.000000000204</v>
      </c>
      <c r="J873" s="15">
        <v>0</v>
      </c>
      <c r="K873" s="15">
        <v>15084167.27</v>
      </c>
      <c r="L873" s="15">
        <v>12592501.33</v>
      </c>
      <c r="M873" s="15">
        <v>2491665.94</v>
      </c>
      <c r="N873" s="34">
        <v>16.5184189183285</v>
      </c>
    </row>
    <row r="874" spans="1:14" x14ac:dyDescent="0.25">
      <c r="A874" t="e">
        <f t="shared" si="26"/>
        <v>#VALUE!</v>
      </c>
      <c r="B874" t="e">
        <f t="shared" si="27"/>
        <v>#VALUE!</v>
      </c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25">
      <c r="A875" t="e">
        <f t="shared" si="26"/>
        <v>#VALUE!</v>
      </c>
      <c r="B875" t="e">
        <f t="shared" si="27"/>
        <v>#VALUE!</v>
      </c>
      <c r="C875" s="14">
        <v>0</v>
      </c>
      <c r="D875" s="14">
        <v>0</v>
      </c>
      <c r="E875"/>
      <c r="F875"/>
      <c r="G875"/>
      <c r="H875"/>
      <c r="I875"/>
      <c r="J875"/>
      <c r="K875"/>
      <c r="L875"/>
      <c r="M875"/>
      <c r="N875"/>
    </row>
    <row r="876" spans="1:14" x14ac:dyDescent="0.25">
      <c r="A876" t="e">
        <f t="shared" si="26"/>
        <v>#VALUE!</v>
      </c>
      <c r="B876" t="e">
        <f t="shared" si="27"/>
        <v>#VALUE!</v>
      </c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25">
      <c r="A877" t="e">
        <f t="shared" si="26"/>
        <v>#VALUE!</v>
      </c>
      <c r="B877" t="e">
        <f t="shared" si="27"/>
        <v>#VALUE!</v>
      </c>
      <c r="D877" s="14">
        <v>0</v>
      </c>
      <c r="E877"/>
      <c r="F877"/>
      <c r="G877"/>
      <c r="H877"/>
      <c r="I877"/>
      <c r="J877"/>
      <c r="K877"/>
      <c r="L877"/>
      <c r="M877"/>
      <c r="N877"/>
    </row>
    <row r="878" spans="1:14" x14ac:dyDescent="0.25">
      <c r="A878" t="str">
        <f t="shared" si="26"/>
        <v>1483098</v>
      </c>
      <c r="B878" t="str">
        <f t="shared" si="27"/>
        <v xml:space="preserve"> Lumen - San Juans Consumer (2023-25)</v>
      </c>
      <c r="C878" t="s">
        <v>1082</v>
      </c>
      <c r="D878" s="15">
        <v>5984.61</v>
      </c>
      <c r="E878" s="15">
        <v>3748.4</v>
      </c>
      <c r="F878" s="15">
        <v>2236.21</v>
      </c>
      <c r="G878" s="34">
        <v>37.366010483556998</v>
      </c>
      <c r="H878" s="15">
        <v>440434.61</v>
      </c>
      <c r="I878" s="15">
        <v>40996.25</v>
      </c>
      <c r="J878" s="15">
        <v>0</v>
      </c>
      <c r="K878" s="15">
        <v>481430.86</v>
      </c>
      <c r="L878" s="15">
        <v>361968.54</v>
      </c>
      <c r="M878" s="15">
        <v>119462.32</v>
      </c>
      <c r="N878" s="34">
        <v>24.814013792136201</v>
      </c>
    </row>
    <row r="879" spans="1:14" x14ac:dyDescent="0.25">
      <c r="A879" t="e">
        <f t="shared" si="26"/>
        <v>#VALUE!</v>
      </c>
      <c r="B879" t="e">
        <f t="shared" si="27"/>
        <v>#VALUE!</v>
      </c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25">
      <c r="A880" t="e">
        <f t="shared" si="26"/>
        <v>#VALUE!</v>
      </c>
      <c r="B880" t="e">
        <f t="shared" si="27"/>
        <v>#VALUE!</v>
      </c>
      <c r="C880" s="14">
        <v>0</v>
      </c>
      <c r="D880" s="14">
        <v>0</v>
      </c>
      <c r="E880"/>
      <c r="F880"/>
      <c r="G880"/>
      <c r="H880"/>
      <c r="I880"/>
      <c r="J880"/>
      <c r="K880"/>
      <c r="L880"/>
      <c r="M880"/>
      <c r="N880"/>
    </row>
    <row r="881" spans="1:14" x14ac:dyDescent="0.25">
      <c r="A881" t="e">
        <f t="shared" si="26"/>
        <v>#VALUE!</v>
      </c>
      <c r="B881" t="e">
        <f t="shared" si="27"/>
        <v>#VALUE!</v>
      </c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25">
      <c r="A882" t="e">
        <f t="shared" si="26"/>
        <v>#VALUE!</v>
      </c>
      <c r="B882" t="e">
        <f t="shared" si="27"/>
        <v>#VALUE!</v>
      </c>
      <c r="D882" s="14">
        <v>0</v>
      </c>
      <c r="E882"/>
      <c r="F882"/>
      <c r="G882"/>
      <c r="H882"/>
      <c r="I882"/>
      <c r="J882"/>
      <c r="K882"/>
      <c r="L882"/>
      <c r="M882"/>
      <c r="N882"/>
    </row>
    <row r="883" spans="1:14" x14ac:dyDescent="0.25">
      <c r="A883" t="str">
        <f t="shared" si="26"/>
        <v>1483099</v>
      </c>
      <c r="B883" t="str">
        <f t="shared" si="27"/>
        <v xml:space="preserve"> Lumen - West WA Consumer (2023-25)</v>
      </c>
      <c r="C883" t="s">
        <v>1083</v>
      </c>
      <c r="D883" s="15">
        <v>1397564.71</v>
      </c>
      <c r="E883" s="15">
        <v>1391449.16</v>
      </c>
      <c r="F883" s="15">
        <v>6115.55</v>
      </c>
      <c r="G883" s="34">
        <v>0.43758617803106897</v>
      </c>
      <c r="H883" s="15">
        <v>72429052.519999996</v>
      </c>
      <c r="I883" s="15">
        <v>10238649.630000001</v>
      </c>
      <c r="J883" s="15">
        <v>0</v>
      </c>
      <c r="K883" s="15">
        <v>82667702.150000006</v>
      </c>
      <c r="L883" s="15">
        <v>78219132.670000002</v>
      </c>
      <c r="M883" s="15">
        <v>4448569.4800000004</v>
      </c>
      <c r="N883" s="34">
        <v>5.3812666425977298</v>
      </c>
    </row>
    <row r="884" spans="1:14" x14ac:dyDescent="0.25">
      <c r="A884" t="e">
        <f t="shared" si="26"/>
        <v>#VALUE!</v>
      </c>
      <c r="B884" t="e">
        <f t="shared" si="27"/>
        <v>#VALUE!</v>
      </c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25">
      <c r="A885" t="e">
        <f t="shared" si="26"/>
        <v>#VALUE!</v>
      </c>
      <c r="B885" t="e">
        <f t="shared" si="27"/>
        <v>#VALUE!</v>
      </c>
      <c r="C885" s="14">
        <v>0</v>
      </c>
      <c r="D885" s="14">
        <v>0</v>
      </c>
      <c r="E885"/>
      <c r="F885"/>
      <c r="G885"/>
      <c r="H885"/>
      <c r="I885"/>
      <c r="J885"/>
      <c r="K885"/>
      <c r="L885"/>
      <c r="M885"/>
      <c r="N885"/>
    </row>
    <row r="886" spans="1:14" x14ac:dyDescent="0.25">
      <c r="A886" t="e">
        <f t="shared" si="26"/>
        <v>#VALUE!</v>
      </c>
      <c r="B886" t="e">
        <f t="shared" si="27"/>
        <v>#VALUE!</v>
      </c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25">
      <c r="A887" t="e">
        <f t="shared" si="26"/>
        <v>#VALUE!</v>
      </c>
      <c r="B887" t="e">
        <f t="shared" si="27"/>
        <v>#VALUE!</v>
      </c>
      <c r="D887" s="14">
        <v>0</v>
      </c>
      <c r="E887"/>
      <c r="F887"/>
      <c r="G887"/>
      <c r="H887"/>
      <c r="I887"/>
      <c r="J887"/>
      <c r="K887"/>
      <c r="L887"/>
      <c r="M887"/>
      <c r="N887"/>
    </row>
    <row r="888" spans="1:14" x14ac:dyDescent="0.25">
      <c r="A888" t="str">
        <f t="shared" si="26"/>
        <v>1483102</v>
      </c>
      <c r="B888" t="str">
        <f t="shared" si="27"/>
        <v xml:space="preserve"> Lumen - 2023LE000081 Ovrbld East WA FTTH</v>
      </c>
      <c r="C888" t="s">
        <v>1084</v>
      </c>
      <c r="D888" s="15">
        <v>1260</v>
      </c>
      <c r="E888" s="15">
        <v>1457.91</v>
      </c>
      <c r="F888" s="15">
        <v>-197.91</v>
      </c>
      <c r="G888" s="34">
        <v>-15.7071428571429</v>
      </c>
      <c r="H888" s="15">
        <v>5071893.09</v>
      </c>
      <c r="I888" s="15">
        <v>4.8349839687489301E-11</v>
      </c>
      <c r="J888" s="15">
        <v>0</v>
      </c>
      <c r="K888" s="15">
        <v>5071893.09</v>
      </c>
      <c r="L888" s="15">
        <v>4036331.49</v>
      </c>
      <c r="M888" s="15">
        <v>1035561.6</v>
      </c>
      <c r="N888" s="34">
        <v>20.417654347678699</v>
      </c>
    </row>
    <row r="889" spans="1:14" x14ac:dyDescent="0.25">
      <c r="A889" t="e">
        <f t="shared" si="26"/>
        <v>#VALUE!</v>
      </c>
      <c r="B889" t="e">
        <f t="shared" si="27"/>
        <v>#VALUE!</v>
      </c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25">
      <c r="A890" t="e">
        <f t="shared" si="26"/>
        <v>#VALUE!</v>
      </c>
      <c r="B890" t="e">
        <f t="shared" si="27"/>
        <v>#VALUE!</v>
      </c>
      <c r="C890" s="14">
        <v>2700000</v>
      </c>
      <c r="D890" s="14">
        <v>2700000</v>
      </c>
      <c r="E890"/>
      <c r="F890"/>
      <c r="G890"/>
      <c r="H890"/>
      <c r="I890"/>
      <c r="J890"/>
      <c r="K890"/>
      <c r="L890"/>
      <c r="M890"/>
      <c r="N890"/>
    </row>
    <row r="891" spans="1:14" x14ac:dyDescent="0.25">
      <c r="A891" t="e">
        <f t="shared" si="26"/>
        <v>#VALUE!</v>
      </c>
      <c r="B891" t="e">
        <f t="shared" si="27"/>
        <v>#VALUE!</v>
      </c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25">
      <c r="A892" t="e">
        <f t="shared" si="26"/>
        <v>#VALUE!</v>
      </c>
      <c r="B892" t="e">
        <f t="shared" si="27"/>
        <v>#VALUE!</v>
      </c>
      <c r="D892" s="14">
        <v>0</v>
      </c>
      <c r="E892"/>
      <c r="F892"/>
      <c r="G892"/>
      <c r="H892"/>
      <c r="I892"/>
      <c r="J892"/>
      <c r="K892"/>
      <c r="L892"/>
      <c r="M892"/>
      <c r="N892"/>
    </row>
    <row r="893" spans="1:14" x14ac:dyDescent="0.25">
      <c r="A893" t="str">
        <f t="shared" si="26"/>
        <v>1485254</v>
      </c>
      <c r="B893" t="str">
        <f t="shared" si="27"/>
        <v xml:space="preserve"> Lumen - WA Enterprise MSA (2025-27)</v>
      </c>
      <c r="C893" t="s">
        <v>696</v>
      </c>
      <c r="D893" s="15">
        <v>166089.85</v>
      </c>
      <c r="E893" s="15">
        <v>107988.63</v>
      </c>
      <c r="F893" s="15">
        <v>58101.22</v>
      </c>
      <c r="G893" s="34">
        <v>34.981800513396799</v>
      </c>
      <c r="H893" s="15">
        <v>1288305.72</v>
      </c>
      <c r="I893" s="15">
        <v>434011.67</v>
      </c>
      <c r="J893" s="15">
        <v>2700000</v>
      </c>
      <c r="K893" s="15">
        <v>1722317.39</v>
      </c>
      <c r="L893" s="15">
        <v>992508.44</v>
      </c>
      <c r="M893" s="15">
        <v>729808.95</v>
      </c>
      <c r="N893" s="34">
        <v>42.3736620344988</v>
      </c>
    </row>
    <row r="894" spans="1:14" x14ac:dyDescent="0.25">
      <c r="A894" t="e">
        <f t="shared" si="26"/>
        <v>#VALUE!</v>
      </c>
      <c r="B894" t="e">
        <f t="shared" si="27"/>
        <v>#VALUE!</v>
      </c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25">
      <c r="A895" t="e">
        <f t="shared" si="26"/>
        <v>#VALUE!</v>
      </c>
      <c r="B895" t="e">
        <f t="shared" si="27"/>
        <v>#VALUE!</v>
      </c>
      <c r="C895" s="14">
        <v>0</v>
      </c>
      <c r="D895" s="14">
        <v>0</v>
      </c>
      <c r="E895"/>
      <c r="F895"/>
      <c r="G895"/>
      <c r="H895"/>
      <c r="I895"/>
      <c r="J895"/>
      <c r="K895"/>
      <c r="L895"/>
      <c r="M895"/>
      <c r="N895"/>
    </row>
    <row r="896" spans="1:14" x14ac:dyDescent="0.25">
      <c r="A896" t="e">
        <f t="shared" si="26"/>
        <v>#VALUE!</v>
      </c>
      <c r="B896" t="e">
        <f t="shared" si="27"/>
        <v>#VALUE!</v>
      </c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25">
      <c r="A897" t="e">
        <f t="shared" si="26"/>
        <v>#VALUE!</v>
      </c>
      <c r="B897" t="e">
        <f t="shared" si="27"/>
        <v>#VALUE!</v>
      </c>
      <c r="D897" s="14">
        <v>0</v>
      </c>
      <c r="E897"/>
      <c r="F897"/>
      <c r="G897"/>
      <c r="H897"/>
      <c r="I897"/>
      <c r="J897"/>
      <c r="K897"/>
      <c r="L897"/>
      <c r="M897"/>
      <c r="N897"/>
    </row>
    <row r="898" spans="1:14" x14ac:dyDescent="0.25">
      <c r="A898" t="str">
        <f t="shared" si="26"/>
        <v>1486125</v>
      </c>
      <c r="B898" t="str">
        <f t="shared" si="27"/>
        <v xml:space="preserve"> Lumen - 2025LE000148 Fiber Overbuild</v>
      </c>
      <c r="C898" t="s">
        <v>697</v>
      </c>
      <c r="D898" s="15">
        <v>793767.02</v>
      </c>
      <c r="E898" s="15">
        <v>593979.32999999996</v>
      </c>
      <c r="F898" s="15">
        <v>199787.69</v>
      </c>
      <c r="G898" s="34">
        <v>25.1695629783157</v>
      </c>
      <c r="H898" s="15">
        <v>528843.13</v>
      </c>
      <c r="I898" s="15">
        <v>2597329.14</v>
      </c>
      <c r="J898" s="15">
        <v>0</v>
      </c>
      <c r="K898" s="15">
        <v>3126172.27</v>
      </c>
      <c r="L898" s="15">
        <v>2477673.52</v>
      </c>
      <c r="M898" s="15">
        <v>648498.75</v>
      </c>
      <c r="N898" s="34">
        <v>20.744178311069199</v>
      </c>
    </row>
    <row r="899" spans="1:14" x14ac:dyDescent="0.25">
      <c r="A899" t="e">
        <f t="shared" si="26"/>
        <v>#VALUE!</v>
      </c>
      <c r="B899" t="e">
        <f t="shared" si="27"/>
        <v>#VALUE!</v>
      </c>
      <c r="D899"/>
      <c r="E899" s="15"/>
      <c r="F899" s="15"/>
      <c r="G899" s="15"/>
      <c r="H899" s="15"/>
      <c r="I899" s="15"/>
      <c r="J899" s="15"/>
      <c r="K899" s="14"/>
      <c r="L899" s="15"/>
      <c r="M899" s="15"/>
      <c r="N899" s="14"/>
    </row>
    <row r="900" spans="1:14" x14ac:dyDescent="0.25">
      <c r="A900" t="e">
        <f t="shared" si="26"/>
        <v>#VALUE!</v>
      </c>
      <c r="B900" t="e">
        <f t="shared" si="27"/>
        <v>#VALUE!</v>
      </c>
      <c r="C900">
        <v>0</v>
      </c>
      <c r="D900">
        <v>0</v>
      </c>
      <c r="E900"/>
      <c r="F900"/>
      <c r="G900"/>
      <c r="H900"/>
      <c r="I900"/>
      <c r="J900"/>
      <c r="K900"/>
      <c r="L900"/>
      <c r="M900"/>
      <c r="N900"/>
    </row>
    <row r="901" spans="1:14" x14ac:dyDescent="0.25">
      <c r="A901" t="e">
        <f t="shared" ref="A901:A964" si="28">LEFT(C901,FIND(" ",C901)-1)</f>
        <v>#VALUE!</v>
      </c>
      <c r="B901" t="e">
        <f t="shared" ref="B901:B964" si="29">RIGHT(C901,LEN(C901)-FIND(" ",C901))</f>
        <v>#VALUE!</v>
      </c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25">
      <c r="A902" t="e">
        <f t="shared" si="28"/>
        <v>#VALUE!</v>
      </c>
      <c r="B902" t="e">
        <f t="shared" si="29"/>
        <v>#VALUE!</v>
      </c>
      <c r="D902">
        <v>0</v>
      </c>
      <c r="E902"/>
      <c r="F902"/>
      <c r="G902"/>
      <c r="H902"/>
      <c r="I902"/>
      <c r="J902"/>
      <c r="K902"/>
      <c r="L902"/>
      <c r="M902"/>
      <c r="N902"/>
    </row>
    <row r="903" spans="1:14" x14ac:dyDescent="0.25">
      <c r="A903" t="str">
        <f t="shared" si="28"/>
        <v>1486278</v>
      </c>
      <c r="B903" t="str">
        <f t="shared" si="29"/>
        <v xml:space="preserve"> Lumen - Northeast WA Consumer (2026-28)</v>
      </c>
      <c r="C903" t="s">
        <v>987</v>
      </c>
      <c r="D903">
        <v>113920.8</v>
      </c>
      <c r="E903">
        <v>96546.64</v>
      </c>
      <c r="F903">
        <v>17374.16</v>
      </c>
      <c r="G903">
        <v>15.2510867198966</v>
      </c>
      <c r="H903">
        <v>2.3283064365387E-12</v>
      </c>
      <c r="I903">
        <v>223599.72</v>
      </c>
      <c r="J903">
        <v>0</v>
      </c>
      <c r="K903">
        <v>223599.72</v>
      </c>
      <c r="L903">
        <v>167445.87</v>
      </c>
      <c r="M903">
        <v>56153.85</v>
      </c>
      <c r="N903">
        <v>25.113560070647701</v>
      </c>
    </row>
    <row r="904" spans="1:14" x14ac:dyDescent="0.25">
      <c r="A904" t="e">
        <f t="shared" si="28"/>
        <v>#VALUE!</v>
      </c>
      <c r="B904" t="e">
        <f t="shared" si="29"/>
        <v>#VALUE!</v>
      </c>
      <c r="D904" s="14"/>
      <c r="E904"/>
      <c r="F904"/>
      <c r="G904"/>
      <c r="H904"/>
      <c r="I904"/>
      <c r="J904"/>
      <c r="K904"/>
      <c r="L904"/>
      <c r="M904"/>
      <c r="N904"/>
    </row>
    <row r="905" spans="1:14" x14ac:dyDescent="0.25">
      <c r="A905" t="e">
        <f t="shared" si="28"/>
        <v>#VALUE!</v>
      </c>
      <c r="B905" t="e">
        <f t="shared" si="29"/>
        <v>#VALUE!</v>
      </c>
      <c r="C905">
        <v>0</v>
      </c>
      <c r="D905" s="15">
        <v>0</v>
      </c>
      <c r="E905" s="15"/>
      <c r="F905" s="15"/>
      <c r="G905" s="34"/>
      <c r="H905" s="15"/>
      <c r="I905" s="15"/>
      <c r="J905" s="15"/>
      <c r="K905" s="15"/>
      <c r="L905" s="15"/>
      <c r="M905" s="15"/>
      <c r="N905" s="34"/>
    </row>
    <row r="906" spans="1:14" x14ac:dyDescent="0.25">
      <c r="A906" t="e">
        <f t="shared" si="28"/>
        <v>#VALUE!</v>
      </c>
      <c r="B906" t="e">
        <f t="shared" si="29"/>
        <v>#VALUE!</v>
      </c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25">
      <c r="A907" t="e">
        <f t="shared" si="28"/>
        <v>#VALUE!</v>
      </c>
      <c r="B907" t="e">
        <f t="shared" si="29"/>
        <v>#VALUE!</v>
      </c>
      <c r="D907">
        <v>0</v>
      </c>
      <c r="E907"/>
      <c r="F907"/>
      <c r="G907"/>
      <c r="H907"/>
      <c r="I907"/>
      <c r="J907"/>
      <c r="K907"/>
      <c r="L907"/>
      <c r="M907"/>
      <c r="N907"/>
    </row>
    <row r="908" spans="1:14" x14ac:dyDescent="0.25">
      <c r="A908" t="str">
        <f t="shared" si="28"/>
        <v>1486279</v>
      </c>
      <c r="B908" t="str">
        <f t="shared" si="29"/>
        <v xml:space="preserve"> Lumen - San Juans WA Consumer (2026-28)</v>
      </c>
      <c r="C908" t="s">
        <v>1120</v>
      </c>
      <c r="D908">
        <v>962.74</v>
      </c>
      <c r="E908">
        <v>1840.24</v>
      </c>
      <c r="F908">
        <v>-877.5</v>
      </c>
      <c r="G908">
        <v>-91.146103828655697</v>
      </c>
      <c r="H908">
        <v>0</v>
      </c>
      <c r="I908">
        <v>962.74</v>
      </c>
      <c r="J908">
        <v>0</v>
      </c>
      <c r="K908">
        <v>962.74</v>
      </c>
      <c r="L908">
        <v>1840.24</v>
      </c>
      <c r="M908">
        <v>-877.5</v>
      </c>
      <c r="N908">
        <v>-91.146103828655697</v>
      </c>
    </row>
    <row r="909" spans="1:14" x14ac:dyDescent="0.25">
      <c r="A909" t="e">
        <f t="shared" si="28"/>
        <v>#VALUE!</v>
      </c>
      <c r="B909" t="e">
        <f t="shared" si="29"/>
        <v>#VALUE!</v>
      </c>
      <c r="D909" s="14"/>
      <c r="E909"/>
      <c r="F909"/>
      <c r="G909"/>
      <c r="H909"/>
      <c r="I909"/>
      <c r="J909"/>
      <c r="K909"/>
      <c r="L909"/>
      <c r="M909"/>
      <c r="N909"/>
    </row>
    <row r="910" spans="1:14" x14ac:dyDescent="0.25">
      <c r="A910" t="e">
        <f t="shared" si="28"/>
        <v>#VALUE!</v>
      </c>
      <c r="B910" t="e">
        <f t="shared" si="29"/>
        <v>#VALUE!</v>
      </c>
      <c r="C910">
        <v>0</v>
      </c>
      <c r="D910" s="15">
        <v>0</v>
      </c>
      <c r="E910" s="15"/>
      <c r="F910" s="15"/>
      <c r="G910" s="34"/>
      <c r="H910" s="15"/>
      <c r="I910" s="15"/>
      <c r="J910" s="15"/>
      <c r="K910" s="15"/>
      <c r="L910" s="15"/>
      <c r="M910" s="15"/>
      <c r="N910" s="34"/>
    </row>
    <row r="911" spans="1:14" x14ac:dyDescent="0.25">
      <c r="A911" t="e">
        <f t="shared" si="28"/>
        <v>#VALUE!</v>
      </c>
      <c r="B911" t="e">
        <f t="shared" si="29"/>
        <v>#VALUE!</v>
      </c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25">
      <c r="A912" t="e">
        <f t="shared" si="28"/>
        <v>#VALUE!</v>
      </c>
      <c r="B912" t="e">
        <f t="shared" si="29"/>
        <v>#VALUE!</v>
      </c>
      <c r="D912">
        <v>0</v>
      </c>
      <c r="E912"/>
      <c r="F912"/>
      <c r="G912"/>
      <c r="H912"/>
      <c r="I912"/>
      <c r="J912"/>
      <c r="K912"/>
      <c r="L912"/>
      <c r="M912"/>
      <c r="N912"/>
    </row>
    <row r="913" spans="1:14" x14ac:dyDescent="0.25">
      <c r="A913" t="str">
        <f t="shared" si="28"/>
        <v>1486280</v>
      </c>
      <c r="B913" t="str">
        <f t="shared" si="29"/>
        <v xml:space="preserve"> Lumen - West WA Consumer (2026-28)</v>
      </c>
      <c r="C913" t="s">
        <v>1085</v>
      </c>
      <c r="D913">
        <v>849976.27</v>
      </c>
      <c r="E913">
        <v>758216.25</v>
      </c>
      <c r="F913">
        <v>91760.02</v>
      </c>
      <c r="G913">
        <v>10.795597858279001</v>
      </c>
      <c r="H913">
        <v>152494.20000000001</v>
      </c>
      <c r="I913">
        <v>1181270.75</v>
      </c>
      <c r="J913">
        <v>0</v>
      </c>
      <c r="K913">
        <v>1333764.95</v>
      </c>
      <c r="L913">
        <v>1122791.5900000001</v>
      </c>
      <c r="M913">
        <v>210973.36</v>
      </c>
      <c r="N913">
        <v>15.817881554017401</v>
      </c>
    </row>
    <row r="914" spans="1:14" x14ac:dyDescent="0.25">
      <c r="A914" t="e">
        <f t="shared" si="28"/>
        <v>#VALUE!</v>
      </c>
      <c r="B914" t="e">
        <f t="shared" si="29"/>
        <v>#VALUE!</v>
      </c>
      <c r="D914" s="14"/>
      <c r="E914"/>
      <c r="F914"/>
      <c r="G914"/>
      <c r="H914"/>
      <c r="I914"/>
      <c r="J914"/>
      <c r="K914"/>
      <c r="L914"/>
      <c r="M914"/>
      <c r="N914"/>
    </row>
    <row r="915" spans="1:14" x14ac:dyDescent="0.25">
      <c r="A915" t="e">
        <f t="shared" si="28"/>
        <v>#VALUE!</v>
      </c>
      <c r="B915" t="e">
        <f t="shared" si="29"/>
        <v>#VALUE!</v>
      </c>
      <c r="C915">
        <v>0</v>
      </c>
      <c r="D915" s="15">
        <v>0</v>
      </c>
      <c r="E915" s="15"/>
      <c r="F915" s="15"/>
      <c r="G915" s="34"/>
      <c r="H915" s="15"/>
      <c r="I915" s="15"/>
      <c r="J915" s="15"/>
      <c r="K915" s="15"/>
      <c r="L915" s="15"/>
      <c r="M915" s="15"/>
      <c r="N915" s="34"/>
    </row>
    <row r="916" spans="1:14" x14ac:dyDescent="0.25">
      <c r="A916" t="e">
        <f t="shared" si="28"/>
        <v>#VALUE!</v>
      </c>
      <c r="B916" t="e">
        <f t="shared" si="29"/>
        <v>#VALUE!</v>
      </c>
      <c r="D916"/>
      <c r="E916" s="15"/>
      <c r="F916" s="15"/>
      <c r="G916" s="15"/>
      <c r="H916" s="15"/>
      <c r="I916" s="15"/>
      <c r="J916" s="15"/>
      <c r="K916" s="14"/>
      <c r="L916" s="15"/>
      <c r="M916" s="15"/>
      <c r="N916" s="14"/>
    </row>
    <row r="917" spans="1:14" x14ac:dyDescent="0.25">
      <c r="A917" t="e">
        <f t="shared" si="28"/>
        <v>#VALUE!</v>
      </c>
      <c r="B917" t="e">
        <f t="shared" si="29"/>
        <v>#VALUE!</v>
      </c>
      <c r="D917">
        <v>0</v>
      </c>
      <c r="E917"/>
      <c r="F917"/>
      <c r="G917"/>
      <c r="H917"/>
      <c r="I917"/>
      <c r="J917"/>
      <c r="K917"/>
      <c r="L917"/>
      <c r="M917"/>
      <c r="N917"/>
    </row>
    <row r="918" spans="1:14" x14ac:dyDescent="0.25">
      <c r="A918" t="str">
        <f t="shared" si="28"/>
        <v>1486281</v>
      </c>
      <c r="B918" t="str">
        <f t="shared" si="29"/>
        <v xml:space="preserve"> Lumen - West WA Drops (2026-28)</v>
      </c>
      <c r="C918" t="s">
        <v>1024</v>
      </c>
      <c r="D918">
        <v>10584.34</v>
      </c>
      <c r="E918">
        <v>10079.86</v>
      </c>
      <c r="F918">
        <v>504.48</v>
      </c>
      <c r="G918">
        <v>4.76628679728731</v>
      </c>
      <c r="H918">
        <v>0</v>
      </c>
      <c r="I918">
        <v>10584.34</v>
      </c>
      <c r="J918">
        <v>0</v>
      </c>
      <c r="K918">
        <v>10584.34</v>
      </c>
      <c r="L918">
        <v>11232.85</v>
      </c>
      <c r="M918">
        <v>-648.51</v>
      </c>
      <c r="N918">
        <v>-6.1270707479162603</v>
      </c>
    </row>
    <row r="919" spans="1:14" x14ac:dyDescent="0.25">
      <c r="A919" t="e">
        <f t="shared" si="28"/>
        <v>#VALUE!</v>
      </c>
      <c r="B919" t="e">
        <f t="shared" si="29"/>
        <v>#VALUE!</v>
      </c>
      <c r="C919" s="14" t="s">
        <v>631</v>
      </c>
      <c r="D919" s="14" t="s">
        <v>632</v>
      </c>
      <c r="E919">
        <v>3376439.05</v>
      </c>
      <c r="F919">
        <v>353489.46</v>
      </c>
      <c r="G919">
        <v>114323820.62</v>
      </c>
      <c r="H919">
        <v>129571839.42</v>
      </c>
      <c r="I919">
        <v>10217132.630000001</v>
      </c>
      <c r="J919">
        <v>3022949.59</v>
      </c>
      <c r="K919">
        <v>10.469297824286199</v>
      </c>
      <c r="L919">
        <v>15248018.800000001</v>
      </c>
      <c r="M919">
        <v>119354706.79000001</v>
      </c>
      <c r="N919">
        <v>-5.0050227186934605E-4</v>
      </c>
    </row>
    <row r="920" spans="1:14" x14ac:dyDescent="0.25">
      <c r="A920" t="e">
        <f t="shared" si="28"/>
        <v>#VALUE!</v>
      </c>
      <c r="B920" t="e">
        <f t="shared" si="29"/>
        <v>#VALUE!</v>
      </c>
      <c r="C920" t="s">
        <v>422</v>
      </c>
      <c r="D920" t="s">
        <v>444</v>
      </c>
      <c r="E920"/>
      <c r="F920"/>
      <c r="G920"/>
      <c r="H920"/>
      <c r="I920"/>
      <c r="J920"/>
      <c r="K920"/>
      <c r="L920"/>
      <c r="M920"/>
      <c r="N920"/>
    </row>
    <row r="921" spans="1:14" x14ac:dyDescent="0.25">
      <c r="A921" t="e">
        <f t="shared" si="28"/>
        <v>#VALUE!</v>
      </c>
      <c r="B921" t="e">
        <f t="shared" si="29"/>
        <v>#VALUE!</v>
      </c>
      <c r="D921" s="14"/>
      <c r="E921"/>
      <c r="F921"/>
      <c r="G921"/>
      <c r="H921"/>
      <c r="I921"/>
      <c r="J921"/>
      <c r="K921"/>
      <c r="L921"/>
      <c r="M921"/>
      <c r="N921"/>
    </row>
    <row r="922" spans="1:14" x14ac:dyDescent="0.25">
      <c r="A922" t="e">
        <f t="shared" si="28"/>
        <v>#VALUE!</v>
      </c>
      <c r="B922" t="e">
        <f t="shared" si="29"/>
        <v>#VALUE!</v>
      </c>
      <c r="D922" s="15"/>
      <c r="E922" s="15"/>
      <c r="F922" s="15"/>
      <c r="G922" s="34"/>
      <c r="H922" s="15"/>
      <c r="I922" s="15"/>
      <c r="J922" s="15"/>
      <c r="K922" s="15"/>
      <c r="L922" s="15"/>
      <c r="M922" s="15"/>
      <c r="N922" s="34"/>
    </row>
    <row r="923" spans="1:14" x14ac:dyDescent="0.25">
      <c r="A923" t="e">
        <f t="shared" si="28"/>
        <v>#VALUE!</v>
      </c>
      <c r="B923" t="e">
        <f t="shared" si="29"/>
        <v>#VALUE!</v>
      </c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25">
      <c r="A924" t="e">
        <f t="shared" si="28"/>
        <v>#VALUE!</v>
      </c>
      <c r="B924" t="e">
        <f t="shared" si="29"/>
        <v>#VALUE!</v>
      </c>
      <c r="C924" s="14"/>
      <c r="D924" s="14">
        <v>0</v>
      </c>
      <c r="E924"/>
      <c r="F924"/>
      <c r="G924"/>
      <c r="H924"/>
      <c r="I924"/>
      <c r="J924"/>
      <c r="K924"/>
      <c r="L924"/>
      <c r="M924"/>
      <c r="N924"/>
    </row>
    <row r="925" spans="1:14" x14ac:dyDescent="0.25">
      <c r="A925" t="str">
        <f t="shared" si="28"/>
        <v>03-5092</v>
      </c>
      <c r="B925" t="str">
        <f t="shared" si="29"/>
        <v xml:space="preserve"> IC-CCI - Close-Out for 1F LA South</v>
      </c>
      <c r="C925" t="s">
        <v>423</v>
      </c>
      <c r="D925">
        <v>0</v>
      </c>
      <c r="E925">
        <v>1737.76</v>
      </c>
      <c r="F925">
        <v>-1737.76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39523.4</v>
      </c>
      <c r="M925">
        <v>-39523.4</v>
      </c>
      <c r="N925">
        <v>0</v>
      </c>
    </row>
    <row r="926" spans="1:14" x14ac:dyDescent="0.25">
      <c r="A926" t="e">
        <f t="shared" si="28"/>
        <v>#VALUE!</v>
      </c>
      <c r="B926" t="e">
        <f t="shared" si="29"/>
        <v>#VALUE!</v>
      </c>
      <c r="D926" s="14"/>
      <c r="E926"/>
      <c r="F926"/>
      <c r="G926"/>
      <c r="H926"/>
      <c r="I926"/>
      <c r="J926"/>
      <c r="K926"/>
      <c r="L926"/>
      <c r="M926"/>
      <c r="N926"/>
    </row>
    <row r="927" spans="1:14" x14ac:dyDescent="0.25">
      <c r="A927" t="e">
        <f t="shared" si="28"/>
        <v>#VALUE!</v>
      </c>
      <c r="B927" t="e">
        <f t="shared" si="29"/>
        <v>#VALUE!</v>
      </c>
      <c r="D927" s="15"/>
      <c r="E927" s="15"/>
      <c r="F927" s="15"/>
      <c r="G927" s="34"/>
      <c r="H927" s="15"/>
      <c r="I927" s="15"/>
      <c r="J927" s="15"/>
      <c r="K927" s="15"/>
      <c r="L927" s="15"/>
      <c r="M927" s="15"/>
      <c r="N927" s="34"/>
    </row>
    <row r="928" spans="1:14" x14ac:dyDescent="0.25">
      <c r="A928" t="e">
        <f t="shared" si="28"/>
        <v>#VALUE!</v>
      </c>
      <c r="B928" t="e">
        <f t="shared" si="29"/>
        <v>#VALUE!</v>
      </c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25">
      <c r="A929" t="e">
        <f t="shared" si="28"/>
        <v>#VALUE!</v>
      </c>
      <c r="B929" t="e">
        <f t="shared" si="29"/>
        <v>#VALUE!</v>
      </c>
      <c r="C929" s="14"/>
      <c r="D929" s="14">
        <v>0</v>
      </c>
      <c r="E929"/>
      <c r="F929"/>
      <c r="G929"/>
      <c r="H929"/>
      <c r="I929"/>
      <c r="J929"/>
      <c r="K929"/>
      <c r="L929"/>
      <c r="M929"/>
      <c r="N929"/>
    </row>
    <row r="930" spans="1:14" x14ac:dyDescent="0.25">
      <c r="A930" t="str">
        <f t="shared" si="28"/>
        <v>35005</v>
      </c>
      <c r="B930" t="str">
        <f t="shared" si="29"/>
        <v xml:space="preserve"> IC-VCI-VZ-Close-Out for 1F LA North</v>
      </c>
      <c r="C930" t="s">
        <v>424</v>
      </c>
      <c r="D930">
        <v>0</v>
      </c>
      <c r="E930">
        <v>-4390.67</v>
      </c>
      <c r="F930">
        <v>4390.67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-96627.05</v>
      </c>
      <c r="M930">
        <v>96627.05</v>
      </c>
      <c r="N930">
        <v>0</v>
      </c>
    </row>
    <row r="931" spans="1:14" x14ac:dyDescent="0.25">
      <c r="A931" t="e">
        <f t="shared" si="28"/>
        <v>#VALUE!</v>
      </c>
      <c r="B931" t="e">
        <f t="shared" si="29"/>
        <v>#VALUE!</v>
      </c>
      <c r="D931" s="14"/>
      <c r="E931"/>
      <c r="F931"/>
      <c r="G931"/>
      <c r="H931"/>
      <c r="I931"/>
      <c r="J931"/>
      <c r="K931"/>
      <c r="L931"/>
      <c r="M931"/>
      <c r="N931"/>
    </row>
    <row r="932" spans="1:14" x14ac:dyDescent="0.25">
      <c r="A932" t="e">
        <f t="shared" si="28"/>
        <v>#VALUE!</v>
      </c>
      <c r="B932" t="e">
        <f t="shared" si="29"/>
        <v>#VALUE!</v>
      </c>
      <c r="D932" s="15"/>
      <c r="E932" s="15"/>
      <c r="F932" s="15"/>
      <c r="G932" s="34"/>
      <c r="H932" s="15"/>
      <c r="I932" s="15"/>
      <c r="J932" s="15"/>
      <c r="K932" s="15"/>
      <c r="L932" s="15"/>
      <c r="M932" s="15"/>
      <c r="N932" s="34"/>
    </row>
    <row r="933" spans="1:14" x14ac:dyDescent="0.25">
      <c r="A933" t="e">
        <f t="shared" si="28"/>
        <v>#VALUE!</v>
      </c>
      <c r="B933" t="e">
        <f t="shared" si="29"/>
        <v>#VALUE!</v>
      </c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25">
      <c r="A934" t="e">
        <f t="shared" si="28"/>
        <v>#VALUE!</v>
      </c>
      <c r="B934" t="e">
        <f t="shared" si="29"/>
        <v>#VALUE!</v>
      </c>
      <c r="C934" s="14"/>
      <c r="D934" s="14">
        <v>0</v>
      </c>
      <c r="E934"/>
      <c r="F934"/>
      <c r="G934"/>
      <c r="H934"/>
      <c r="I934"/>
      <c r="J934"/>
      <c r="K934"/>
      <c r="L934"/>
      <c r="M934"/>
      <c r="N934"/>
    </row>
    <row r="935" spans="1:14" x14ac:dyDescent="0.25">
      <c r="A935" t="str">
        <f>LEFT(C935,FIND(" ",C935)-1)</f>
        <v>ONEPAUPHX</v>
      </c>
      <c r="B935" t="str">
        <f t="shared" si="29"/>
        <v xml:space="preserve"> IC-PAU-VZ-Close-Out for 1F Phoenix</v>
      </c>
      <c r="C935" t="s">
        <v>425</v>
      </c>
      <c r="D935">
        <v>0</v>
      </c>
      <c r="E935">
        <v>-941.64</v>
      </c>
      <c r="F935">
        <v>941.64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6653.7</v>
      </c>
      <c r="M935">
        <v>-6653.7</v>
      </c>
      <c r="N935">
        <v>0</v>
      </c>
    </row>
    <row r="936" spans="1:14" x14ac:dyDescent="0.25">
      <c r="A936" t="e">
        <f t="shared" si="28"/>
        <v>#VALUE!</v>
      </c>
      <c r="B936" t="e">
        <f t="shared" si="29"/>
        <v>#VALUE!</v>
      </c>
      <c r="C936" t="s">
        <v>422</v>
      </c>
      <c r="D936" s="14" t="s">
        <v>444</v>
      </c>
      <c r="E936">
        <v>0</v>
      </c>
      <c r="F936">
        <v>3594.55</v>
      </c>
      <c r="G936">
        <v>0</v>
      </c>
      <c r="H936">
        <v>0</v>
      </c>
      <c r="I936">
        <v>50449.95</v>
      </c>
      <c r="J936">
        <v>-3594.55</v>
      </c>
      <c r="K936">
        <v>0</v>
      </c>
      <c r="L936">
        <v>0</v>
      </c>
      <c r="M936">
        <v>-50449.95</v>
      </c>
      <c r="N936">
        <v>0</v>
      </c>
    </row>
    <row r="937" spans="1:14" x14ac:dyDescent="0.25">
      <c r="A937" t="e">
        <f t="shared" si="28"/>
        <v>#VALUE!</v>
      </c>
      <c r="B937" t="e">
        <f t="shared" si="29"/>
        <v>#VALUE!</v>
      </c>
      <c r="C937" t="s">
        <v>445</v>
      </c>
      <c r="D937" s="15" t="s">
        <v>446</v>
      </c>
      <c r="E937" s="15"/>
      <c r="F937" s="15"/>
      <c r="G937" s="34"/>
      <c r="H937" s="15"/>
      <c r="I937" s="15"/>
      <c r="J937" s="15"/>
      <c r="K937" s="15"/>
      <c r="L937" s="15"/>
      <c r="M937" s="15"/>
      <c r="N937" s="34"/>
    </row>
    <row r="938" spans="1:14" x14ac:dyDescent="0.25">
      <c r="A938" t="e">
        <f t="shared" si="28"/>
        <v>#VALUE!</v>
      </c>
      <c r="B938" t="e">
        <f t="shared" si="29"/>
        <v>#VALUE!</v>
      </c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25">
      <c r="A939" t="e">
        <f t="shared" si="28"/>
        <v>#VALUE!</v>
      </c>
      <c r="B939" t="e">
        <f t="shared" si="29"/>
        <v>#VALUE!</v>
      </c>
      <c r="C939" s="14">
        <v>7620</v>
      </c>
      <c r="D939" s="14">
        <v>7620</v>
      </c>
      <c r="E939"/>
      <c r="F939"/>
      <c r="G939"/>
      <c r="H939"/>
      <c r="I939"/>
      <c r="J939"/>
      <c r="K939"/>
      <c r="L939"/>
      <c r="M939"/>
      <c r="N939"/>
    </row>
    <row r="940" spans="1:14" x14ac:dyDescent="0.25">
      <c r="A940" t="e">
        <f t="shared" si="28"/>
        <v>#VALUE!</v>
      </c>
      <c r="B940" t="e">
        <f t="shared" si="29"/>
        <v>#VALUE!</v>
      </c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25">
      <c r="A941" t="e">
        <f t="shared" si="28"/>
        <v>#VALUE!</v>
      </c>
      <c r="B941" t="e">
        <f t="shared" si="29"/>
        <v>#VALUE!</v>
      </c>
      <c r="D941" s="14">
        <v>0</v>
      </c>
      <c r="E941"/>
      <c r="F941"/>
      <c r="G941"/>
      <c r="H941"/>
      <c r="I941"/>
      <c r="J941"/>
      <c r="K941"/>
      <c r="L941"/>
      <c r="M941"/>
      <c r="N941"/>
    </row>
    <row r="942" spans="1:14" x14ac:dyDescent="0.25">
      <c r="A942" t="str">
        <f t="shared" si="28"/>
        <v>1056130</v>
      </c>
      <c r="B942" t="str">
        <f t="shared" si="29"/>
        <v xml:space="preserve"> ATT - A055ZJ0 - 24239 Hesperian Blvd Hay</v>
      </c>
      <c r="C942" t="s">
        <v>478</v>
      </c>
      <c r="D942" s="15">
        <v>0</v>
      </c>
      <c r="E942" s="15">
        <v>0</v>
      </c>
      <c r="F942" s="15">
        <v>0</v>
      </c>
      <c r="G942" s="34">
        <v>0</v>
      </c>
      <c r="H942" s="15">
        <v>7621.44</v>
      </c>
      <c r="I942" s="15">
        <v>0</v>
      </c>
      <c r="J942" s="15">
        <v>7620</v>
      </c>
      <c r="K942" s="15">
        <v>7621.44</v>
      </c>
      <c r="L942" s="15">
        <v>6032.93</v>
      </c>
      <c r="M942" s="15">
        <v>1588.51</v>
      </c>
      <c r="N942" s="34">
        <v>20.842649158164299</v>
      </c>
    </row>
    <row r="943" spans="1:14" x14ac:dyDescent="0.25">
      <c r="A943" t="e">
        <f t="shared" si="28"/>
        <v>#VALUE!</v>
      </c>
      <c r="B943" t="e">
        <f t="shared" si="29"/>
        <v>#VALUE!</v>
      </c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25">
      <c r="A944" t="e">
        <f t="shared" si="28"/>
        <v>#VALUE!</v>
      </c>
      <c r="B944" t="e">
        <f t="shared" si="29"/>
        <v>#VALUE!</v>
      </c>
      <c r="C944" s="14">
        <v>292100</v>
      </c>
      <c r="D944" s="14">
        <v>292100</v>
      </c>
      <c r="E944"/>
      <c r="F944"/>
      <c r="G944"/>
      <c r="H944"/>
      <c r="I944"/>
      <c r="J944"/>
      <c r="K944"/>
      <c r="L944"/>
      <c r="M944"/>
      <c r="N944"/>
    </row>
    <row r="945" spans="1:14" x14ac:dyDescent="0.25">
      <c r="A945" t="e">
        <f t="shared" si="28"/>
        <v>#VALUE!</v>
      </c>
      <c r="B945" t="e">
        <f t="shared" si="29"/>
        <v>#VALUE!</v>
      </c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25">
      <c r="A946" t="e">
        <f t="shared" si="28"/>
        <v>#VALUE!</v>
      </c>
      <c r="B946" t="e">
        <f t="shared" si="29"/>
        <v>#VALUE!</v>
      </c>
      <c r="D946" s="14">
        <v>0</v>
      </c>
      <c r="E946"/>
      <c r="F946"/>
      <c r="G946"/>
      <c r="H946"/>
      <c r="I946"/>
      <c r="J946"/>
      <c r="K946"/>
      <c r="L946"/>
      <c r="M946"/>
      <c r="N946"/>
    </row>
    <row r="947" spans="1:14" x14ac:dyDescent="0.25">
      <c r="A947" t="str">
        <f t="shared" si="28"/>
        <v>1056133</v>
      </c>
      <c r="B947" t="str">
        <f t="shared" si="29"/>
        <v xml:space="preserve"> ATT - A050HNP - Crestfield Dr Castro Val</v>
      </c>
      <c r="C947" t="s">
        <v>552</v>
      </c>
      <c r="D947" s="15">
        <v>0</v>
      </c>
      <c r="E947" s="15">
        <v>0</v>
      </c>
      <c r="F947" s="15">
        <v>0</v>
      </c>
      <c r="G947" s="34">
        <v>0</v>
      </c>
      <c r="H947" s="15">
        <v>292022</v>
      </c>
      <c r="I947" s="15">
        <v>0</v>
      </c>
      <c r="J947" s="15">
        <v>292100</v>
      </c>
      <c r="K947" s="15">
        <v>292022</v>
      </c>
      <c r="L947" s="15">
        <v>312670.13</v>
      </c>
      <c r="M947" s="15">
        <v>-20648.13</v>
      </c>
      <c r="N947" s="34">
        <v>-7.0707446699221297</v>
      </c>
    </row>
    <row r="948" spans="1:14" x14ac:dyDescent="0.25">
      <c r="A948" t="e">
        <f t="shared" si="28"/>
        <v>#VALUE!</v>
      </c>
      <c r="B948" t="e">
        <f t="shared" si="29"/>
        <v>#VALUE!</v>
      </c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25">
      <c r="A949" t="e">
        <f t="shared" si="28"/>
        <v>#VALUE!</v>
      </c>
      <c r="B949" t="e">
        <f t="shared" si="29"/>
        <v>#VALUE!</v>
      </c>
      <c r="C949" s="14">
        <v>160735</v>
      </c>
      <c r="D949" s="14">
        <v>160735</v>
      </c>
      <c r="E949"/>
      <c r="F949"/>
      <c r="G949"/>
      <c r="H949"/>
      <c r="I949"/>
      <c r="J949"/>
      <c r="K949"/>
      <c r="L949"/>
      <c r="M949"/>
      <c r="N949"/>
    </row>
    <row r="950" spans="1:14" x14ac:dyDescent="0.25">
      <c r="A950" t="e">
        <f t="shared" si="28"/>
        <v>#VALUE!</v>
      </c>
      <c r="B950" t="e">
        <f t="shared" si="29"/>
        <v>#VALUE!</v>
      </c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25">
      <c r="A951" t="e">
        <f t="shared" si="28"/>
        <v>#VALUE!</v>
      </c>
      <c r="B951" t="e">
        <f t="shared" si="29"/>
        <v>#VALUE!</v>
      </c>
      <c r="D951" s="14">
        <v>0</v>
      </c>
      <c r="E951"/>
      <c r="F951"/>
      <c r="G951"/>
      <c r="H951"/>
      <c r="I951"/>
      <c r="J951"/>
      <c r="K951"/>
      <c r="L951"/>
      <c r="M951"/>
      <c r="N951"/>
    </row>
    <row r="952" spans="1:14" x14ac:dyDescent="0.25">
      <c r="A952" t="str">
        <f t="shared" si="28"/>
        <v>1056146</v>
      </c>
      <c r="B952" t="str">
        <f t="shared" si="29"/>
        <v xml:space="preserve"> ATT - A05246A - Various - El Cerrito</v>
      </c>
      <c r="C952" t="s">
        <v>595</v>
      </c>
      <c r="D952" s="15">
        <v>0</v>
      </c>
      <c r="E952" s="15">
        <v>0</v>
      </c>
      <c r="F952" s="15">
        <v>0</v>
      </c>
      <c r="G952" s="34">
        <v>0</v>
      </c>
      <c r="H952" s="15">
        <v>160735</v>
      </c>
      <c r="I952" s="15">
        <v>0</v>
      </c>
      <c r="J952" s="15">
        <v>160735</v>
      </c>
      <c r="K952" s="15">
        <v>160735</v>
      </c>
      <c r="L952" s="15">
        <v>154052.9</v>
      </c>
      <c r="M952" s="15">
        <v>6682.1</v>
      </c>
      <c r="N952" s="34">
        <v>4.1572152922512204</v>
      </c>
    </row>
    <row r="953" spans="1:14" x14ac:dyDescent="0.25">
      <c r="A953" t="e">
        <f t="shared" si="28"/>
        <v>#VALUE!</v>
      </c>
      <c r="B953" t="e">
        <f t="shared" si="29"/>
        <v>#VALUE!</v>
      </c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25">
      <c r="A954" t="e">
        <f t="shared" si="28"/>
        <v>#VALUE!</v>
      </c>
      <c r="B954" t="e">
        <f t="shared" si="29"/>
        <v>#VALUE!</v>
      </c>
      <c r="C954" s="14">
        <v>545470</v>
      </c>
      <c r="D954" s="14">
        <v>545470</v>
      </c>
      <c r="E954"/>
      <c r="F954"/>
      <c r="G954"/>
      <c r="H954"/>
      <c r="I954"/>
      <c r="J954"/>
      <c r="K954"/>
      <c r="L954"/>
      <c r="M954"/>
      <c r="N954"/>
    </row>
    <row r="955" spans="1:14" x14ac:dyDescent="0.25">
      <c r="A955" t="e">
        <f t="shared" si="28"/>
        <v>#VALUE!</v>
      </c>
      <c r="B955" t="e">
        <f t="shared" si="29"/>
        <v>#VALUE!</v>
      </c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25">
      <c r="A956" t="e">
        <f t="shared" si="28"/>
        <v>#VALUE!</v>
      </c>
      <c r="B956" t="e">
        <f t="shared" si="29"/>
        <v>#VALUE!</v>
      </c>
      <c r="D956" s="14">
        <v>0</v>
      </c>
      <c r="E956"/>
      <c r="F956"/>
      <c r="G956"/>
      <c r="H956"/>
      <c r="I956"/>
      <c r="J956"/>
      <c r="K956"/>
      <c r="L956"/>
      <c r="M956"/>
      <c r="N956"/>
    </row>
    <row r="957" spans="1:14" x14ac:dyDescent="0.25">
      <c r="A957" t="str">
        <f t="shared" si="28"/>
        <v>1056152</v>
      </c>
      <c r="B957" t="str">
        <f t="shared" si="29"/>
        <v xml:space="preserve"> ATT - A02WQZT - Newark</v>
      </c>
      <c r="C957" t="s">
        <v>603</v>
      </c>
      <c r="D957" s="15">
        <v>0</v>
      </c>
      <c r="E957" s="15">
        <v>0</v>
      </c>
      <c r="F957" s="15">
        <v>0</v>
      </c>
      <c r="G957" s="34">
        <v>0</v>
      </c>
      <c r="H957" s="15">
        <v>576679</v>
      </c>
      <c r="I957" s="15">
        <v>0</v>
      </c>
      <c r="J957" s="15">
        <v>545470</v>
      </c>
      <c r="K957" s="15">
        <v>576679</v>
      </c>
      <c r="L957" s="15">
        <v>454104.83</v>
      </c>
      <c r="M957" s="15">
        <v>122574.17</v>
      </c>
      <c r="N957" s="34">
        <v>21.255181825590999</v>
      </c>
    </row>
    <row r="958" spans="1:14" x14ac:dyDescent="0.25">
      <c r="A958" t="e">
        <f t="shared" si="28"/>
        <v>#VALUE!</v>
      </c>
      <c r="B958" t="e">
        <f t="shared" si="29"/>
        <v>#VALUE!</v>
      </c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25">
      <c r="A959" t="e">
        <f t="shared" si="28"/>
        <v>#VALUE!</v>
      </c>
      <c r="B959" t="e">
        <f t="shared" si="29"/>
        <v>#VALUE!</v>
      </c>
      <c r="C959" s="14">
        <v>532075</v>
      </c>
      <c r="D959" s="14">
        <v>532075</v>
      </c>
      <c r="E959"/>
      <c r="F959"/>
      <c r="G959"/>
      <c r="H959"/>
      <c r="I959"/>
      <c r="J959"/>
      <c r="K959"/>
      <c r="L959"/>
      <c r="M959"/>
      <c r="N959"/>
    </row>
    <row r="960" spans="1:14" x14ac:dyDescent="0.25">
      <c r="A960" t="e">
        <f t="shared" si="28"/>
        <v>#VALUE!</v>
      </c>
      <c r="B960" t="e">
        <f t="shared" si="29"/>
        <v>#VALUE!</v>
      </c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25">
      <c r="A961" t="e">
        <f t="shared" si="28"/>
        <v>#VALUE!</v>
      </c>
      <c r="B961" t="e">
        <f t="shared" si="29"/>
        <v>#VALUE!</v>
      </c>
      <c r="D961" s="14">
        <v>0</v>
      </c>
      <c r="E961"/>
      <c r="F961"/>
      <c r="G961"/>
      <c r="H961"/>
      <c r="I961"/>
      <c r="J961"/>
      <c r="K961"/>
      <c r="L961"/>
      <c r="M961"/>
      <c r="N961"/>
    </row>
    <row r="962" spans="1:14" x14ac:dyDescent="0.25">
      <c r="A962" t="str">
        <f t="shared" si="28"/>
        <v>1056153</v>
      </c>
      <c r="B962" t="str">
        <f t="shared" si="29"/>
        <v xml:space="preserve"> ATT - A050Z6H - Foster City</v>
      </c>
      <c r="C962" t="s">
        <v>604</v>
      </c>
      <c r="D962" s="15">
        <v>0</v>
      </c>
      <c r="E962" s="15">
        <v>0</v>
      </c>
      <c r="F962" s="15">
        <v>0</v>
      </c>
      <c r="G962" s="34">
        <v>0</v>
      </c>
      <c r="H962" s="15">
        <v>532384</v>
      </c>
      <c r="I962" s="15">
        <v>0</v>
      </c>
      <c r="J962" s="15">
        <v>532075</v>
      </c>
      <c r="K962" s="15">
        <v>532384</v>
      </c>
      <c r="L962" s="15">
        <v>453928.28</v>
      </c>
      <c r="M962" s="15">
        <v>78455.72</v>
      </c>
      <c r="N962" s="34">
        <v>14.736678788243101</v>
      </c>
    </row>
    <row r="963" spans="1:14" x14ac:dyDescent="0.25">
      <c r="A963" t="e">
        <f t="shared" si="28"/>
        <v>#VALUE!</v>
      </c>
      <c r="B963" t="e">
        <f t="shared" si="29"/>
        <v>#VALUE!</v>
      </c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25">
      <c r="A964" t="e">
        <f t="shared" si="28"/>
        <v>#VALUE!</v>
      </c>
      <c r="B964" t="e">
        <f t="shared" si="29"/>
        <v>#VALUE!</v>
      </c>
      <c r="C964" s="14">
        <v>8795</v>
      </c>
      <c r="D964" s="14">
        <v>8795</v>
      </c>
      <c r="E964"/>
      <c r="F964"/>
      <c r="G964"/>
      <c r="H964"/>
      <c r="I964"/>
      <c r="J964"/>
      <c r="K964"/>
      <c r="L964"/>
      <c r="M964"/>
      <c r="N964"/>
    </row>
    <row r="965" spans="1:14" x14ac:dyDescent="0.25">
      <c r="A965" t="e">
        <f t="shared" ref="A965:A1028" si="30">LEFT(C965,FIND(" ",C965)-1)</f>
        <v>#VALUE!</v>
      </c>
      <c r="B965" t="e">
        <f t="shared" ref="B965:B1028" si="31">RIGHT(C965,LEN(C965)-FIND(" ",C965))</f>
        <v>#VALUE!</v>
      </c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25">
      <c r="A966" t="e">
        <f t="shared" si="30"/>
        <v>#VALUE!</v>
      </c>
      <c r="B966" t="e">
        <f t="shared" si="31"/>
        <v>#VALUE!</v>
      </c>
      <c r="D966" s="14">
        <v>0</v>
      </c>
      <c r="E966"/>
      <c r="F966"/>
      <c r="G966"/>
      <c r="H966"/>
      <c r="I966"/>
      <c r="J966"/>
      <c r="K966"/>
      <c r="L966"/>
      <c r="M966"/>
      <c r="N966"/>
    </row>
    <row r="967" spans="1:14" x14ac:dyDescent="0.25">
      <c r="A967" t="str">
        <f t="shared" si="30"/>
        <v>1056154</v>
      </c>
      <c r="B967" t="str">
        <f t="shared" si="31"/>
        <v xml:space="preserve"> ATT - A050NAK - Splicing</v>
      </c>
      <c r="C967" t="s">
        <v>794</v>
      </c>
      <c r="D967" s="15">
        <v>0</v>
      </c>
      <c r="E967" s="15">
        <v>0</v>
      </c>
      <c r="F967" s="15">
        <v>0</v>
      </c>
      <c r="G967" s="34">
        <v>0</v>
      </c>
      <c r="H967" s="15">
        <v>8020</v>
      </c>
      <c r="I967" s="15">
        <v>0</v>
      </c>
      <c r="J967" s="15">
        <v>8795</v>
      </c>
      <c r="K967" s="15">
        <v>8020</v>
      </c>
      <c r="L967" s="15">
        <v>5499.72</v>
      </c>
      <c r="M967" s="15">
        <v>2520.2800000000002</v>
      </c>
      <c r="N967" s="34">
        <v>31.424937655860301</v>
      </c>
    </row>
    <row r="968" spans="1:14" x14ac:dyDescent="0.25">
      <c r="A968" t="e">
        <f t="shared" si="30"/>
        <v>#VALUE!</v>
      </c>
      <c r="B968" t="e">
        <f t="shared" si="31"/>
        <v>#VALUE!</v>
      </c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25">
      <c r="A969" t="e">
        <f t="shared" si="30"/>
        <v>#VALUE!</v>
      </c>
      <c r="B969" t="e">
        <f t="shared" si="31"/>
        <v>#VALUE!</v>
      </c>
      <c r="C969" s="14">
        <v>44040</v>
      </c>
      <c r="D969" s="14">
        <v>44040</v>
      </c>
      <c r="E969"/>
      <c r="F969"/>
      <c r="G969"/>
      <c r="H969"/>
      <c r="I969"/>
      <c r="J969"/>
      <c r="K969"/>
      <c r="L969"/>
      <c r="M969"/>
      <c r="N969"/>
    </row>
    <row r="970" spans="1:14" x14ac:dyDescent="0.25">
      <c r="A970" t="e">
        <f t="shared" si="30"/>
        <v>#VALUE!</v>
      </c>
      <c r="B970" t="e">
        <f t="shared" si="31"/>
        <v>#VALUE!</v>
      </c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25">
      <c r="A971" t="e">
        <f t="shared" si="30"/>
        <v>#VALUE!</v>
      </c>
      <c r="B971" t="e">
        <f t="shared" si="31"/>
        <v>#VALUE!</v>
      </c>
      <c r="D971" s="14">
        <v>0</v>
      </c>
      <c r="E971"/>
      <c r="F971"/>
      <c r="G971"/>
      <c r="H971"/>
      <c r="I971"/>
      <c r="J971"/>
      <c r="K971"/>
      <c r="L971"/>
      <c r="M971"/>
      <c r="N971"/>
    </row>
    <row r="972" spans="1:14" x14ac:dyDescent="0.25">
      <c r="A972" t="str">
        <f t="shared" si="30"/>
        <v>1056156</v>
      </c>
      <c r="B972" t="str">
        <f t="shared" si="31"/>
        <v xml:space="preserve"> ATT - A057N0N - Broadway St Oakland</v>
      </c>
      <c r="C972" t="s">
        <v>633</v>
      </c>
      <c r="D972" s="15">
        <v>0</v>
      </c>
      <c r="E972" s="15">
        <v>0</v>
      </c>
      <c r="F972" s="15">
        <v>0</v>
      </c>
      <c r="G972" s="34">
        <v>0</v>
      </c>
      <c r="H972" s="15">
        <v>65094.46</v>
      </c>
      <c r="I972" s="15">
        <v>0</v>
      </c>
      <c r="J972" s="15">
        <v>44040</v>
      </c>
      <c r="K972" s="15">
        <v>65094.46</v>
      </c>
      <c r="L972" s="15">
        <v>19403.61</v>
      </c>
      <c r="M972" s="15">
        <v>45690.85</v>
      </c>
      <c r="N972" s="34">
        <v>70.191610776093697</v>
      </c>
    </row>
    <row r="973" spans="1:14" x14ac:dyDescent="0.25">
      <c r="A973" t="e">
        <f t="shared" si="30"/>
        <v>#VALUE!</v>
      </c>
      <c r="B973" t="e">
        <f t="shared" si="31"/>
        <v>#VALUE!</v>
      </c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25">
      <c r="A974" t="e">
        <f t="shared" si="30"/>
        <v>#VALUE!</v>
      </c>
      <c r="B974" t="e">
        <f t="shared" si="31"/>
        <v>#VALUE!</v>
      </c>
      <c r="C974" s="14">
        <v>7100</v>
      </c>
      <c r="D974" s="14">
        <v>7100</v>
      </c>
      <c r="E974"/>
      <c r="F974"/>
      <c r="G974"/>
      <c r="H974"/>
      <c r="I974"/>
      <c r="J974"/>
      <c r="K974"/>
      <c r="L974"/>
      <c r="M974"/>
      <c r="N974"/>
    </row>
    <row r="975" spans="1:14" x14ac:dyDescent="0.25">
      <c r="A975" t="e">
        <f t="shared" si="30"/>
        <v>#VALUE!</v>
      </c>
      <c r="B975" t="e">
        <f t="shared" si="31"/>
        <v>#VALUE!</v>
      </c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25">
      <c r="A976" t="e">
        <f t="shared" si="30"/>
        <v>#VALUE!</v>
      </c>
      <c r="B976" t="e">
        <f t="shared" si="31"/>
        <v>#VALUE!</v>
      </c>
      <c r="D976" s="14">
        <v>0</v>
      </c>
      <c r="E976"/>
      <c r="F976"/>
      <c r="G976"/>
      <c r="H976"/>
      <c r="I976"/>
      <c r="J976"/>
      <c r="K976"/>
      <c r="L976"/>
      <c r="M976"/>
      <c r="N976"/>
    </row>
    <row r="977" spans="1:14" x14ac:dyDescent="0.25">
      <c r="A977" t="str">
        <f t="shared" si="30"/>
        <v>1056162</v>
      </c>
      <c r="B977" t="str">
        <f t="shared" si="31"/>
        <v xml:space="preserve"> ATT - A055YA7 - Williams St San Leandro</v>
      </c>
      <c r="C977" t="s">
        <v>660</v>
      </c>
      <c r="D977" s="15">
        <v>0</v>
      </c>
      <c r="E977" s="15">
        <v>0</v>
      </c>
      <c r="F977" s="15">
        <v>0</v>
      </c>
      <c r="G977" s="34">
        <v>0</v>
      </c>
      <c r="H977" s="15">
        <v>0</v>
      </c>
      <c r="I977" s="15">
        <v>3967.6</v>
      </c>
      <c r="J977" s="15">
        <v>7100</v>
      </c>
      <c r="K977" s="15">
        <v>3967.6</v>
      </c>
      <c r="L977" s="15">
        <v>3217.09</v>
      </c>
      <c r="M977" s="15">
        <v>750.51</v>
      </c>
      <c r="N977" s="34">
        <v>18.915969351749201</v>
      </c>
    </row>
    <row r="978" spans="1:14" x14ac:dyDescent="0.25">
      <c r="A978" t="e">
        <f t="shared" si="30"/>
        <v>#VALUE!</v>
      </c>
      <c r="B978" t="e">
        <f t="shared" si="31"/>
        <v>#VALUE!</v>
      </c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25">
      <c r="A979" t="e">
        <f t="shared" si="30"/>
        <v>#VALUE!</v>
      </c>
      <c r="B979" t="e">
        <f t="shared" si="31"/>
        <v>#VALUE!</v>
      </c>
      <c r="C979" s="14">
        <v>1061621.8500000001</v>
      </c>
      <c r="D979" s="14">
        <v>1061621.8500000001</v>
      </c>
      <c r="E979"/>
      <c r="F979"/>
      <c r="G979"/>
      <c r="H979"/>
      <c r="I979"/>
      <c r="J979"/>
      <c r="K979"/>
      <c r="L979"/>
      <c r="M979"/>
      <c r="N979"/>
    </row>
    <row r="980" spans="1:14" x14ac:dyDescent="0.25">
      <c r="A980" t="e">
        <f t="shared" si="30"/>
        <v>#VALUE!</v>
      </c>
      <c r="B980" t="e">
        <f t="shared" si="31"/>
        <v>#VALUE!</v>
      </c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25">
      <c r="A981" t="e">
        <f t="shared" si="30"/>
        <v>#VALUE!</v>
      </c>
      <c r="B981" t="e">
        <f t="shared" si="31"/>
        <v>#VALUE!</v>
      </c>
      <c r="D981" s="14">
        <v>0</v>
      </c>
      <c r="E981"/>
      <c r="F981"/>
      <c r="G981"/>
      <c r="H981"/>
      <c r="I981"/>
      <c r="J981"/>
      <c r="K981"/>
      <c r="L981"/>
      <c r="M981"/>
      <c r="N981"/>
    </row>
    <row r="982" spans="1:14" x14ac:dyDescent="0.25">
      <c r="A982" t="str">
        <f t="shared" si="30"/>
        <v>1056204</v>
      </c>
      <c r="B982" t="str">
        <f t="shared" si="31"/>
        <v xml:space="preserve"> ATT - A053D20 - St Helena</v>
      </c>
      <c r="C982" t="s">
        <v>768</v>
      </c>
      <c r="D982" s="15">
        <v>-16.850000000000001</v>
      </c>
      <c r="E982" s="15">
        <v>-7.42</v>
      </c>
      <c r="F982" s="15">
        <v>-9.43</v>
      </c>
      <c r="G982" s="34">
        <v>0</v>
      </c>
      <c r="H982" s="15">
        <v>1061605</v>
      </c>
      <c r="I982" s="15">
        <v>0</v>
      </c>
      <c r="J982" s="15">
        <v>1061621.8500000001</v>
      </c>
      <c r="K982" s="15">
        <v>1061605</v>
      </c>
      <c r="L982" s="15">
        <v>955831.59</v>
      </c>
      <c r="M982" s="15">
        <v>105773.41</v>
      </c>
      <c r="N982" s="34">
        <v>9.96353728552522</v>
      </c>
    </row>
    <row r="983" spans="1:14" x14ac:dyDescent="0.25">
      <c r="A983" t="e">
        <f t="shared" si="30"/>
        <v>#VALUE!</v>
      </c>
      <c r="B983" t="e">
        <f t="shared" si="31"/>
        <v>#VALUE!</v>
      </c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25">
      <c r="A984" t="e">
        <f t="shared" si="30"/>
        <v>#VALUE!</v>
      </c>
      <c r="B984" t="e">
        <f t="shared" si="31"/>
        <v>#VALUE!</v>
      </c>
      <c r="C984" s="14">
        <v>21110</v>
      </c>
      <c r="D984" s="14">
        <v>21110</v>
      </c>
      <c r="E984"/>
      <c r="F984"/>
      <c r="G984"/>
      <c r="H984"/>
      <c r="I984"/>
      <c r="J984"/>
      <c r="K984"/>
      <c r="L984"/>
      <c r="M984"/>
      <c r="N984"/>
    </row>
    <row r="985" spans="1:14" x14ac:dyDescent="0.25">
      <c r="A985" t="e">
        <f t="shared" si="30"/>
        <v>#VALUE!</v>
      </c>
      <c r="B985" t="e">
        <f t="shared" si="31"/>
        <v>#VALUE!</v>
      </c>
      <c r="D985"/>
      <c r="E985"/>
      <c r="F985"/>
      <c r="G985"/>
      <c r="H985"/>
      <c r="I985"/>
      <c r="J985"/>
      <c r="K985"/>
      <c r="L985"/>
      <c r="M985"/>
      <c r="N985"/>
    </row>
    <row r="986" spans="1:14" x14ac:dyDescent="0.25">
      <c r="A986" t="e">
        <f>LEFT(C986,FIND(" ",C986)-1)</f>
        <v>#VALUE!</v>
      </c>
      <c r="B986" t="e">
        <f t="shared" si="31"/>
        <v>#VALUE!</v>
      </c>
      <c r="D986" s="14">
        <v>0</v>
      </c>
      <c r="E986"/>
      <c r="F986"/>
      <c r="G986"/>
      <c r="H986"/>
      <c r="I986"/>
      <c r="J986"/>
      <c r="K986"/>
      <c r="L986"/>
      <c r="M986"/>
      <c r="N986"/>
    </row>
    <row r="987" spans="1:14" x14ac:dyDescent="0.25">
      <c r="A987" t="str">
        <f t="shared" si="30"/>
        <v>1056205</v>
      </c>
      <c r="B987" t="str">
        <f t="shared" si="31"/>
        <v xml:space="preserve"> ATT - A02TN2E - B St Hayward</v>
      </c>
      <c r="C987" t="s">
        <v>786</v>
      </c>
      <c r="D987" s="15">
        <v>0</v>
      </c>
      <c r="E987" s="15">
        <v>0</v>
      </c>
      <c r="F987" s="15">
        <v>0</v>
      </c>
      <c r="G987" s="34">
        <v>0</v>
      </c>
      <c r="H987" s="15">
        <v>0</v>
      </c>
      <c r="I987" s="15">
        <v>21107.85</v>
      </c>
      <c r="J987" s="15">
        <v>21110</v>
      </c>
      <c r="K987" s="15">
        <v>21107.85</v>
      </c>
      <c r="L987" s="15">
        <v>22300.66</v>
      </c>
      <c r="M987" s="15">
        <v>-1192.81</v>
      </c>
      <c r="N987" s="34">
        <v>-5.65102556631774</v>
      </c>
    </row>
    <row r="988" spans="1:14" x14ac:dyDescent="0.25">
      <c r="A988" t="e">
        <f t="shared" si="30"/>
        <v>#VALUE!</v>
      </c>
      <c r="B988" t="e">
        <f t="shared" si="31"/>
        <v>#VALUE!</v>
      </c>
      <c r="D988"/>
      <c r="E988"/>
      <c r="F988"/>
      <c r="G988"/>
      <c r="H988"/>
      <c r="I988"/>
      <c r="J988"/>
      <c r="K988"/>
      <c r="L988"/>
      <c r="M988"/>
      <c r="N988"/>
    </row>
    <row r="989" spans="1:14" x14ac:dyDescent="0.25">
      <c r="A989" t="e">
        <f t="shared" si="30"/>
        <v>#VALUE!</v>
      </c>
      <c r="B989" t="e">
        <f t="shared" si="31"/>
        <v>#VALUE!</v>
      </c>
      <c r="C989" s="14">
        <v>20580</v>
      </c>
      <c r="D989" s="14">
        <v>20580</v>
      </c>
      <c r="E989"/>
      <c r="F989"/>
      <c r="G989"/>
      <c r="H989"/>
      <c r="I989"/>
      <c r="J989"/>
      <c r="K989"/>
      <c r="L989"/>
      <c r="M989"/>
      <c r="N989"/>
    </row>
    <row r="990" spans="1:14" x14ac:dyDescent="0.25">
      <c r="A990" t="e">
        <f t="shared" si="30"/>
        <v>#VALUE!</v>
      </c>
      <c r="B990" t="e">
        <f t="shared" si="31"/>
        <v>#VALUE!</v>
      </c>
      <c r="D990"/>
      <c r="E990"/>
      <c r="F990"/>
      <c r="G990"/>
      <c r="H990"/>
      <c r="I990"/>
      <c r="J990"/>
      <c r="K990"/>
      <c r="L990"/>
      <c r="M990"/>
      <c r="N990"/>
    </row>
    <row r="991" spans="1:14" x14ac:dyDescent="0.25">
      <c r="A991" t="e">
        <f t="shared" si="30"/>
        <v>#VALUE!</v>
      </c>
      <c r="B991" t="e">
        <f t="shared" si="31"/>
        <v>#VALUE!</v>
      </c>
      <c r="D991" s="14">
        <v>0</v>
      </c>
      <c r="E991"/>
      <c r="F991"/>
      <c r="G991"/>
      <c r="H991"/>
      <c r="I991"/>
      <c r="J991"/>
      <c r="K991"/>
      <c r="L991"/>
      <c r="M991"/>
      <c r="N991"/>
    </row>
    <row r="992" spans="1:14" x14ac:dyDescent="0.25">
      <c r="A992" t="str">
        <f t="shared" si="30"/>
        <v>1056209</v>
      </c>
      <c r="B992" t="str">
        <f t="shared" si="31"/>
        <v xml:space="preserve"> ATT - A050R4B - 1936 East Ave Hayward</v>
      </c>
      <c r="C992" t="s">
        <v>769</v>
      </c>
      <c r="D992" s="15">
        <v>0</v>
      </c>
      <c r="E992" s="15">
        <v>0</v>
      </c>
      <c r="F992" s="15">
        <v>0</v>
      </c>
      <c r="G992" s="34">
        <v>0</v>
      </c>
      <c r="H992" s="15">
        <v>20579.23</v>
      </c>
      <c r="I992" s="15">
        <v>0</v>
      </c>
      <c r="J992" s="15">
        <v>20580</v>
      </c>
      <c r="K992" s="15">
        <v>20579.23</v>
      </c>
      <c r="L992" s="15">
        <v>14122.11</v>
      </c>
      <c r="M992" s="15">
        <v>6457.12</v>
      </c>
      <c r="N992" s="34">
        <v>31.376878532384399</v>
      </c>
    </row>
    <row r="993" spans="1:14" x14ac:dyDescent="0.25">
      <c r="A993" t="e">
        <f t="shared" si="30"/>
        <v>#VALUE!</v>
      </c>
      <c r="B993" t="e">
        <f t="shared" si="31"/>
        <v>#VALUE!</v>
      </c>
      <c r="D993"/>
      <c r="E993"/>
      <c r="F993"/>
      <c r="G993"/>
      <c r="H993"/>
      <c r="I993"/>
      <c r="J993"/>
      <c r="K993"/>
      <c r="L993"/>
      <c r="M993"/>
      <c r="N993"/>
    </row>
    <row r="994" spans="1:14" x14ac:dyDescent="0.25">
      <c r="A994" t="e">
        <f t="shared" si="30"/>
        <v>#VALUE!</v>
      </c>
      <c r="B994" t="e">
        <f t="shared" si="31"/>
        <v>#VALUE!</v>
      </c>
      <c r="C994" s="14">
        <v>30575</v>
      </c>
      <c r="D994" s="14">
        <v>30575</v>
      </c>
      <c r="E994"/>
      <c r="F994"/>
      <c r="G994"/>
      <c r="H994"/>
      <c r="I994"/>
      <c r="J994"/>
      <c r="K994"/>
      <c r="L994"/>
      <c r="M994"/>
      <c r="N994"/>
    </row>
    <row r="995" spans="1:14" x14ac:dyDescent="0.25">
      <c r="A995" t="e">
        <f t="shared" si="30"/>
        <v>#VALUE!</v>
      </c>
      <c r="B995" t="e">
        <f t="shared" si="31"/>
        <v>#VALUE!</v>
      </c>
      <c r="D995"/>
      <c r="E995"/>
      <c r="F995"/>
      <c r="G995"/>
      <c r="H995"/>
      <c r="I995"/>
      <c r="J995"/>
      <c r="K995"/>
      <c r="L995"/>
      <c r="M995"/>
      <c r="N995"/>
    </row>
    <row r="996" spans="1:14" x14ac:dyDescent="0.25">
      <c r="A996" t="e">
        <f t="shared" si="30"/>
        <v>#VALUE!</v>
      </c>
      <c r="B996" t="e">
        <f t="shared" si="31"/>
        <v>#VALUE!</v>
      </c>
      <c r="D996" s="14">
        <v>0</v>
      </c>
      <c r="E996"/>
      <c r="F996"/>
      <c r="G996"/>
      <c r="H996"/>
      <c r="I996"/>
      <c r="J996"/>
      <c r="K996"/>
      <c r="L996"/>
      <c r="M996"/>
      <c r="N996"/>
    </row>
    <row r="997" spans="1:14" x14ac:dyDescent="0.25">
      <c r="A997" t="str">
        <f t="shared" si="30"/>
        <v>1056212</v>
      </c>
      <c r="B997" t="str">
        <f t="shared" si="31"/>
        <v xml:space="preserve"> ATT - A058VW3 - 1075 40th St Emeryville</v>
      </c>
      <c r="C997" t="s">
        <v>818</v>
      </c>
      <c r="D997" s="15">
        <v>0</v>
      </c>
      <c r="E997" s="15">
        <v>0</v>
      </c>
      <c r="F997" s="15">
        <v>0</v>
      </c>
      <c r="G997" s="34">
        <v>0</v>
      </c>
      <c r="H997" s="15">
        <v>0</v>
      </c>
      <c r="I997" s="15">
        <v>30576.38</v>
      </c>
      <c r="J997" s="15">
        <v>30575</v>
      </c>
      <c r="K997" s="15">
        <v>30576.38</v>
      </c>
      <c r="L997" s="15">
        <v>17617.810000000001</v>
      </c>
      <c r="M997" s="15">
        <v>12958.57</v>
      </c>
      <c r="N997" s="34">
        <v>42.380981659699401</v>
      </c>
    </row>
    <row r="998" spans="1:14" x14ac:dyDescent="0.25">
      <c r="A998" t="e">
        <f t="shared" si="30"/>
        <v>#VALUE!</v>
      </c>
      <c r="B998" t="e">
        <f t="shared" si="31"/>
        <v>#VALUE!</v>
      </c>
      <c r="D998"/>
      <c r="E998"/>
      <c r="F998"/>
      <c r="G998"/>
      <c r="H998"/>
      <c r="I998"/>
      <c r="J998"/>
      <c r="K998"/>
      <c r="L998"/>
      <c r="M998"/>
      <c r="N998"/>
    </row>
    <row r="999" spans="1:14" x14ac:dyDescent="0.25">
      <c r="A999" t="e">
        <f t="shared" si="30"/>
        <v>#VALUE!</v>
      </c>
      <c r="B999" t="e">
        <f t="shared" si="31"/>
        <v>#VALUE!</v>
      </c>
      <c r="C999" s="14">
        <v>0</v>
      </c>
      <c r="D999" s="14">
        <v>0</v>
      </c>
      <c r="E999"/>
      <c r="F999"/>
      <c r="G999"/>
      <c r="H999"/>
      <c r="I999"/>
      <c r="J999"/>
      <c r="K999"/>
      <c r="L999"/>
      <c r="M999"/>
      <c r="N999"/>
    </row>
    <row r="1000" spans="1:14" x14ac:dyDescent="0.25">
      <c r="A1000" t="e">
        <f t="shared" si="30"/>
        <v>#VALUE!</v>
      </c>
      <c r="B1000" t="e">
        <f t="shared" si="31"/>
        <v>#VALUE!</v>
      </c>
      <c r="D1000"/>
      <c r="E1000"/>
      <c r="F1000"/>
      <c r="G1000"/>
      <c r="H1000"/>
      <c r="I1000"/>
      <c r="J1000"/>
      <c r="K1000"/>
      <c r="L1000"/>
      <c r="M1000"/>
      <c r="N1000"/>
    </row>
    <row r="1001" spans="1:14" x14ac:dyDescent="0.25">
      <c r="A1001" t="e">
        <f t="shared" si="30"/>
        <v>#VALUE!</v>
      </c>
      <c r="B1001" t="e">
        <f t="shared" si="31"/>
        <v>#VALUE!</v>
      </c>
      <c r="D1001" s="14">
        <v>0</v>
      </c>
      <c r="E1001"/>
      <c r="F1001"/>
      <c r="G1001"/>
      <c r="H1001"/>
      <c r="I1001"/>
      <c r="J1001"/>
      <c r="K1001"/>
      <c r="L1001"/>
      <c r="M1001"/>
      <c r="N1001"/>
    </row>
    <row r="1002" spans="1:14" x14ac:dyDescent="0.25">
      <c r="A1002" t="str">
        <f t="shared" si="30"/>
        <v>1056214</v>
      </c>
      <c r="B1002" t="str">
        <f t="shared" si="31"/>
        <v xml:space="preserve"> Sprint - 2024 Bay Area T&amp;E Rates</v>
      </c>
      <c r="C1002" t="s">
        <v>770</v>
      </c>
      <c r="D1002" s="15">
        <v>0</v>
      </c>
      <c r="E1002" s="15">
        <v>0</v>
      </c>
      <c r="F1002" s="15">
        <v>0</v>
      </c>
      <c r="G1002" s="34">
        <v>0</v>
      </c>
      <c r="H1002" s="15">
        <v>11346</v>
      </c>
      <c r="I1002" s="15">
        <v>0</v>
      </c>
      <c r="J1002" s="15">
        <v>0</v>
      </c>
      <c r="K1002" s="15">
        <v>11346</v>
      </c>
      <c r="L1002" s="15">
        <v>8389.49</v>
      </c>
      <c r="M1002" s="15">
        <v>2956.51</v>
      </c>
      <c r="N1002" s="34">
        <v>26.057729596333498</v>
      </c>
    </row>
    <row r="1003" spans="1:14" x14ac:dyDescent="0.25">
      <c r="A1003" t="e">
        <f t="shared" si="30"/>
        <v>#VALUE!</v>
      </c>
      <c r="B1003" t="e">
        <f t="shared" si="31"/>
        <v>#VALUE!</v>
      </c>
      <c r="D1003"/>
      <c r="E1003"/>
      <c r="F1003"/>
      <c r="G1003"/>
      <c r="H1003"/>
      <c r="I1003"/>
      <c r="J1003"/>
      <c r="K1003"/>
      <c r="L1003"/>
      <c r="M1003"/>
      <c r="N1003"/>
    </row>
    <row r="1004" spans="1:14" x14ac:dyDescent="0.25">
      <c r="A1004" t="e">
        <f t="shared" si="30"/>
        <v>#VALUE!</v>
      </c>
      <c r="B1004" t="e">
        <f t="shared" si="31"/>
        <v>#VALUE!</v>
      </c>
      <c r="C1004" s="14">
        <v>199560</v>
      </c>
      <c r="D1004" s="14">
        <v>199560</v>
      </c>
      <c r="E1004"/>
      <c r="F1004"/>
      <c r="G1004"/>
      <c r="H1004"/>
      <c r="I1004"/>
      <c r="J1004"/>
      <c r="K1004"/>
      <c r="L1004"/>
      <c r="M1004"/>
      <c r="N1004"/>
    </row>
    <row r="1005" spans="1:14" x14ac:dyDescent="0.25">
      <c r="A1005" t="e">
        <f t="shared" si="30"/>
        <v>#VALUE!</v>
      </c>
      <c r="B1005" t="e">
        <f t="shared" si="31"/>
        <v>#VALUE!</v>
      </c>
      <c r="D1005"/>
      <c r="E1005"/>
      <c r="F1005"/>
      <c r="G1005"/>
      <c r="H1005"/>
      <c r="I1005"/>
      <c r="J1005"/>
      <c r="K1005"/>
      <c r="L1005"/>
      <c r="M1005"/>
      <c r="N1005"/>
    </row>
    <row r="1006" spans="1:14" x14ac:dyDescent="0.25">
      <c r="A1006" t="e">
        <f t="shared" si="30"/>
        <v>#VALUE!</v>
      </c>
      <c r="B1006" t="e">
        <f t="shared" si="31"/>
        <v>#VALUE!</v>
      </c>
      <c r="D1006" s="14">
        <v>0</v>
      </c>
      <c r="E1006"/>
      <c r="F1006"/>
      <c r="G1006"/>
      <c r="H1006"/>
      <c r="I1006"/>
      <c r="J1006"/>
      <c r="K1006"/>
      <c r="L1006"/>
      <c r="M1006"/>
      <c r="N1006"/>
    </row>
    <row r="1007" spans="1:14" x14ac:dyDescent="0.25">
      <c r="A1007" t="str">
        <f t="shared" si="30"/>
        <v>1056215</v>
      </c>
      <c r="B1007" t="str">
        <f t="shared" si="31"/>
        <v xml:space="preserve"> ATT - A054P5Z - 493 Walsh Rd Atherton</v>
      </c>
      <c r="C1007" t="s">
        <v>819</v>
      </c>
      <c r="D1007" s="15">
        <v>0</v>
      </c>
      <c r="E1007" s="15">
        <v>0</v>
      </c>
      <c r="F1007" s="15">
        <v>0</v>
      </c>
      <c r="G1007" s="34">
        <v>0</v>
      </c>
      <c r="H1007" s="15">
        <v>1.86264514923096E-11</v>
      </c>
      <c r="I1007" s="15">
        <v>199561.94</v>
      </c>
      <c r="J1007" s="15">
        <v>199560</v>
      </c>
      <c r="K1007" s="15">
        <v>199561.94</v>
      </c>
      <c r="L1007" s="15">
        <v>162638.91</v>
      </c>
      <c r="M1007" s="15">
        <v>36923.03</v>
      </c>
      <c r="N1007" s="34">
        <v>18.502040018252</v>
      </c>
    </row>
    <row r="1008" spans="1:14" x14ac:dyDescent="0.25">
      <c r="A1008" t="e">
        <f t="shared" si="30"/>
        <v>#VALUE!</v>
      </c>
      <c r="B1008" t="e">
        <f t="shared" si="31"/>
        <v>#VALUE!</v>
      </c>
      <c r="D1008"/>
      <c r="E1008"/>
      <c r="F1008"/>
      <c r="G1008"/>
      <c r="H1008"/>
      <c r="I1008"/>
      <c r="J1008"/>
      <c r="K1008"/>
      <c r="L1008"/>
      <c r="M1008"/>
      <c r="N1008"/>
    </row>
    <row r="1009" spans="1:14" x14ac:dyDescent="0.25">
      <c r="A1009" t="e">
        <f t="shared" si="30"/>
        <v>#VALUE!</v>
      </c>
      <c r="B1009" t="e">
        <f t="shared" si="31"/>
        <v>#VALUE!</v>
      </c>
      <c r="C1009" s="14">
        <v>124700</v>
      </c>
      <c r="D1009" s="14">
        <v>124700</v>
      </c>
      <c r="E1009"/>
      <c r="F1009"/>
      <c r="G1009"/>
      <c r="H1009"/>
      <c r="I1009"/>
      <c r="J1009"/>
      <c r="K1009"/>
      <c r="L1009"/>
      <c r="M1009"/>
      <c r="N1009"/>
    </row>
    <row r="1010" spans="1:14" x14ac:dyDescent="0.25">
      <c r="A1010" t="e">
        <f t="shared" si="30"/>
        <v>#VALUE!</v>
      </c>
      <c r="B1010" t="e">
        <f t="shared" si="31"/>
        <v>#VALUE!</v>
      </c>
      <c r="D1010"/>
      <c r="E1010"/>
      <c r="F1010"/>
      <c r="G1010"/>
      <c r="H1010"/>
      <c r="I1010"/>
      <c r="J1010"/>
      <c r="K1010"/>
      <c r="L1010"/>
      <c r="M1010"/>
      <c r="N1010"/>
    </row>
    <row r="1011" spans="1:14" x14ac:dyDescent="0.25">
      <c r="A1011" t="e">
        <f t="shared" si="30"/>
        <v>#VALUE!</v>
      </c>
      <c r="B1011" t="e">
        <f t="shared" si="31"/>
        <v>#VALUE!</v>
      </c>
      <c r="D1011" s="14">
        <v>0</v>
      </c>
      <c r="E1011"/>
      <c r="F1011"/>
      <c r="G1011"/>
      <c r="H1011"/>
      <c r="I1011"/>
      <c r="J1011"/>
      <c r="K1011"/>
      <c r="L1011"/>
      <c r="M1011"/>
      <c r="N1011"/>
    </row>
    <row r="1012" spans="1:14" x14ac:dyDescent="0.25">
      <c r="A1012" t="str">
        <f t="shared" si="30"/>
        <v>1056220</v>
      </c>
      <c r="B1012" t="str">
        <f t="shared" si="31"/>
        <v xml:space="preserve"> ATT - A051MPE - 1518 Rishell Dr Concord</v>
      </c>
      <c r="C1012" t="s">
        <v>832</v>
      </c>
      <c r="D1012" s="15">
        <v>0</v>
      </c>
      <c r="E1012" s="15">
        <v>0</v>
      </c>
      <c r="F1012" s="15">
        <v>0</v>
      </c>
      <c r="G1012" s="34">
        <v>0</v>
      </c>
      <c r="H1012" s="15">
        <v>-9.3132257461547902E-12</v>
      </c>
      <c r="I1012" s="15">
        <v>124536.5</v>
      </c>
      <c r="J1012" s="15">
        <v>124700</v>
      </c>
      <c r="K1012" s="15">
        <v>124536.5</v>
      </c>
      <c r="L1012" s="15">
        <v>111642.37</v>
      </c>
      <c r="M1012" s="15">
        <v>12894.13</v>
      </c>
      <c r="N1012" s="34">
        <v>10.353695502924801</v>
      </c>
    </row>
    <row r="1013" spans="1:14" x14ac:dyDescent="0.25">
      <c r="A1013" t="e">
        <f t="shared" si="30"/>
        <v>#VALUE!</v>
      </c>
      <c r="B1013" t="e">
        <f t="shared" si="31"/>
        <v>#VALUE!</v>
      </c>
      <c r="D1013"/>
      <c r="E1013"/>
      <c r="F1013"/>
      <c r="G1013"/>
      <c r="H1013"/>
      <c r="I1013"/>
      <c r="J1013"/>
      <c r="K1013"/>
      <c r="L1013"/>
      <c r="M1013"/>
      <c r="N1013"/>
    </row>
    <row r="1014" spans="1:14" x14ac:dyDescent="0.25">
      <c r="A1014" t="e">
        <f t="shared" si="30"/>
        <v>#VALUE!</v>
      </c>
      <c r="B1014" t="e">
        <f t="shared" si="31"/>
        <v>#VALUE!</v>
      </c>
      <c r="C1014" s="14">
        <v>0</v>
      </c>
      <c r="D1014" s="14">
        <v>0</v>
      </c>
      <c r="E1014"/>
      <c r="F1014"/>
      <c r="G1014"/>
      <c r="H1014"/>
      <c r="I1014"/>
      <c r="J1014"/>
      <c r="K1014"/>
      <c r="L1014"/>
      <c r="M1014"/>
      <c r="N1014"/>
    </row>
    <row r="1015" spans="1:14" x14ac:dyDescent="0.25">
      <c r="A1015" t="e">
        <f t="shared" si="30"/>
        <v>#VALUE!</v>
      </c>
      <c r="B1015" t="e">
        <f t="shared" si="31"/>
        <v>#VALUE!</v>
      </c>
      <c r="D1015"/>
      <c r="E1015"/>
      <c r="F1015"/>
      <c r="G1015"/>
      <c r="H1015"/>
      <c r="I1015"/>
      <c r="J1015"/>
      <c r="K1015"/>
      <c r="L1015"/>
      <c r="M1015"/>
      <c r="N1015"/>
    </row>
    <row r="1016" spans="1:14" x14ac:dyDescent="0.25">
      <c r="A1016" t="e">
        <f t="shared" si="30"/>
        <v>#VALUE!</v>
      </c>
      <c r="B1016" t="e">
        <f t="shared" si="31"/>
        <v>#VALUE!</v>
      </c>
      <c r="D1016" s="14">
        <v>0</v>
      </c>
      <c r="E1016"/>
      <c r="F1016"/>
      <c r="G1016"/>
      <c r="H1016"/>
      <c r="I1016"/>
      <c r="J1016"/>
      <c r="K1016"/>
      <c r="L1016"/>
      <c r="M1016"/>
      <c r="N1016"/>
    </row>
    <row r="1017" spans="1:14" x14ac:dyDescent="0.25">
      <c r="A1017" t="str">
        <f t="shared" si="30"/>
        <v>1056227</v>
      </c>
      <c r="B1017" t="str">
        <f t="shared" si="31"/>
        <v xml:space="preserve"> ATT - Dig MSA - Bay Area</v>
      </c>
      <c r="C1017" t="s">
        <v>833</v>
      </c>
      <c r="D1017" s="15">
        <v>47851.46</v>
      </c>
      <c r="E1017" s="15">
        <v>66223.39</v>
      </c>
      <c r="F1017" s="15">
        <v>-18371.93</v>
      </c>
      <c r="G1017" s="34">
        <v>-38.393666567331501</v>
      </c>
      <c r="H1017" s="15">
        <v>65442.02</v>
      </c>
      <c r="I1017" s="15">
        <v>118947.72</v>
      </c>
      <c r="J1017" s="15">
        <v>0</v>
      </c>
      <c r="K1017" s="15">
        <v>184389.74</v>
      </c>
      <c r="L1017" s="15">
        <v>203035.51999999999</v>
      </c>
      <c r="M1017" s="15">
        <v>-18645.78</v>
      </c>
      <c r="N1017" s="34">
        <v>-10.1121569996248</v>
      </c>
    </row>
    <row r="1018" spans="1:14" x14ac:dyDescent="0.25">
      <c r="A1018" t="e">
        <f t="shared" si="30"/>
        <v>#VALUE!</v>
      </c>
      <c r="B1018" t="e">
        <f t="shared" si="31"/>
        <v>#VALUE!</v>
      </c>
      <c r="D1018"/>
      <c r="E1018"/>
      <c r="F1018"/>
      <c r="G1018"/>
      <c r="H1018"/>
      <c r="I1018"/>
      <c r="J1018"/>
      <c r="K1018"/>
      <c r="L1018"/>
      <c r="M1018"/>
      <c r="N1018"/>
    </row>
    <row r="1019" spans="1:14" x14ac:dyDescent="0.25">
      <c r="A1019" t="e">
        <f t="shared" si="30"/>
        <v>#VALUE!</v>
      </c>
      <c r="B1019" t="e">
        <f t="shared" si="31"/>
        <v>#VALUE!</v>
      </c>
      <c r="C1019" s="14">
        <v>0</v>
      </c>
      <c r="D1019" s="14">
        <v>0</v>
      </c>
      <c r="E1019"/>
      <c r="F1019"/>
      <c r="G1019"/>
      <c r="H1019"/>
      <c r="I1019"/>
      <c r="J1019"/>
      <c r="K1019"/>
      <c r="L1019"/>
      <c r="M1019"/>
      <c r="N1019"/>
    </row>
    <row r="1020" spans="1:14" x14ac:dyDescent="0.25">
      <c r="A1020" t="e">
        <f t="shared" si="30"/>
        <v>#VALUE!</v>
      </c>
      <c r="B1020" t="e">
        <f t="shared" si="31"/>
        <v>#VALUE!</v>
      </c>
      <c r="D1020"/>
      <c r="E1020"/>
      <c r="F1020"/>
      <c r="G1020"/>
      <c r="H1020"/>
      <c r="I1020"/>
      <c r="J1020"/>
      <c r="K1020"/>
      <c r="L1020"/>
      <c r="M1020"/>
      <c r="N1020"/>
    </row>
    <row r="1021" spans="1:14" x14ac:dyDescent="0.25">
      <c r="A1021" t="e">
        <f t="shared" si="30"/>
        <v>#VALUE!</v>
      </c>
      <c r="B1021" t="e">
        <f t="shared" si="31"/>
        <v>#VALUE!</v>
      </c>
      <c r="D1021" s="14">
        <v>0</v>
      </c>
      <c r="E1021"/>
      <c r="F1021"/>
      <c r="G1021"/>
      <c r="H1021"/>
      <c r="I1021"/>
      <c r="J1021"/>
      <c r="K1021"/>
      <c r="L1021"/>
      <c r="M1021"/>
      <c r="N1021"/>
    </row>
    <row r="1022" spans="1:14" x14ac:dyDescent="0.25">
      <c r="A1022" t="str">
        <f t="shared" si="30"/>
        <v>1056228</v>
      </c>
      <c r="B1022" t="str">
        <f t="shared" si="31"/>
        <v xml:space="preserve"> ATT - Dig MSA - Northern Areas</v>
      </c>
      <c r="C1022" t="s">
        <v>846</v>
      </c>
      <c r="D1022" s="15">
        <v>20342.22</v>
      </c>
      <c r="E1022" s="15">
        <v>20670.599999999999</v>
      </c>
      <c r="F1022" s="15">
        <v>-328.38</v>
      </c>
      <c r="G1022" s="34">
        <v>-1.6142780876423499</v>
      </c>
      <c r="H1022" s="15">
        <v>21072.48</v>
      </c>
      <c r="I1022" s="15">
        <v>20265.25</v>
      </c>
      <c r="J1022" s="15">
        <v>0</v>
      </c>
      <c r="K1022" s="15">
        <v>41337.730000000003</v>
      </c>
      <c r="L1022" s="15">
        <v>46586.3</v>
      </c>
      <c r="M1022" s="15">
        <v>-5248.57</v>
      </c>
      <c r="N1022" s="34">
        <v>-12.6968026546209</v>
      </c>
    </row>
    <row r="1023" spans="1:14" x14ac:dyDescent="0.25">
      <c r="A1023" t="e">
        <f t="shared" si="30"/>
        <v>#VALUE!</v>
      </c>
      <c r="B1023" t="e">
        <f t="shared" si="31"/>
        <v>#VALUE!</v>
      </c>
      <c r="D1023"/>
      <c r="E1023"/>
      <c r="F1023"/>
      <c r="G1023"/>
      <c r="H1023"/>
      <c r="I1023"/>
      <c r="J1023"/>
      <c r="K1023"/>
      <c r="L1023"/>
      <c r="M1023"/>
      <c r="N1023"/>
    </row>
    <row r="1024" spans="1:14" x14ac:dyDescent="0.25">
      <c r="A1024" t="e">
        <f t="shared" si="30"/>
        <v>#VALUE!</v>
      </c>
      <c r="B1024" t="e">
        <f t="shared" si="31"/>
        <v>#VALUE!</v>
      </c>
      <c r="C1024" s="14">
        <v>0</v>
      </c>
      <c r="D1024" s="14">
        <v>0</v>
      </c>
      <c r="E1024"/>
      <c r="F1024"/>
      <c r="G1024"/>
      <c r="H1024"/>
      <c r="I1024"/>
      <c r="J1024"/>
      <c r="K1024"/>
      <c r="L1024"/>
      <c r="M1024"/>
      <c r="N1024"/>
    </row>
    <row r="1025" spans="1:14" x14ac:dyDescent="0.25">
      <c r="A1025" t="e">
        <f t="shared" si="30"/>
        <v>#VALUE!</v>
      </c>
      <c r="B1025" t="e">
        <f t="shared" si="31"/>
        <v>#VALUE!</v>
      </c>
      <c r="D1025"/>
      <c r="E1025"/>
      <c r="F1025"/>
      <c r="G1025"/>
      <c r="H1025"/>
      <c r="I1025"/>
      <c r="J1025"/>
      <c r="K1025"/>
      <c r="L1025"/>
      <c r="M1025"/>
      <c r="N1025"/>
    </row>
    <row r="1026" spans="1:14" x14ac:dyDescent="0.25">
      <c r="A1026" t="e">
        <f t="shared" si="30"/>
        <v>#VALUE!</v>
      </c>
      <c r="B1026" t="e">
        <f t="shared" si="31"/>
        <v>#VALUE!</v>
      </c>
      <c r="D1026" s="14">
        <v>0</v>
      </c>
      <c r="E1026"/>
      <c r="F1026"/>
      <c r="G1026"/>
      <c r="H1026"/>
      <c r="I1026"/>
      <c r="J1026"/>
      <c r="K1026"/>
      <c r="L1026"/>
      <c r="M1026"/>
      <c r="N1026"/>
    </row>
    <row r="1027" spans="1:14" x14ac:dyDescent="0.25">
      <c r="A1027" t="str">
        <f t="shared" si="30"/>
        <v>1056230</v>
      </c>
      <c r="B1027" t="str">
        <f t="shared" si="31"/>
        <v xml:space="preserve"> ATT - BSW - Bay Area</v>
      </c>
      <c r="C1027" t="s">
        <v>834</v>
      </c>
      <c r="D1027" s="15">
        <v>15037.06</v>
      </c>
      <c r="E1027" s="15">
        <v>19048.650000000001</v>
      </c>
      <c r="F1027" s="15">
        <v>-4011.59</v>
      </c>
      <c r="G1027" s="34">
        <v>-26.678020836519899</v>
      </c>
      <c r="H1027" s="15">
        <v>133585.18</v>
      </c>
      <c r="I1027" s="15">
        <v>16321.31</v>
      </c>
      <c r="J1027" s="15">
        <v>0</v>
      </c>
      <c r="K1027" s="15">
        <v>149906.49</v>
      </c>
      <c r="L1027" s="15">
        <v>150467.89000000001</v>
      </c>
      <c r="M1027" s="15">
        <v>-561.4</v>
      </c>
      <c r="N1027" s="34">
        <v>-0.37450013004773802</v>
      </c>
    </row>
    <row r="1028" spans="1:14" x14ac:dyDescent="0.25">
      <c r="A1028" t="e">
        <f t="shared" si="30"/>
        <v>#VALUE!</v>
      </c>
      <c r="B1028" t="e">
        <f t="shared" si="31"/>
        <v>#VALUE!</v>
      </c>
      <c r="D1028"/>
      <c r="E1028"/>
      <c r="F1028"/>
      <c r="G1028"/>
      <c r="H1028"/>
      <c r="I1028"/>
      <c r="J1028"/>
      <c r="K1028"/>
      <c r="L1028"/>
      <c r="M1028"/>
      <c r="N1028"/>
    </row>
    <row r="1029" spans="1:14" x14ac:dyDescent="0.25">
      <c r="A1029" t="e">
        <f t="shared" ref="A1029:A1092" si="32">LEFT(C1029,FIND(" ",C1029)-1)</f>
        <v>#VALUE!</v>
      </c>
      <c r="B1029" t="e">
        <f t="shared" ref="B1029:B1092" si="33">RIGHT(C1029,LEN(C1029)-FIND(" ",C1029))</f>
        <v>#VALUE!</v>
      </c>
      <c r="C1029" s="14">
        <v>0</v>
      </c>
      <c r="D1029" s="14">
        <v>0</v>
      </c>
      <c r="E1029"/>
      <c r="F1029"/>
      <c r="G1029"/>
      <c r="H1029"/>
      <c r="I1029"/>
      <c r="J1029"/>
      <c r="K1029"/>
      <c r="L1029"/>
      <c r="M1029"/>
      <c r="N1029"/>
    </row>
    <row r="1030" spans="1:14" x14ac:dyDescent="0.25">
      <c r="A1030" t="e">
        <f t="shared" si="32"/>
        <v>#VALUE!</v>
      </c>
      <c r="B1030" t="e">
        <f t="shared" si="33"/>
        <v>#VALUE!</v>
      </c>
      <c r="D1030"/>
      <c r="E1030"/>
      <c r="F1030"/>
      <c r="G1030"/>
      <c r="H1030"/>
      <c r="I1030"/>
      <c r="J1030"/>
      <c r="K1030"/>
      <c r="L1030"/>
      <c r="M1030"/>
      <c r="N1030"/>
    </row>
    <row r="1031" spans="1:14" x14ac:dyDescent="0.25">
      <c r="A1031" t="e">
        <f t="shared" si="32"/>
        <v>#VALUE!</v>
      </c>
      <c r="B1031" t="e">
        <f t="shared" si="33"/>
        <v>#VALUE!</v>
      </c>
      <c r="D1031" s="14">
        <v>0</v>
      </c>
      <c r="E1031"/>
      <c r="F1031"/>
      <c r="G1031"/>
      <c r="H1031"/>
      <c r="I1031"/>
      <c r="J1031"/>
      <c r="K1031"/>
      <c r="L1031"/>
      <c r="M1031"/>
      <c r="N1031"/>
    </row>
    <row r="1032" spans="1:14" x14ac:dyDescent="0.25">
      <c r="A1032" t="str">
        <f t="shared" si="32"/>
        <v>1056231</v>
      </c>
      <c r="B1032" t="str">
        <f t="shared" si="33"/>
        <v xml:space="preserve"> ATT - BSW - Northern</v>
      </c>
      <c r="C1032" t="s">
        <v>919</v>
      </c>
      <c r="D1032" s="15">
        <v>3008.43</v>
      </c>
      <c r="E1032" s="15">
        <v>23483.83</v>
      </c>
      <c r="F1032" s="15">
        <v>-20475.400000000001</v>
      </c>
      <c r="G1032" s="34">
        <v>-680.60084495899901</v>
      </c>
      <c r="H1032" s="15">
        <v>4479.49</v>
      </c>
      <c r="I1032" s="15">
        <v>2162.35</v>
      </c>
      <c r="J1032" s="15">
        <v>0</v>
      </c>
      <c r="K1032" s="15">
        <v>6641.84</v>
      </c>
      <c r="L1032" s="15">
        <v>48958.52</v>
      </c>
      <c r="M1032" s="15">
        <v>-42316.68</v>
      </c>
      <c r="N1032" s="34">
        <v>-637.12284547655497</v>
      </c>
    </row>
    <row r="1033" spans="1:14" x14ac:dyDescent="0.25">
      <c r="A1033" t="e">
        <f t="shared" si="32"/>
        <v>#VALUE!</v>
      </c>
      <c r="B1033" t="e">
        <f t="shared" si="33"/>
        <v>#VALUE!</v>
      </c>
      <c r="D1033"/>
      <c r="E1033"/>
      <c r="F1033"/>
      <c r="G1033"/>
      <c r="H1033"/>
      <c r="I1033"/>
      <c r="J1033"/>
      <c r="K1033"/>
      <c r="L1033"/>
      <c r="M1033"/>
      <c r="N1033"/>
    </row>
    <row r="1034" spans="1:14" x14ac:dyDescent="0.25">
      <c r="A1034" t="e">
        <f t="shared" si="32"/>
        <v>#VALUE!</v>
      </c>
      <c r="B1034" t="e">
        <f t="shared" si="33"/>
        <v>#VALUE!</v>
      </c>
      <c r="C1034" s="14">
        <v>280680</v>
      </c>
      <c r="D1034" s="14">
        <v>280680</v>
      </c>
      <c r="E1034"/>
      <c r="F1034"/>
      <c r="G1034"/>
      <c r="H1034"/>
      <c r="I1034"/>
      <c r="J1034"/>
      <c r="K1034"/>
      <c r="L1034"/>
      <c r="M1034"/>
      <c r="N1034"/>
    </row>
    <row r="1035" spans="1:14" x14ac:dyDescent="0.25">
      <c r="A1035" t="e">
        <f t="shared" si="32"/>
        <v>#VALUE!</v>
      </c>
      <c r="B1035" t="e">
        <f t="shared" si="33"/>
        <v>#VALUE!</v>
      </c>
      <c r="D1035"/>
      <c r="E1035"/>
      <c r="F1035"/>
      <c r="G1035"/>
      <c r="H1035"/>
      <c r="I1035"/>
      <c r="J1035"/>
      <c r="K1035"/>
      <c r="L1035"/>
      <c r="M1035"/>
      <c r="N1035"/>
    </row>
    <row r="1036" spans="1:14" x14ac:dyDescent="0.25">
      <c r="A1036" t="e">
        <f t="shared" si="32"/>
        <v>#VALUE!</v>
      </c>
      <c r="B1036" t="e">
        <f t="shared" si="33"/>
        <v>#VALUE!</v>
      </c>
      <c r="D1036" s="14">
        <v>0</v>
      </c>
      <c r="E1036"/>
      <c r="F1036"/>
      <c r="G1036"/>
      <c r="H1036"/>
      <c r="I1036"/>
      <c r="J1036"/>
      <c r="K1036"/>
      <c r="L1036"/>
      <c r="M1036"/>
      <c r="N1036"/>
    </row>
    <row r="1037" spans="1:14" x14ac:dyDescent="0.25">
      <c r="A1037" t="str">
        <f t="shared" si="32"/>
        <v>1056232</v>
      </c>
      <c r="B1037" t="str">
        <f t="shared" si="33"/>
        <v xml:space="preserve"> ATT - A055QP3 - Various</v>
      </c>
      <c r="C1037" t="s">
        <v>855</v>
      </c>
      <c r="D1037" s="15">
        <v>99350</v>
      </c>
      <c r="E1037" s="15">
        <v>81472.509999999995</v>
      </c>
      <c r="F1037" s="15">
        <v>17877.490000000002</v>
      </c>
      <c r="G1037" s="34">
        <v>17.9944539506794</v>
      </c>
      <c r="H1037" s="15">
        <v>0</v>
      </c>
      <c r="I1037" s="15">
        <v>274166</v>
      </c>
      <c r="J1037" s="15">
        <v>280680</v>
      </c>
      <c r="K1037" s="15">
        <v>274166</v>
      </c>
      <c r="L1037" s="15">
        <v>238142.94</v>
      </c>
      <c r="M1037" s="15">
        <v>36023.06</v>
      </c>
      <c r="N1037" s="34">
        <v>13.1391419796765</v>
      </c>
    </row>
    <row r="1038" spans="1:14" x14ac:dyDescent="0.25">
      <c r="A1038" t="e">
        <f t="shared" si="32"/>
        <v>#VALUE!</v>
      </c>
      <c r="B1038" t="e">
        <f t="shared" si="33"/>
        <v>#VALUE!</v>
      </c>
      <c r="D1038"/>
      <c r="E1038"/>
      <c r="F1038"/>
      <c r="G1038"/>
      <c r="H1038"/>
      <c r="I1038"/>
      <c r="J1038"/>
      <c r="K1038"/>
      <c r="L1038"/>
      <c r="M1038"/>
      <c r="N1038"/>
    </row>
    <row r="1039" spans="1:14" x14ac:dyDescent="0.25">
      <c r="A1039" t="e">
        <f t="shared" si="32"/>
        <v>#VALUE!</v>
      </c>
      <c r="B1039" t="e">
        <f t="shared" si="33"/>
        <v>#VALUE!</v>
      </c>
      <c r="C1039" s="14">
        <v>182145</v>
      </c>
      <c r="D1039" s="14">
        <v>182145</v>
      </c>
      <c r="E1039"/>
      <c r="F1039"/>
      <c r="G1039"/>
      <c r="H1039"/>
      <c r="I1039"/>
      <c r="J1039"/>
      <c r="K1039"/>
      <c r="L1039"/>
      <c r="M1039"/>
      <c r="N1039"/>
    </row>
    <row r="1040" spans="1:14" x14ac:dyDescent="0.25">
      <c r="A1040" t="e">
        <f t="shared" si="32"/>
        <v>#VALUE!</v>
      </c>
      <c r="B1040" t="e">
        <f t="shared" si="33"/>
        <v>#VALUE!</v>
      </c>
      <c r="D1040"/>
      <c r="E1040"/>
      <c r="F1040"/>
      <c r="G1040"/>
      <c r="H1040"/>
      <c r="I1040"/>
      <c r="J1040"/>
      <c r="K1040"/>
      <c r="L1040"/>
      <c r="M1040"/>
      <c r="N1040"/>
    </row>
    <row r="1041" spans="1:14" x14ac:dyDescent="0.25">
      <c r="A1041" t="e">
        <f t="shared" si="32"/>
        <v>#VALUE!</v>
      </c>
      <c r="B1041" t="e">
        <f t="shared" si="33"/>
        <v>#VALUE!</v>
      </c>
      <c r="D1041" s="14">
        <v>0</v>
      </c>
      <c r="E1041"/>
      <c r="F1041"/>
      <c r="G1041"/>
      <c r="H1041"/>
      <c r="I1041"/>
      <c r="J1041"/>
      <c r="K1041"/>
      <c r="L1041"/>
      <c r="M1041"/>
      <c r="N1041"/>
    </row>
    <row r="1042" spans="1:14" x14ac:dyDescent="0.25">
      <c r="A1042" t="str">
        <f t="shared" si="32"/>
        <v>1056236</v>
      </c>
      <c r="B1042" t="str">
        <f t="shared" si="33"/>
        <v xml:space="preserve"> ATT - A058FR3 - Moraga</v>
      </c>
      <c r="C1042" t="s">
        <v>870</v>
      </c>
      <c r="D1042" s="15">
        <v>0</v>
      </c>
      <c r="E1042" s="15">
        <v>1082.6099999999999</v>
      </c>
      <c r="F1042" s="15">
        <v>-1082.6099999999999</v>
      </c>
      <c r="G1042" s="34">
        <v>0</v>
      </c>
      <c r="H1042" s="15">
        <v>0</v>
      </c>
      <c r="I1042" s="15">
        <v>149539</v>
      </c>
      <c r="J1042" s="15">
        <v>182145</v>
      </c>
      <c r="K1042" s="15">
        <v>149539</v>
      </c>
      <c r="L1042" s="15">
        <v>142767.47</v>
      </c>
      <c r="M1042" s="15">
        <v>6771.53</v>
      </c>
      <c r="N1042" s="34">
        <v>4.5282702171339899</v>
      </c>
    </row>
    <row r="1043" spans="1:14" x14ac:dyDescent="0.25">
      <c r="A1043" t="e">
        <f t="shared" si="32"/>
        <v>#VALUE!</v>
      </c>
      <c r="B1043" t="e">
        <f t="shared" si="33"/>
        <v>#VALUE!</v>
      </c>
      <c r="D1043"/>
      <c r="E1043"/>
      <c r="F1043"/>
      <c r="G1043"/>
      <c r="H1043"/>
      <c r="I1043"/>
      <c r="J1043"/>
      <c r="K1043"/>
      <c r="L1043"/>
      <c r="M1043"/>
      <c r="N1043"/>
    </row>
    <row r="1044" spans="1:14" x14ac:dyDescent="0.25">
      <c r="A1044" t="e">
        <f t="shared" si="32"/>
        <v>#VALUE!</v>
      </c>
      <c r="B1044" t="e">
        <f t="shared" si="33"/>
        <v>#VALUE!</v>
      </c>
      <c r="C1044" s="14">
        <v>35315</v>
      </c>
      <c r="D1044" s="14">
        <v>35315</v>
      </c>
      <c r="E1044"/>
      <c r="F1044"/>
      <c r="G1044"/>
      <c r="H1044"/>
      <c r="I1044"/>
      <c r="J1044"/>
      <c r="K1044"/>
      <c r="L1044"/>
      <c r="M1044"/>
      <c r="N1044"/>
    </row>
    <row r="1045" spans="1:14" x14ac:dyDescent="0.25">
      <c r="A1045" t="e">
        <f t="shared" si="32"/>
        <v>#VALUE!</v>
      </c>
      <c r="B1045" t="e">
        <f t="shared" si="33"/>
        <v>#VALUE!</v>
      </c>
      <c r="D1045"/>
      <c r="E1045"/>
      <c r="F1045"/>
      <c r="G1045"/>
      <c r="H1045"/>
      <c r="I1045"/>
      <c r="J1045"/>
      <c r="K1045"/>
      <c r="L1045"/>
      <c r="M1045"/>
      <c r="N1045"/>
    </row>
    <row r="1046" spans="1:14" x14ac:dyDescent="0.25">
      <c r="A1046" t="e">
        <f t="shared" si="32"/>
        <v>#VALUE!</v>
      </c>
      <c r="B1046" t="e">
        <f t="shared" si="33"/>
        <v>#VALUE!</v>
      </c>
      <c r="D1046" s="14">
        <v>0</v>
      </c>
      <c r="E1046"/>
      <c r="F1046"/>
      <c r="G1046"/>
      <c r="H1046"/>
      <c r="I1046"/>
      <c r="J1046"/>
      <c r="K1046"/>
      <c r="L1046"/>
      <c r="M1046"/>
      <c r="N1046"/>
    </row>
    <row r="1047" spans="1:14" x14ac:dyDescent="0.25">
      <c r="A1047" t="str">
        <f t="shared" si="32"/>
        <v>1056237</v>
      </c>
      <c r="B1047" t="str">
        <f t="shared" si="33"/>
        <v xml:space="preserve"> ATT - A02G3JG - San Mateo</v>
      </c>
      <c r="C1047" t="s">
        <v>901</v>
      </c>
      <c r="D1047" s="15">
        <v>0</v>
      </c>
      <c r="E1047" s="15">
        <v>0</v>
      </c>
      <c r="F1047" s="15">
        <v>0</v>
      </c>
      <c r="G1047" s="34">
        <v>0</v>
      </c>
      <c r="H1047" s="15">
        <v>0</v>
      </c>
      <c r="I1047" s="15">
        <v>24000</v>
      </c>
      <c r="J1047" s="15">
        <v>35315</v>
      </c>
      <c r="K1047" s="15">
        <v>24000</v>
      </c>
      <c r="L1047" s="15">
        <v>17764.419999999998</v>
      </c>
      <c r="M1047" s="15">
        <v>6235.58</v>
      </c>
      <c r="N1047" s="34">
        <v>25.981583333333301</v>
      </c>
    </row>
    <row r="1048" spans="1:14" x14ac:dyDescent="0.25">
      <c r="A1048" t="e">
        <f t="shared" si="32"/>
        <v>#VALUE!</v>
      </c>
      <c r="B1048" t="e">
        <f t="shared" si="33"/>
        <v>#VALUE!</v>
      </c>
      <c r="D1048"/>
      <c r="E1048"/>
      <c r="F1048"/>
      <c r="G1048"/>
      <c r="H1048"/>
      <c r="I1048"/>
      <c r="J1048"/>
      <c r="K1048"/>
      <c r="L1048"/>
      <c r="M1048"/>
      <c r="N1048"/>
    </row>
    <row r="1049" spans="1:14" x14ac:dyDescent="0.25">
      <c r="A1049" t="e">
        <f t="shared" si="32"/>
        <v>#VALUE!</v>
      </c>
      <c r="B1049" t="e">
        <f t="shared" si="33"/>
        <v>#VALUE!</v>
      </c>
      <c r="C1049" s="14">
        <v>15650</v>
      </c>
      <c r="D1049" s="14">
        <v>15650</v>
      </c>
      <c r="E1049"/>
      <c r="F1049"/>
      <c r="G1049"/>
      <c r="H1049"/>
      <c r="I1049"/>
      <c r="J1049"/>
      <c r="K1049"/>
      <c r="L1049"/>
      <c r="M1049"/>
      <c r="N1049"/>
    </row>
    <row r="1050" spans="1:14" x14ac:dyDescent="0.25">
      <c r="A1050" t="e">
        <f t="shared" si="32"/>
        <v>#VALUE!</v>
      </c>
      <c r="B1050" t="e">
        <f t="shared" si="33"/>
        <v>#VALUE!</v>
      </c>
      <c r="D1050"/>
      <c r="E1050"/>
      <c r="F1050"/>
      <c r="G1050"/>
      <c r="H1050"/>
      <c r="I1050"/>
      <c r="J1050"/>
      <c r="K1050"/>
      <c r="L1050"/>
      <c r="M1050"/>
      <c r="N1050"/>
    </row>
    <row r="1051" spans="1:14" x14ac:dyDescent="0.25">
      <c r="A1051" t="e">
        <f t="shared" si="32"/>
        <v>#VALUE!</v>
      </c>
      <c r="B1051" t="e">
        <f t="shared" si="33"/>
        <v>#VALUE!</v>
      </c>
      <c r="D1051" s="14">
        <v>0</v>
      </c>
      <c r="E1051"/>
      <c r="F1051"/>
      <c r="G1051"/>
      <c r="H1051"/>
      <c r="I1051"/>
      <c r="J1051"/>
      <c r="K1051"/>
      <c r="L1051"/>
      <c r="M1051"/>
      <c r="N1051"/>
    </row>
    <row r="1052" spans="1:14" x14ac:dyDescent="0.25">
      <c r="A1052" t="str">
        <f t="shared" si="32"/>
        <v>1056240</v>
      </c>
      <c r="B1052" t="str">
        <f t="shared" si="33"/>
        <v xml:space="preserve"> ATT - A058HE0 - Oakland</v>
      </c>
      <c r="C1052" t="s">
        <v>871</v>
      </c>
      <c r="D1052" s="15">
        <v>0</v>
      </c>
      <c r="E1052" s="15">
        <v>0</v>
      </c>
      <c r="F1052" s="15">
        <v>0</v>
      </c>
      <c r="G1052" s="34">
        <v>0</v>
      </c>
      <c r="H1052" s="15">
        <v>15648.48</v>
      </c>
      <c r="I1052" s="15">
        <v>0</v>
      </c>
      <c r="J1052" s="15">
        <v>15650</v>
      </c>
      <c r="K1052" s="15">
        <v>15648.48</v>
      </c>
      <c r="L1052" s="15">
        <v>10802.1</v>
      </c>
      <c r="M1052" s="15">
        <v>4846.38</v>
      </c>
      <c r="N1052" s="34">
        <v>30.970292322321399</v>
      </c>
    </row>
    <row r="1053" spans="1:14" x14ac:dyDescent="0.25">
      <c r="A1053" t="e">
        <f t="shared" si="32"/>
        <v>#VALUE!</v>
      </c>
      <c r="B1053" t="e">
        <f t="shared" si="33"/>
        <v>#VALUE!</v>
      </c>
      <c r="D1053"/>
      <c r="E1053"/>
      <c r="F1053"/>
      <c r="G1053"/>
      <c r="H1053"/>
      <c r="I1053"/>
      <c r="J1053"/>
      <c r="K1053"/>
      <c r="L1053"/>
      <c r="M1053"/>
      <c r="N1053"/>
    </row>
    <row r="1054" spans="1:14" x14ac:dyDescent="0.25">
      <c r="A1054" t="e">
        <f t="shared" si="32"/>
        <v>#VALUE!</v>
      </c>
      <c r="B1054" t="e">
        <f t="shared" si="33"/>
        <v>#VALUE!</v>
      </c>
      <c r="C1054" s="14">
        <v>16340</v>
      </c>
      <c r="D1054" s="14">
        <v>16340</v>
      </c>
      <c r="E1054"/>
      <c r="F1054"/>
      <c r="G1054"/>
      <c r="H1054"/>
      <c r="I1054"/>
      <c r="J1054"/>
      <c r="K1054"/>
      <c r="L1054"/>
      <c r="M1054"/>
      <c r="N1054"/>
    </row>
    <row r="1055" spans="1:14" x14ac:dyDescent="0.25">
      <c r="A1055" t="e">
        <f t="shared" si="32"/>
        <v>#VALUE!</v>
      </c>
      <c r="B1055" t="e">
        <f t="shared" si="33"/>
        <v>#VALUE!</v>
      </c>
      <c r="D1055"/>
      <c r="E1055"/>
      <c r="F1055"/>
      <c r="G1055"/>
      <c r="H1055"/>
      <c r="I1055"/>
      <c r="J1055"/>
      <c r="K1055"/>
      <c r="L1055"/>
      <c r="M1055"/>
      <c r="N1055"/>
    </row>
    <row r="1056" spans="1:14" x14ac:dyDescent="0.25">
      <c r="A1056" t="e">
        <f t="shared" si="32"/>
        <v>#VALUE!</v>
      </c>
      <c r="B1056" t="e">
        <f t="shared" si="33"/>
        <v>#VALUE!</v>
      </c>
      <c r="D1056" s="14">
        <v>0</v>
      </c>
      <c r="E1056"/>
      <c r="F1056"/>
      <c r="G1056"/>
      <c r="H1056"/>
      <c r="I1056"/>
      <c r="J1056"/>
      <c r="K1056"/>
      <c r="L1056"/>
      <c r="M1056"/>
      <c r="N1056"/>
    </row>
    <row r="1057" spans="1:14" x14ac:dyDescent="0.25">
      <c r="A1057" t="str">
        <f t="shared" si="32"/>
        <v>1056244</v>
      </c>
      <c r="B1057" t="str">
        <f t="shared" si="33"/>
        <v xml:space="preserve"> ATT - A059283 - Oakland</v>
      </c>
      <c r="C1057" t="s">
        <v>888</v>
      </c>
      <c r="D1057" s="15">
        <v>0</v>
      </c>
      <c r="E1057" s="15">
        <v>0</v>
      </c>
      <c r="F1057" s="15">
        <v>0</v>
      </c>
      <c r="G1057" s="34">
        <v>0</v>
      </c>
      <c r="H1057" s="15">
        <v>16336.56</v>
      </c>
      <c r="I1057" s="15">
        <v>0</v>
      </c>
      <c r="J1057" s="15">
        <v>16340</v>
      </c>
      <c r="K1057" s="15">
        <v>16336.56</v>
      </c>
      <c r="L1057" s="15">
        <v>15673.7</v>
      </c>
      <c r="M1057" s="15">
        <v>662.86</v>
      </c>
      <c r="N1057" s="34">
        <v>4.0575249624155898</v>
      </c>
    </row>
    <row r="1058" spans="1:14" x14ac:dyDescent="0.25">
      <c r="A1058" t="e">
        <f t="shared" si="32"/>
        <v>#VALUE!</v>
      </c>
      <c r="B1058" t="e">
        <f t="shared" si="33"/>
        <v>#VALUE!</v>
      </c>
      <c r="D1058"/>
      <c r="E1058"/>
      <c r="F1058"/>
      <c r="G1058"/>
      <c r="H1058"/>
      <c r="I1058"/>
      <c r="J1058"/>
      <c r="K1058"/>
      <c r="L1058"/>
      <c r="M1058"/>
      <c r="N1058"/>
    </row>
    <row r="1059" spans="1:14" x14ac:dyDescent="0.25">
      <c r="A1059" t="e">
        <f t="shared" si="32"/>
        <v>#VALUE!</v>
      </c>
      <c r="B1059" t="e">
        <f t="shared" si="33"/>
        <v>#VALUE!</v>
      </c>
      <c r="C1059" s="14">
        <v>58830</v>
      </c>
      <c r="D1059" s="14">
        <v>58830</v>
      </c>
      <c r="E1059"/>
      <c r="F1059"/>
      <c r="G1059"/>
      <c r="H1059"/>
      <c r="I1059"/>
      <c r="J1059"/>
      <c r="K1059"/>
      <c r="L1059"/>
      <c r="M1059"/>
      <c r="N1059"/>
    </row>
    <row r="1060" spans="1:14" x14ac:dyDescent="0.25">
      <c r="A1060" t="e">
        <f t="shared" si="32"/>
        <v>#VALUE!</v>
      </c>
      <c r="B1060" t="e">
        <f t="shared" si="33"/>
        <v>#VALUE!</v>
      </c>
      <c r="D1060"/>
      <c r="E1060"/>
      <c r="F1060"/>
      <c r="G1060"/>
      <c r="H1060"/>
      <c r="I1060"/>
      <c r="J1060"/>
      <c r="K1060"/>
      <c r="L1060"/>
      <c r="M1060"/>
      <c r="N1060"/>
    </row>
    <row r="1061" spans="1:14" x14ac:dyDescent="0.25">
      <c r="A1061" t="e">
        <f t="shared" si="32"/>
        <v>#VALUE!</v>
      </c>
      <c r="B1061" t="e">
        <f t="shared" si="33"/>
        <v>#VALUE!</v>
      </c>
      <c r="D1061" s="14">
        <v>0</v>
      </c>
      <c r="E1061"/>
      <c r="F1061"/>
      <c r="G1061"/>
      <c r="H1061"/>
      <c r="I1061"/>
      <c r="J1061"/>
      <c r="K1061"/>
      <c r="L1061"/>
      <c r="M1061"/>
      <c r="N1061"/>
    </row>
    <row r="1062" spans="1:14" x14ac:dyDescent="0.25">
      <c r="A1062" t="str">
        <f t="shared" si="32"/>
        <v>1056251</v>
      </c>
      <c r="B1062" t="str">
        <f t="shared" si="33"/>
        <v xml:space="preserve"> ATT - A058FR3 - 2 Paseo Linares</v>
      </c>
      <c r="C1062" t="s">
        <v>920</v>
      </c>
      <c r="D1062" s="15">
        <v>0</v>
      </c>
      <c r="E1062" s="15">
        <v>0</v>
      </c>
      <c r="F1062" s="15">
        <v>0</v>
      </c>
      <c r="G1062" s="34">
        <v>0</v>
      </c>
      <c r="H1062" s="15">
        <v>0</v>
      </c>
      <c r="I1062" s="15">
        <v>42759.8</v>
      </c>
      <c r="J1062" s="15">
        <v>58830</v>
      </c>
      <c r="K1062" s="15">
        <v>42759.8</v>
      </c>
      <c r="L1062" s="15">
        <v>27212.38</v>
      </c>
      <c r="M1062" s="15">
        <v>15547.42</v>
      </c>
      <c r="N1062" s="34">
        <v>36.359898783436797</v>
      </c>
    </row>
    <row r="1063" spans="1:14" x14ac:dyDescent="0.25">
      <c r="A1063" t="e">
        <f t="shared" si="32"/>
        <v>#VALUE!</v>
      </c>
      <c r="B1063" t="e">
        <f t="shared" si="33"/>
        <v>#VALUE!</v>
      </c>
      <c r="D1063"/>
      <c r="E1063"/>
      <c r="F1063"/>
      <c r="G1063"/>
      <c r="H1063"/>
      <c r="I1063"/>
      <c r="J1063"/>
      <c r="K1063"/>
      <c r="L1063"/>
      <c r="M1063"/>
      <c r="N1063"/>
    </row>
    <row r="1064" spans="1:14" x14ac:dyDescent="0.25">
      <c r="A1064" t="e">
        <f t="shared" si="32"/>
        <v>#VALUE!</v>
      </c>
      <c r="B1064" t="e">
        <f t="shared" si="33"/>
        <v>#VALUE!</v>
      </c>
      <c r="C1064" s="14">
        <v>20840</v>
      </c>
      <c r="D1064" s="14">
        <v>20840</v>
      </c>
      <c r="E1064"/>
      <c r="F1064"/>
      <c r="G1064"/>
      <c r="H1064"/>
      <c r="I1064"/>
      <c r="J1064"/>
      <c r="K1064"/>
      <c r="L1064"/>
      <c r="M1064"/>
      <c r="N1064"/>
    </row>
    <row r="1065" spans="1:14" x14ac:dyDescent="0.25">
      <c r="A1065" t="e">
        <f t="shared" si="32"/>
        <v>#VALUE!</v>
      </c>
      <c r="B1065" t="e">
        <f t="shared" si="33"/>
        <v>#VALUE!</v>
      </c>
      <c r="D1065"/>
      <c r="E1065"/>
      <c r="F1065"/>
      <c r="G1065"/>
      <c r="H1065"/>
      <c r="I1065"/>
      <c r="J1065"/>
      <c r="K1065"/>
      <c r="L1065"/>
      <c r="M1065"/>
      <c r="N1065"/>
    </row>
    <row r="1066" spans="1:14" x14ac:dyDescent="0.25">
      <c r="A1066" t="e">
        <f t="shared" si="32"/>
        <v>#VALUE!</v>
      </c>
      <c r="B1066" t="e">
        <f t="shared" si="33"/>
        <v>#VALUE!</v>
      </c>
      <c r="D1066" s="14">
        <v>0</v>
      </c>
      <c r="E1066"/>
      <c r="F1066"/>
      <c r="G1066"/>
      <c r="H1066"/>
      <c r="I1066"/>
      <c r="J1066"/>
      <c r="K1066"/>
      <c r="L1066"/>
      <c r="M1066"/>
      <c r="N1066"/>
    </row>
    <row r="1067" spans="1:14" x14ac:dyDescent="0.25">
      <c r="A1067" t="str">
        <f t="shared" si="32"/>
        <v>1056252</v>
      </c>
      <c r="B1067" t="str">
        <f t="shared" si="33"/>
        <v xml:space="preserve"> ATT - A020BN7 - Redwood City</v>
      </c>
      <c r="C1067" t="s">
        <v>974</v>
      </c>
      <c r="D1067" s="15">
        <v>0</v>
      </c>
      <c r="E1067" s="15">
        <v>0</v>
      </c>
      <c r="F1067" s="15">
        <v>0</v>
      </c>
      <c r="G1067" s="34">
        <v>0</v>
      </c>
      <c r="H1067" s="15">
        <v>20841.72</v>
      </c>
      <c r="I1067" s="15">
        <v>0</v>
      </c>
      <c r="J1067" s="15">
        <v>20840</v>
      </c>
      <c r="K1067" s="15">
        <v>20841.72</v>
      </c>
      <c r="L1067" s="15">
        <v>19353.7</v>
      </c>
      <c r="M1067" s="15">
        <v>1488.02</v>
      </c>
      <c r="N1067" s="34">
        <v>7.13962187381847</v>
      </c>
    </row>
    <row r="1068" spans="1:14" x14ac:dyDescent="0.25">
      <c r="A1068" t="e">
        <f t="shared" si="32"/>
        <v>#VALUE!</v>
      </c>
      <c r="B1068" t="e">
        <f t="shared" si="33"/>
        <v>#VALUE!</v>
      </c>
      <c r="D1068"/>
      <c r="E1068"/>
      <c r="F1068"/>
      <c r="G1068"/>
      <c r="H1068"/>
      <c r="I1068"/>
      <c r="J1068"/>
      <c r="K1068"/>
      <c r="L1068"/>
      <c r="M1068"/>
      <c r="N1068"/>
    </row>
    <row r="1069" spans="1:14" x14ac:dyDescent="0.25">
      <c r="A1069" t="e">
        <f t="shared" si="32"/>
        <v>#VALUE!</v>
      </c>
      <c r="B1069" t="e">
        <f t="shared" si="33"/>
        <v>#VALUE!</v>
      </c>
      <c r="C1069" s="14">
        <v>12585</v>
      </c>
      <c r="D1069" s="14">
        <v>12585</v>
      </c>
      <c r="E1069"/>
      <c r="F1069"/>
      <c r="G1069"/>
      <c r="H1069"/>
      <c r="I1069"/>
      <c r="J1069"/>
      <c r="K1069"/>
      <c r="L1069"/>
      <c r="M1069"/>
      <c r="N1069"/>
    </row>
    <row r="1070" spans="1:14" x14ac:dyDescent="0.25">
      <c r="A1070" t="e">
        <f t="shared" si="32"/>
        <v>#VALUE!</v>
      </c>
      <c r="B1070" t="e">
        <f t="shared" si="33"/>
        <v>#VALUE!</v>
      </c>
      <c r="D1070"/>
      <c r="E1070"/>
      <c r="F1070"/>
      <c r="G1070"/>
      <c r="H1070"/>
      <c r="I1070"/>
      <c r="J1070"/>
      <c r="K1070"/>
      <c r="L1070"/>
      <c r="M1070"/>
      <c r="N1070"/>
    </row>
    <row r="1071" spans="1:14" x14ac:dyDescent="0.25">
      <c r="A1071" t="e">
        <f t="shared" si="32"/>
        <v>#VALUE!</v>
      </c>
      <c r="B1071" t="e">
        <f t="shared" si="33"/>
        <v>#VALUE!</v>
      </c>
      <c r="D1071" s="14">
        <v>0</v>
      </c>
      <c r="E1071"/>
      <c r="F1071"/>
      <c r="G1071"/>
      <c r="H1071"/>
      <c r="I1071"/>
      <c r="J1071"/>
      <c r="K1071"/>
      <c r="L1071"/>
      <c r="M1071"/>
      <c r="N1071"/>
    </row>
    <row r="1072" spans="1:14" x14ac:dyDescent="0.25">
      <c r="A1072" t="str">
        <f t="shared" si="32"/>
        <v>1056256</v>
      </c>
      <c r="B1072" t="str">
        <f t="shared" si="33"/>
        <v xml:space="preserve"> ATT - A059FZM - Hayward</v>
      </c>
      <c r="C1072" t="s">
        <v>927</v>
      </c>
      <c r="D1072" s="15">
        <v>0</v>
      </c>
      <c r="E1072" s="15">
        <v>0</v>
      </c>
      <c r="F1072" s="15">
        <v>0</v>
      </c>
      <c r="G1072" s="34">
        <v>0</v>
      </c>
      <c r="H1072" s="15">
        <v>12585.43</v>
      </c>
      <c r="I1072" s="15">
        <v>0</v>
      </c>
      <c r="J1072" s="15">
        <v>12585</v>
      </c>
      <c r="K1072" s="15">
        <v>12585.43</v>
      </c>
      <c r="L1072" s="15">
        <v>10034.02</v>
      </c>
      <c r="M1072" s="15">
        <v>2551.41</v>
      </c>
      <c r="N1072" s="34">
        <v>20.272728067296899</v>
      </c>
    </row>
    <row r="1073" spans="1:14" x14ac:dyDescent="0.25">
      <c r="A1073" t="e">
        <f t="shared" si="32"/>
        <v>#VALUE!</v>
      </c>
      <c r="B1073" t="e">
        <f t="shared" si="33"/>
        <v>#VALUE!</v>
      </c>
      <c r="D1073"/>
      <c r="E1073"/>
      <c r="F1073"/>
      <c r="G1073"/>
      <c r="H1073"/>
      <c r="I1073"/>
      <c r="J1073"/>
      <c r="K1073"/>
      <c r="L1073"/>
      <c r="M1073"/>
      <c r="N1073"/>
    </row>
    <row r="1074" spans="1:14" x14ac:dyDescent="0.25">
      <c r="A1074" t="e">
        <f t="shared" si="32"/>
        <v>#VALUE!</v>
      </c>
      <c r="B1074" t="e">
        <f t="shared" si="33"/>
        <v>#VALUE!</v>
      </c>
      <c r="C1074" s="14">
        <v>33205</v>
      </c>
      <c r="D1074" s="14">
        <v>33205</v>
      </c>
      <c r="E1074"/>
      <c r="F1074"/>
      <c r="G1074"/>
      <c r="H1074"/>
      <c r="I1074"/>
      <c r="J1074"/>
      <c r="K1074"/>
      <c r="L1074"/>
      <c r="M1074"/>
      <c r="N1074"/>
    </row>
    <row r="1075" spans="1:14" x14ac:dyDescent="0.25">
      <c r="A1075" t="e">
        <f t="shared" si="32"/>
        <v>#VALUE!</v>
      </c>
      <c r="B1075" t="e">
        <f t="shared" si="33"/>
        <v>#VALUE!</v>
      </c>
      <c r="D1075"/>
      <c r="E1075"/>
      <c r="F1075"/>
      <c r="G1075"/>
      <c r="H1075"/>
      <c r="I1075"/>
      <c r="J1075"/>
      <c r="K1075"/>
      <c r="L1075"/>
      <c r="M1075"/>
      <c r="N1075"/>
    </row>
    <row r="1076" spans="1:14" x14ac:dyDescent="0.25">
      <c r="A1076" t="e">
        <f t="shared" si="32"/>
        <v>#VALUE!</v>
      </c>
      <c r="B1076" t="e">
        <f t="shared" si="33"/>
        <v>#VALUE!</v>
      </c>
      <c r="D1076" s="14">
        <v>0</v>
      </c>
      <c r="E1076"/>
      <c r="F1076"/>
      <c r="G1076"/>
      <c r="H1076"/>
      <c r="I1076"/>
      <c r="J1076"/>
      <c r="K1076"/>
      <c r="L1076"/>
      <c r="M1076"/>
      <c r="N1076"/>
    </row>
    <row r="1077" spans="1:14" x14ac:dyDescent="0.25">
      <c r="A1077" t="str">
        <f t="shared" si="32"/>
        <v>1056257</v>
      </c>
      <c r="B1077" t="str">
        <f t="shared" si="33"/>
        <v xml:space="preserve"> ATT - A01V1LZ - Palo Alto Pole Transfers</v>
      </c>
      <c r="C1077" t="s">
        <v>921</v>
      </c>
      <c r="D1077" s="15">
        <v>0</v>
      </c>
      <c r="E1077" s="15">
        <v>0</v>
      </c>
      <c r="F1077" s="15">
        <v>0</v>
      </c>
      <c r="G1077" s="34">
        <v>0</v>
      </c>
      <c r="H1077" s="15">
        <v>33205.15</v>
      </c>
      <c r="I1077" s="15">
        <v>0</v>
      </c>
      <c r="J1077" s="15">
        <v>33205</v>
      </c>
      <c r="K1077" s="15">
        <v>33205.15</v>
      </c>
      <c r="L1077" s="15">
        <v>25497.22</v>
      </c>
      <c r="M1077" s="15">
        <v>7707.93</v>
      </c>
      <c r="N1077" s="34">
        <v>23.2130558061024</v>
      </c>
    </row>
    <row r="1078" spans="1:14" x14ac:dyDescent="0.25">
      <c r="A1078" t="e">
        <f t="shared" si="32"/>
        <v>#VALUE!</v>
      </c>
      <c r="B1078" t="e">
        <f t="shared" si="33"/>
        <v>#VALUE!</v>
      </c>
      <c r="D1078"/>
      <c r="E1078"/>
      <c r="F1078"/>
      <c r="G1078"/>
      <c r="H1078"/>
      <c r="I1078"/>
      <c r="J1078"/>
      <c r="K1078"/>
      <c r="L1078"/>
      <c r="M1078"/>
      <c r="N1078"/>
    </row>
    <row r="1079" spans="1:14" x14ac:dyDescent="0.25">
      <c r="A1079" t="e">
        <f t="shared" si="32"/>
        <v>#VALUE!</v>
      </c>
      <c r="B1079" t="e">
        <f t="shared" si="33"/>
        <v>#VALUE!</v>
      </c>
      <c r="C1079">
        <v>48190</v>
      </c>
      <c r="D1079">
        <v>48190</v>
      </c>
      <c r="E1079"/>
      <c r="F1079"/>
      <c r="G1079"/>
      <c r="H1079"/>
      <c r="I1079"/>
      <c r="J1079"/>
      <c r="K1079"/>
      <c r="L1079"/>
      <c r="M1079"/>
      <c r="N1079"/>
    </row>
    <row r="1080" spans="1:14" x14ac:dyDescent="0.25">
      <c r="A1080" t="e">
        <f t="shared" si="32"/>
        <v>#VALUE!</v>
      </c>
      <c r="B1080" t="e">
        <f t="shared" si="33"/>
        <v>#VALUE!</v>
      </c>
      <c r="D1080"/>
      <c r="E1080"/>
      <c r="F1080"/>
      <c r="G1080"/>
      <c r="H1080"/>
      <c r="I1080"/>
      <c r="J1080"/>
      <c r="K1080"/>
      <c r="L1080"/>
      <c r="M1080"/>
      <c r="N1080"/>
    </row>
    <row r="1081" spans="1:14" x14ac:dyDescent="0.25">
      <c r="A1081" t="e">
        <f t="shared" si="32"/>
        <v>#VALUE!</v>
      </c>
      <c r="B1081" t="e">
        <f t="shared" si="33"/>
        <v>#VALUE!</v>
      </c>
      <c r="D1081" s="14">
        <v>0</v>
      </c>
      <c r="E1081"/>
      <c r="F1081"/>
      <c r="G1081"/>
      <c r="H1081"/>
      <c r="I1081"/>
      <c r="J1081"/>
      <c r="K1081"/>
      <c r="L1081"/>
      <c r="M1081"/>
      <c r="N1081"/>
    </row>
    <row r="1082" spans="1:14" x14ac:dyDescent="0.25">
      <c r="A1082" t="str">
        <f t="shared" si="32"/>
        <v>1056258</v>
      </c>
      <c r="B1082" t="str">
        <f t="shared" si="33"/>
        <v xml:space="preserve"> ATT - A02463N - Redwood City Pole Transf</v>
      </c>
      <c r="C1082" t="s">
        <v>975</v>
      </c>
      <c r="D1082" s="15">
        <v>0</v>
      </c>
      <c r="E1082" s="15">
        <v>0</v>
      </c>
      <c r="F1082" s="15">
        <v>0</v>
      </c>
      <c r="G1082" s="34">
        <v>0</v>
      </c>
      <c r="H1082" s="15">
        <v>48189.53</v>
      </c>
      <c r="I1082" s="15">
        <v>0</v>
      </c>
      <c r="J1082" s="15">
        <v>48190</v>
      </c>
      <c r="K1082" s="15">
        <v>48189.53</v>
      </c>
      <c r="L1082" s="15">
        <v>33596.93</v>
      </c>
      <c r="M1082" s="15">
        <v>14592.6</v>
      </c>
      <c r="N1082" s="34">
        <v>30.2816815187863</v>
      </c>
    </row>
    <row r="1083" spans="1:14" x14ac:dyDescent="0.25">
      <c r="A1083" t="e">
        <f t="shared" si="32"/>
        <v>#VALUE!</v>
      </c>
      <c r="B1083" t="e">
        <f t="shared" si="33"/>
        <v>#VALUE!</v>
      </c>
      <c r="D1083"/>
      <c r="E1083"/>
      <c r="F1083"/>
      <c r="G1083"/>
      <c r="H1083"/>
      <c r="I1083"/>
      <c r="J1083"/>
      <c r="K1083"/>
      <c r="L1083"/>
      <c r="M1083"/>
      <c r="N1083"/>
    </row>
    <row r="1084" spans="1:14" x14ac:dyDescent="0.25">
      <c r="A1084" t="e">
        <f t="shared" si="32"/>
        <v>#VALUE!</v>
      </c>
      <c r="B1084" t="e">
        <f t="shared" si="33"/>
        <v>#VALUE!</v>
      </c>
      <c r="C1084" s="14">
        <v>57025</v>
      </c>
      <c r="D1084" s="14">
        <v>57025</v>
      </c>
      <c r="E1084"/>
      <c r="F1084"/>
      <c r="G1084"/>
      <c r="H1084"/>
      <c r="I1084"/>
      <c r="J1084"/>
      <c r="K1084"/>
      <c r="L1084"/>
      <c r="M1084"/>
      <c r="N1084"/>
    </row>
    <row r="1085" spans="1:14" x14ac:dyDescent="0.25">
      <c r="A1085" t="e">
        <f t="shared" si="32"/>
        <v>#VALUE!</v>
      </c>
      <c r="B1085" t="e">
        <f t="shared" si="33"/>
        <v>#VALUE!</v>
      </c>
      <c r="D1085"/>
      <c r="E1085"/>
      <c r="F1085"/>
      <c r="G1085"/>
      <c r="H1085"/>
      <c r="I1085"/>
      <c r="J1085"/>
      <c r="K1085"/>
      <c r="L1085"/>
      <c r="M1085"/>
      <c r="N1085"/>
    </row>
    <row r="1086" spans="1:14" x14ac:dyDescent="0.25">
      <c r="A1086" t="e">
        <f t="shared" si="32"/>
        <v>#VALUE!</v>
      </c>
      <c r="B1086" t="e">
        <f t="shared" si="33"/>
        <v>#VALUE!</v>
      </c>
      <c r="D1086" s="14">
        <v>0</v>
      </c>
      <c r="E1086"/>
      <c r="F1086"/>
      <c r="G1086"/>
      <c r="H1086"/>
      <c r="I1086"/>
      <c r="J1086"/>
      <c r="K1086"/>
      <c r="L1086"/>
      <c r="M1086"/>
      <c r="N1086"/>
    </row>
    <row r="1087" spans="1:14" x14ac:dyDescent="0.25">
      <c r="A1087" t="str">
        <f t="shared" si="32"/>
        <v>1056259</v>
      </c>
      <c r="B1087" t="str">
        <f t="shared" si="33"/>
        <v xml:space="preserve"> ATT - A01VMCS - Redwood City Pole Transf</v>
      </c>
      <c r="C1087" t="s">
        <v>922</v>
      </c>
      <c r="D1087" s="15">
        <v>0</v>
      </c>
      <c r="E1087" s="15">
        <v>0</v>
      </c>
      <c r="F1087" s="15">
        <v>0</v>
      </c>
      <c r="G1087" s="34">
        <v>0</v>
      </c>
      <c r="H1087" s="15">
        <v>57025</v>
      </c>
      <c r="I1087" s="15">
        <v>0</v>
      </c>
      <c r="J1087" s="15">
        <v>57025</v>
      </c>
      <c r="K1087" s="15">
        <v>57025</v>
      </c>
      <c r="L1087" s="15">
        <v>33870.65</v>
      </c>
      <c r="M1087" s="15">
        <v>23154.35</v>
      </c>
      <c r="N1087" s="34">
        <v>40.603857957036404</v>
      </c>
    </row>
    <row r="1088" spans="1:14" x14ac:dyDescent="0.25">
      <c r="A1088" t="e">
        <f t="shared" si="32"/>
        <v>#VALUE!</v>
      </c>
      <c r="B1088" t="e">
        <f t="shared" si="33"/>
        <v>#VALUE!</v>
      </c>
      <c r="D1088"/>
      <c r="E1088"/>
      <c r="F1088"/>
      <c r="G1088"/>
      <c r="H1088"/>
      <c r="I1088"/>
      <c r="J1088"/>
      <c r="K1088"/>
      <c r="L1088"/>
      <c r="M1088"/>
      <c r="N1088"/>
    </row>
    <row r="1089" spans="1:14" x14ac:dyDescent="0.25">
      <c r="A1089" t="e">
        <f t="shared" si="32"/>
        <v>#VALUE!</v>
      </c>
      <c r="B1089" t="e">
        <f t="shared" si="33"/>
        <v>#VALUE!</v>
      </c>
      <c r="C1089" s="14">
        <v>112065</v>
      </c>
      <c r="D1089" s="14">
        <v>112065</v>
      </c>
      <c r="E1089"/>
      <c r="F1089"/>
      <c r="G1089"/>
      <c r="H1089"/>
      <c r="I1089"/>
      <c r="J1089"/>
      <c r="K1089"/>
      <c r="L1089"/>
      <c r="M1089"/>
      <c r="N1089"/>
    </row>
    <row r="1090" spans="1:14" x14ac:dyDescent="0.25">
      <c r="A1090" t="e">
        <f t="shared" si="32"/>
        <v>#VALUE!</v>
      </c>
      <c r="B1090" t="e">
        <f t="shared" si="33"/>
        <v>#VALUE!</v>
      </c>
      <c r="D1090"/>
      <c r="E1090"/>
      <c r="F1090"/>
      <c r="G1090"/>
      <c r="H1090"/>
      <c r="I1090"/>
      <c r="J1090"/>
      <c r="K1090"/>
      <c r="L1090"/>
      <c r="M1090"/>
      <c r="N1090"/>
    </row>
    <row r="1091" spans="1:14" x14ac:dyDescent="0.25">
      <c r="A1091" t="e">
        <f t="shared" si="32"/>
        <v>#VALUE!</v>
      </c>
      <c r="B1091" t="e">
        <f t="shared" si="33"/>
        <v>#VALUE!</v>
      </c>
      <c r="D1091" s="14">
        <v>0</v>
      </c>
      <c r="E1091"/>
      <c r="F1091"/>
      <c r="G1091"/>
      <c r="H1091"/>
      <c r="I1091"/>
      <c r="J1091"/>
      <c r="K1091"/>
      <c r="L1091"/>
      <c r="M1091"/>
      <c r="N1091"/>
    </row>
    <row r="1092" spans="1:14" x14ac:dyDescent="0.25">
      <c r="A1092" t="str">
        <f t="shared" si="32"/>
        <v>1056263</v>
      </c>
      <c r="B1092" t="str">
        <f t="shared" si="33"/>
        <v xml:space="preserve"> ATT - A058N3W - Harvard Circle</v>
      </c>
      <c r="C1092" t="s">
        <v>951</v>
      </c>
      <c r="D1092" s="15">
        <v>69210</v>
      </c>
      <c r="E1092" s="15">
        <v>64832.91</v>
      </c>
      <c r="F1092" s="15">
        <v>4377.09</v>
      </c>
      <c r="G1092" s="34">
        <v>6.3243606415257902</v>
      </c>
      <c r="H1092" s="15">
        <v>0</v>
      </c>
      <c r="I1092" s="15">
        <v>112064</v>
      </c>
      <c r="J1092" s="15">
        <v>112065</v>
      </c>
      <c r="K1092" s="15">
        <v>112064</v>
      </c>
      <c r="L1092" s="15">
        <v>107152.08</v>
      </c>
      <c r="M1092" s="15">
        <v>4911.92</v>
      </c>
      <c r="N1092" s="34">
        <v>4.3831382067390097</v>
      </c>
    </row>
    <row r="1093" spans="1:14" x14ac:dyDescent="0.25">
      <c r="A1093" t="e">
        <f t="shared" ref="A1093:A1141" si="34">LEFT(C1093,FIND(" ",C1093)-1)</f>
        <v>#VALUE!</v>
      </c>
      <c r="B1093" t="e">
        <f t="shared" ref="B1093:B1141" si="35">RIGHT(C1093,LEN(C1093)-FIND(" ",C1093))</f>
        <v>#VALUE!</v>
      </c>
      <c r="D1093"/>
      <c r="E1093"/>
      <c r="F1093"/>
      <c r="G1093"/>
      <c r="H1093"/>
      <c r="I1093"/>
      <c r="J1093"/>
      <c r="K1093"/>
      <c r="L1093"/>
      <c r="M1093"/>
      <c r="N1093"/>
    </row>
    <row r="1094" spans="1:14" x14ac:dyDescent="0.25">
      <c r="A1094" t="e">
        <f t="shared" si="34"/>
        <v>#VALUE!</v>
      </c>
      <c r="B1094" t="e">
        <f t="shared" si="35"/>
        <v>#VALUE!</v>
      </c>
      <c r="C1094" s="14">
        <v>32660</v>
      </c>
      <c r="D1094" s="14">
        <v>32660</v>
      </c>
      <c r="E1094"/>
      <c r="F1094"/>
      <c r="G1094"/>
      <c r="H1094"/>
      <c r="I1094"/>
      <c r="J1094"/>
      <c r="K1094"/>
      <c r="L1094"/>
      <c r="M1094"/>
      <c r="N1094"/>
    </row>
    <row r="1095" spans="1:14" x14ac:dyDescent="0.25">
      <c r="A1095" t="e">
        <f t="shared" si="34"/>
        <v>#VALUE!</v>
      </c>
      <c r="B1095" t="e">
        <f t="shared" si="35"/>
        <v>#VALUE!</v>
      </c>
      <c r="D1095"/>
      <c r="E1095"/>
      <c r="F1095"/>
      <c r="G1095"/>
      <c r="H1095"/>
      <c r="I1095"/>
      <c r="J1095"/>
      <c r="K1095"/>
      <c r="L1095"/>
      <c r="M1095"/>
      <c r="N1095"/>
    </row>
    <row r="1096" spans="1:14" x14ac:dyDescent="0.25">
      <c r="A1096" t="e">
        <f t="shared" si="34"/>
        <v>#VALUE!</v>
      </c>
      <c r="B1096" t="e">
        <f t="shared" si="35"/>
        <v>#VALUE!</v>
      </c>
      <c r="D1096" s="14">
        <v>0</v>
      </c>
      <c r="E1096"/>
      <c r="F1096"/>
      <c r="G1096"/>
      <c r="H1096"/>
      <c r="I1096"/>
      <c r="J1096"/>
      <c r="K1096"/>
      <c r="L1096"/>
      <c r="M1096"/>
      <c r="N1096"/>
    </row>
    <row r="1097" spans="1:14" x14ac:dyDescent="0.25">
      <c r="A1097" t="str">
        <f t="shared" si="34"/>
        <v>1056270</v>
      </c>
      <c r="B1097" t="str">
        <f t="shared" si="35"/>
        <v xml:space="preserve"> ATT - A058N3T - Moraga Dig Ups</v>
      </c>
      <c r="C1097" t="s">
        <v>964</v>
      </c>
      <c r="D1097" s="15">
        <v>0</v>
      </c>
      <c r="E1097" s="15">
        <v>0</v>
      </c>
      <c r="F1097" s="15">
        <v>0</v>
      </c>
      <c r="G1097" s="34">
        <v>0</v>
      </c>
      <c r="H1097" s="15">
        <v>0</v>
      </c>
      <c r="I1097" s="15">
        <v>20988</v>
      </c>
      <c r="J1097" s="15">
        <v>32660</v>
      </c>
      <c r="K1097" s="15">
        <v>20988</v>
      </c>
      <c r="L1097" s="15">
        <v>12420.76</v>
      </c>
      <c r="M1097" s="15">
        <v>8567.24</v>
      </c>
      <c r="N1097" s="34">
        <v>40.819706498951803</v>
      </c>
    </row>
    <row r="1098" spans="1:14" x14ac:dyDescent="0.25">
      <c r="A1098" t="e">
        <f t="shared" si="34"/>
        <v>#VALUE!</v>
      </c>
      <c r="B1098" t="e">
        <f t="shared" si="35"/>
        <v>#VALUE!</v>
      </c>
      <c r="D1098"/>
      <c r="E1098"/>
      <c r="F1098"/>
      <c r="G1098"/>
      <c r="H1098"/>
      <c r="I1098"/>
      <c r="J1098"/>
      <c r="K1098"/>
      <c r="L1098"/>
      <c r="M1098"/>
      <c r="N1098"/>
    </row>
    <row r="1099" spans="1:14" x14ac:dyDescent="0.25">
      <c r="A1099" t="e">
        <f t="shared" si="34"/>
        <v>#VALUE!</v>
      </c>
      <c r="B1099" t="e">
        <f t="shared" si="35"/>
        <v>#VALUE!</v>
      </c>
      <c r="C1099" s="14"/>
      <c r="D1099" s="14"/>
      <c r="E1099"/>
      <c r="F1099"/>
      <c r="G1099"/>
      <c r="H1099"/>
      <c r="I1099"/>
      <c r="J1099"/>
      <c r="K1099"/>
      <c r="L1099"/>
      <c r="M1099"/>
      <c r="N1099"/>
    </row>
    <row r="1100" spans="1:14" x14ac:dyDescent="0.25">
      <c r="A1100" t="e">
        <f t="shared" si="34"/>
        <v>#VALUE!</v>
      </c>
      <c r="B1100" t="e">
        <f t="shared" si="35"/>
        <v>#VALUE!</v>
      </c>
      <c r="D1100"/>
      <c r="E1100"/>
      <c r="F1100"/>
      <c r="G1100"/>
      <c r="H1100"/>
      <c r="I1100"/>
      <c r="J1100"/>
      <c r="K1100"/>
      <c r="L1100"/>
      <c r="M1100"/>
      <c r="N1100"/>
    </row>
    <row r="1101" spans="1:14" x14ac:dyDescent="0.25">
      <c r="A1101" t="e">
        <f t="shared" si="34"/>
        <v>#VALUE!</v>
      </c>
      <c r="B1101" t="e">
        <f t="shared" si="35"/>
        <v>#VALUE!</v>
      </c>
      <c r="D1101" s="14">
        <v>0</v>
      </c>
      <c r="E1101"/>
      <c r="F1101"/>
      <c r="G1101"/>
      <c r="H1101"/>
      <c r="I1101"/>
      <c r="J1101"/>
      <c r="K1101"/>
      <c r="L1101"/>
      <c r="M1101"/>
      <c r="N1101"/>
    </row>
    <row r="1102" spans="1:14" x14ac:dyDescent="0.25">
      <c r="A1102" t="str">
        <f t="shared" si="34"/>
        <v>1056271</v>
      </c>
      <c r="B1102" t="str">
        <f t="shared" si="35"/>
        <v xml:space="preserve"> VERIZON-CONCORD-NED AMEND-CW2406653</v>
      </c>
      <c r="C1102" t="s">
        <v>1003</v>
      </c>
      <c r="D1102" s="15">
        <v>0</v>
      </c>
      <c r="E1102" s="15">
        <v>4144.08</v>
      </c>
      <c r="F1102" s="15">
        <v>-4144.08</v>
      </c>
      <c r="G1102" s="34">
        <v>0</v>
      </c>
      <c r="H1102" s="15">
        <v>0</v>
      </c>
      <c r="I1102" s="15">
        <v>0</v>
      </c>
      <c r="J1102" s="15">
        <v>0</v>
      </c>
      <c r="K1102" s="15">
        <v>0</v>
      </c>
      <c r="L1102" s="15">
        <v>35717.22</v>
      </c>
      <c r="M1102" s="15">
        <v>-35717.22</v>
      </c>
      <c r="N1102" s="34">
        <v>0</v>
      </c>
    </row>
    <row r="1103" spans="1:14" x14ac:dyDescent="0.25">
      <c r="A1103" t="e">
        <f t="shared" si="34"/>
        <v>#VALUE!</v>
      </c>
      <c r="B1103" t="e">
        <f t="shared" si="35"/>
        <v>#VALUE!</v>
      </c>
      <c r="D1103"/>
      <c r="E1103"/>
      <c r="F1103"/>
      <c r="G1103"/>
      <c r="H1103"/>
      <c r="I1103"/>
      <c r="J1103"/>
      <c r="K1103"/>
      <c r="L1103"/>
      <c r="M1103"/>
      <c r="N1103"/>
    </row>
    <row r="1104" spans="1:14" x14ac:dyDescent="0.25">
      <c r="A1104" t="e">
        <f t="shared" si="34"/>
        <v>#VALUE!</v>
      </c>
      <c r="B1104" t="e">
        <f t="shared" si="35"/>
        <v>#VALUE!</v>
      </c>
      <c r="C1104" s="14">
        <v>139620</v>
      </c>
      <c r="D1104" s="14">
        <v>139620</v>
      </c>
      <c r="E1104"/>
      <c r="F1104"/>
      <c r="G1104"/>
      <c r="H1104"/>
      <c r="I1104"/>
      <c r="J1104"/>
      <c r="K1104"/>
      <c r="L1104"/>
      <c r="M1104"/>
      <c r="N1104"/>
    </row>
    <row r="1105" spans="1:14" x14ac:dyDescent="0.25">
      <c r="A1105" t="e">
        <f t="shared" si="34"/>
        <v>#VALUE!</v>
      </c>
      <c r="B1105" t="e">
        <f t="shared" si="35"/>
        <v>#VALUE!</v>
      </c>
      <c r="D1105"/>
      <c r="E1105"/>
      <c r="F1105"/>
      <c r="G1105"/>
      <c r="H1105"/>
      <c r="I1105"/>
      <c r="J1105"/>
      <c r="K1105"/>
      <c r="L1105"/>
      <c r="M1105"/>
      <c r="N1105"/>
    </row>
    <row r="1106" spans="1:14" x14ac:dyDescent="0.25">
      <c r="A1106" t="e">
        <f t="shared" si="34"/>
        <v>#VALUE!</v>
      </c>
      <c r="B1106" t="e">
        <f t="shared" si="35"/>
        <v>#VALUE!</v>
      </c>
      <c r="D1106" s="14">
        <v>0</v>
      </c>
      <c r="E1106"/>
      <c r="F1106"/>
      <c r="G1106"/>
      <c r="H1106"/>
      <c r="I1106"/>
      <c r="J1106"/>
      <c r="K1106"/>
      <c r="L1106"/>
      <c r="M1106"/>
      <c r="N1106"/>
    </row>
    <row r="1107" spans="1:14" x14ac:dyDescent="0.25">
      <c r="A1107" t="str">
        <f t="shared" si="34"/>
        <v>1056276</v>
      </c>
      <c r="B1107" t="str">
        <f t="shared" si="35"/>
        <v xml:space="preserve"> ATT - A05966Q - Danville Flexnap</v>
      </c>
      <c r="C1107" t="s">
        <v>1086</v>
      </c>
      <c r="D1107" s="15">
        <v>139616.73000000001</v>
      </c>
      <c r="E1107" s="15">
        <v>104411.71</v>
      </c>
      <c r="F1107" s="15">
        <v>35205.019999999997</v>
      </c>
      <c r="G1107" s="34">
        <v>25.215473818932701</v>
      </c>
      <c r="H1107" s="15">
        <v>0</v>
      </c>
      <c r="I1107" s="15">
        <v>139616.73000000001</v>
      </c>
      <c r="J1107" s="15">
        <v>139620</v>
      </c>
      <c r="K1107" s="15">
        <v>139616.73000000001</v>
      </c>
      <c r="L1107" s="15">
        <v>104411.71</v>
      </c>
      <c r="M1107" s="15">
        <v>35205.019999999997</v>
      </c>
      <c r="N1107" s="34">
        <v>25.215473818932701</v>
      </c>
    </row>
    <row r="1108" spans="1:14" x14ac:dyDescent="0.25">
      <c r="A1108" t="e">
        <f t="shared" si="34"/>
        <v>#VALUE!</v>
      </c>
      <c r="B1108" t="e">
        <f t="shared" si="35"/>
        <v>#VALUE!</v>
      </c>
      <c r="D1108"/>
      <c r="E1108"/>
      <c r="F1108"/>
      <c r="G1108"/>
      <c r="H1108"/>
      <c r="I1108"/>
      <c r="J1108"/>
      <c r="K1108"/>
      <c r="L1108"/>
      <c r="M1108"/>
      <c r="N1108"/>
    </row>
    <row r="1109" spans="1:14" x14ac:dyDescent="0.25">
      <c r="A1109" t="e">
        <f t="shared" si="34"/>
        <v>#VALUE!</v>
      </c>
      <c r="B1109" t="e">
        <f t="shared" si="35"/>
        <v>#VALUE!</v>
      </c>
      <c r="C1109" s="14">
        <v>12560</v>
      </c>
      <c r="D1109" s="14">
        <v>12560</v>
      </c>
      <c r="E1109"/>
      <c r="F1109"/>
      <c r="G1109"/>
      <c r="H1109"/>
      <c r="I1109"/>
      <c r="J1109"/>
      <c r="K1109"/>
      <c r="L1109"/>
      <c r="M1109"/>
      <c r="N1109"/>
    </row>
    <row r="1110" spans="1:14" x14ac:dyDescent="0.25">
      <c r="A1110" t="e">
        <f t="shared" si="34"/>
        <v>#VALUE!</v>
      </c>
      <c r="B1110" t="e">
        <f t="shared" si="35"/>
        <v>#VALUE!</v>
      </c>
      <c r="D1110"/>
      <c r="E1110"/>
      <c r="F1110"/>
      <c r="G1110"/>
      <c r="H1110"/>
      <c r="I1110"/>
      <c r="J1110"/>
      <c r="K1110"/>
      <c r="L1110"/>
      <c r="M1110"/>
      <c r="N1110"/>
    </row>
    <row r="1111" spans="1:14" x14ac:dyDescent="0.25">
      <c r="A1111" t="e">
        <f t="shared" si="34"/>
        <v>#VALUE!</v>
      </c>
      <c r="B1111" t="e">
        <f t="shared" si="35"/>
        <v>#VALUE!</v>
      </c>
      <c r="D1111" s="14">
        <v>0</v>
      </c>
      <c r="E1111"/>
      <c r="F1111"/>
      <c r="G1111"/>
      <c r="H1111"/>
      <c r="I1111"/>
      <c r="J1111"/>
      <c r="K1111"/>
      <c r="L1111"/>
      <c r="M1111"/>
      <c r="N1111"/>
    </row>
    <row r="1112" spans="1:14" x14ac:dyDescent="0.25">
      <c r="A1112" t="str">
        <f t="shared" si="34"/>
        <v>1056283</v>
      </c>
      <c r="B1112" t="str">
        <f t="shared" si="35"/>
        <v xml:space="preserve"> ATT - A059FVL - Alameda Rod and Rope</v>
      </c>
      <c r="C1112" t="s">
        <v>1004</v>
      </c>
      <c r="D1112" s="15">
        <v>0</v>
      </c>
      <c r="E1112" s="15">
        <v>0</v>
      </c>
      <c r="F1112" s="15">
        <v>0</v>
      </c>
      <c r="G1112" s="34">
        <v>0</v>
      </c>
      <c r="H1112" s="15">
        <v>0</v>
      </c>
      <c r="I1112" s="15">
        <v>13334.1</v>
      </c>
      <c r="J1112" s="15">
        <v>12560</v>
      </c>
      <c r="K1112" s="15">
        <v>13334.1</v>
      </c>
      <c r="L1112" s="15">
        <v>13805.78</v>
      </c>
      <c r="M1112" s="15">
        <v>-471.68</v>
      </c>
      <c r="N1112" s="34">
        <v>-3.5373965996955201</v>
      </c>
    </row>
    <row r="1113" spans="1:14" x14ac:dyDescent="0.25">
      <c r="A1113" t="e">
        <f t="shared" si="34"/>
        <v>#VALUE!</v>
      </c>
      <c r="B1113" t="e">
        <f t="shared" si="35"/>
        <v>#VALUE!</v>
      </c>
      <c r="D1113"/>
      <c r="E1113"/>
      <c r="F1113"/>
      <c r="G1113"/>
      <c r="H1113"/>
      <c r="I1113"/>
      <c r="J1113"/>
      <c r="K1113"/>
      <c r="L1113"/>
      <c r="M1113"/>
      <c r="N1113"/>
    </row>
    <row r="1114" spans="1:14" x14ac:dyDescent="0.25">
      <c r="A1114" t="e">
        <f t="shared" si="34"/>
        <v>#VALUE!</v>
      </c>
      <c r="B1114" t="e">
        <f t="shared" si="35"/>
        <v>#VALUE!</v>
      </c>
      <c r="C1114" s="14">
        <v>10690</v>
      </c>
      <c r="D1114" s="14">
        <v>10690</v>
      </c>
      <c r="E1114"/>
      <c r="F1114"/>
      <c r="G1114"/>
      <c r="H1114"/>
      <c r="I1114"/>
      <c r="J1114"/>
      <c r="K1114"/>
      <c r="L1114"/>
      <c r="M1114"/>
      <c r="N1114"/>
    </row>
    <row r="1115" spans="1:14" x14ac:dyDescent="0.25">
      <c r="A1115" t="e">
        <f t="shared" si="34"/>
        <v>#VALUE!</v>
      </c>
      <c r="B1115" t="e">
        <f t="shared" si="35"/>
        <v>#VALUE!</v>
      </c>
      <c r="D1115"/>
      <c r="E1115"/>
      <c r="F1115"/>
      <c r="G1115"/>
      <c r="H1115"/>
      <c r="I1115"/>
      <c r="J1115"/>
      <c r="K1115"/>
      <c r="L1115"/>
      <c r="M1115"/>
      <c r="N1115"/>
    </row>
    <row r="1116" spans="1:14" x14ac:dyDescent="0.25">
      <c r="A1116" t="e">
        <f t="shared" si="34"/>
        <v>#VALUE!</v>
      </c>
      <c r="B1116" t="e">
        <f t="shared" si="35"/>
        <v>#VALUE!</v>
      </c>
      <c r="D1116" s="14">
        <v>0</v>
      </c>
      <c r="E1116"/>
      <c r="F1116"/>
      <c r="G1116"/>
      <c r="H1116"/>
      <c r="I1116"/>
      <c r="J1116"/>
      <c r="K1116"/>
      <c r="L1116"/>
      <c r="M1116"/>
      <c r="N1116"/>
    </row>
    <row r="1117" spans="1:14" x14ac:dyDescent="0.25">
      <c r="A1117" t="str">
        <f t="shared" si="34"/>
        <v>1056284</v>
      </c>
      <c r="B1117" t="str">
        <f t="shared" si="35"/>
        <v xml:space="preserve"> Sprint - OKLD Zero MH Repair</v>
      </c>
      <c r="C1117" t="s">
        <v>1049</v>
      </c>
      <c r="D1117" s="15">
        <v>0</v>
      </c>
      <c r="E1117" s="15">
        <v>0</v>
      </c>
      <c r="F1117" s="15">
        <v>0</v>
      </c>
      <c r="G1117" s="34">
        <v>0</v>
      </c>
      <c r="H1117" s="15">
        <v>0</v>
      </c>
      <c r="I1117" s="15">
        <v>0</v>
      </c>
      <c r="J1117" s="15">
        <v>10690</v>
      </c>
      <c r="K1117" s="15">
        <v>0</v>
      </c>
      <c r="L1117" s="15">
        <v>223.88</v>
      </c>
      <c r="M1117" s="15">
        <v>-223.88</v>
      </c>
      <c r="N1117" s="34">
        <v>0</v>
      </c>
    </row>
    <row r="1118" spans="1:14" x14ac:dyDescent="0.25">
      <c r="A1118" t="e">
        <f t="shared" si="34"/>
        <v>#VALUE!</v>
      </c>
      <c r="B1118" t="e">
        <f t="shared" si="35"/>
        <v>#VALUE!</v>
      </c>
      <c r="D1118"/>
      <c r="E1118"/>
      <c r="F1118"/>
      <c r="G1118"/>
      <c r="H1118"/>
      <c r="I1118"/>
      <c r="J1118"/>
      <c r="K1118"/>
      <c r="L1118"/>
      <c r="M1118"/>
      <c r="N1118"/>
    </row>
    <row r="1119" spans="1:14" x14ac:dyDescent="0.25">
      <c r="A1119" t="e">
        <f t="shared" si="34"/>
        <v>#VALUE!</v>
      </c>
      <c r="B1119" t="e">
        <f t="shared" si="35"/>
        <v>#VALUE!</v>
      </c>
      <c r="C1119" s="14">
        <v>29608.45</v>
      </c>
      <c r="D1119" s="14">
        <v>29608.45</v>
      </c>
      <c r="E1119"/>
      <c r="F1119"/>
      <c r="G1119"/>
      <c r="H1119"/>
      <c r="I1119"/>
      <c r="J1119"/>
      <c r="K1119"/>
      <c r="L1119"/>
      <c r="M1119"/>
      <c r="N1119"/>
    </row>
    <row r="1120" spans="1:14" x14ac:dyDescent="0.25">
      <c r="A1120" t="e">
        <f t="shared" si="34"/>
        <v>#VALUE!</v>
      </c>
      <c r="B1120" t="e">
        <f t="shared" si="35"/>
        <v>#VALUE!</v>
      </c>
      <c r="D1120"/>
      <c r="E1120"/>
      <c r="F1120"/>
      <c r="G1120"/>
      <c r="H1120"/>
      <c r="I1120"/>
      <c r="J1120"/>
      <c r="K1120"/>
      <c r="L1120"/>
      <c r="M1120"/>
      <c r="N1120"/>
    </row>
    <row r="1121" spans="1:14" x14ac:dyDescent="0.25">
      <c r="A1121" t="e">
        <f t="shared" si="34"/>
        <v>#VALUE!</v>
      </c>
      <c r="B1121" t="e">
        <f t="shared" si="35"/>
        <v>#VALUE!</v>
      </c>
      <c r="D1121" s="14">
        <v>0</v>
      </c>
      <c r="E1121"/>
      <c r="F1121"/>
      <c r="G1121"/>
      <c r="H1121"/>
      <c r="I1121"/>
      <c r="J1121"/>
      <c r="K1121"/>
      <c r="L1121"/>
      <c r="M1121"/>
      <c r="N1121"/>
    </row>
    <row r="1122" spans="1:14" x14ac:dyDescent="0.25">
      <c r="A1122" t="str">
        <f t="shared" si="34"/>
        <v>1056291</v>
      </c>
      <c r="B1122" t="str">
        <f t="shared" si="35"/>
        <v xml:space="preserve"> ATT - Blossom Hill Rd - PO 06572536</v>
      </c>
      <c r="C1122" t="s">
        <v>1050</v>
      </c>
      <c r="D1122" s="15">
        <v>0</v>
      </c>
      <c r="E1122" s="15">
        <v>0.01</v>
      </c>
      <c r="F1122" s="15">
        <v>-0.01</v>
      </c>
      <c r="G1122" s="34">
        <v>0</v>
      </c>
      <c r="H1122" s="15">
        <v>29608.45</v>
      </c>
      <c r="I1122" s="15">
        <v>0</v>
      </c>
      <c r="J1122" s="15">
        <v>29608.45</v>
      </c>
      <c r="K1122" s="15">
        <v>29608.45</v>
      </c>
      <c r="L1122" s="15">
        <v>7577.04</v>
      </c>
      <c r="M1122" s="15">
        <v>22031.41</v>
      </c>
      <c r="N1122" s="34">
        <v>74.409197374398204</v>
      </c>
    </row>
    <row r="1123" spans="1:14" x14ac:dyDescent="0.25">
      <c r="A1123" t="e">
        <f t="shared" si="34"/>
        <v>#VALUE!</v>
      </c>
      <c r="B1123" t="e">
        <f t="shared" si="35"/>
        <v>#VALUE!</v>
      </c>
      <c r="D1123"/>
      <c r="E1123"/>
      <c r="F1123"/>
      <c r="G1123"/>
      <c r="H1123"/>
      <c r="I1123"/>
      <c r="J1123"/>
      <c r="K1123"/>
      <c r="L1123"/>
      <c r="M1123"/>
      <c r="N1123"/>
    </row>
    <row r="1124" spans="1:14" x14ac:dyDescent="0.25">
      <c r="A1124" t="e">
        <f t="shared" si="34"/>
        <v>#VALUE!</v>
      </c>
      <c r="B1124" t="e">
        <f t="shared" si="35"/>
        <v>#VALUE!</v>
      </c>
      <c r="C1124" s="14">
        <v>161935</v>
      </c>
      <c r="D1124" s="14">
        <v>161935</v>
      </c>
      <c r="E1124"/>
      <c r="F1124"/>
      <c r="G1124"/>
      <c r="H1124"/>
      <c r="I1124"/>
      <c r="J1124"/>
      <c r="K1124"/>
      <c r="L1124"/>
      <c r="M1124"/>
      <c r="N1124"/>
    </row>
    <row r="1125" spans="1:14" x14ac:dyDescent="0.25">
      <c r="A1125" t="e">
        <f t="shared" si="34"/>
        <v>#VALUE!</v>
      </c>
      <c r="B1125" t="e">
        <f t="shared" si="35"/>
        <v>#VALUE!</v>
      </c>
      <c r="D1125"/>
      <c r="E1125"/>
      <c r="F1125"/>
      <c r="G1125"/>
      <c r="H1125"/>
      <c r="I1125"/>
      <c r="J1125"/>
      <c r="K1125"/>
      <c r="L1125"/>
      <c r="M1125"/>
      <c r="N1125"/>
    </row>
    <row r="1126" spans="1:14" x14ac:dyDescent="0.25">
      <c r="A1126" t="e">
        <f t="shared" si="34"/>
        <v>#VALUE!</v>
      </c>
      <c r="B1126" t="e">
        <f t="shared" si="35"/>
        <v>#VALUE!</v>
      </c>
      <c r="D1126" s="14">
        <v>0</v>
      </c>
      <c r="E1126"/>
      <c r="F1126"/>
      <c r="G1126"/>
      <c r="H1126"/>
      <c r="I1126"/>
      <c r="J1126"/>
      <c r="K1126"/>
      <c r="L1126"/>
      <c r="M1126"/>
      <c r="N1126"/>
    </row>
    <row r="1127" spans="1:14" x14ac:dyDescent="0.25">
      <c r="A1127" t="str">
        <f t="shared" si="34"/>
        <v>1056294</v>
      </c>
      <c r="B1127" t="str">
        <f t="shared" si="35"/>
        <v xml:space="preserve"> ATT - A058EV8 - Martinez</v>
      </c>
      <c r="C1127" t="s">
        <v>1051</v>
      </c>
      <c r="D1127" s="15">
        <v>110965.26</v>
      </c>
      <c r="E1127" s="15">
        <v>65083.39</v>
      </c>
      <c r="F1127" s="15">
        <v>45881.87</v>
      </c>
      <c r="G1127" s="34">
        <v>41.347958811613701</v>
      </c>
      <c r="H1127" s="15">
        <v>0</v>
      </c>
      <c r="I1127" s="15">
        <v>110965.26</v>
      </c>
      <c r="J1127" s="15">
        <v>161935</v>
      </c>
      <c r="K1127" s="15">
        <v>110965.26</v>
      </c>
      <c r="L1127" s="15">
        <v>68729.649999999994</v>
      </c>
      <c r="M1127" s="15">
        <v>42235.61</v>
      </c>
      <c r="N1127" s="34">
        <v>38.062011479989302</v>
      </c>
    </row>
    <row r="1128" spans="1:14" x14ac:dyDescent="0.25">
      <c r="A1128" t="e">
        <f t="shared" si="34"/>
        <v>#VALUE!</v>
      </c>
      <c r="B1128" t="e">
        <f t="shared" si="35"/>
        <v>#VALUE!</v>
      </c>
      <c r="D1128"/>
      <c r="E1128"/>
      <c r="F1128"/>
      <c r="G1128"/>
      <c r="H1128"/>
      <c r="I1128"/>
      <c r="J1128"/>
      <c r="K1128"/>
      <c r="L1128"/>
      <c r="M1128"/>
      <c r="N1128"/>
    </row>
    <row r="1129" spans="1:14" x14ac:dyDescent="0.25">
      <c r="A1129" t="e">
        <f t="shared" si="34"/>
        <v>#VALUE!</v>
      </c>
      <c r="B1129" t="e">
        <f t="shared" si="35"/>
        <v>#VALUE!</v>
      </c>
      <c r="C1129" s="14">
        <v>568640</v>
      </c>
      <c r="D1129" s="14">
        <v>568640</v>
      </c>
      <c r="E1129"/>
      <c r="F1129"/>
      <c r="G1129"/>
      <c r="H1129"/>
      <c r="I1129"/>
      <c r="J1129"/>
      <c r="K1129"/>
      <c r="L1129"/>
      <c r="M1129"/>
      <c r="N1129"/>
    </row>
    <row r="1130" spans="1:14" x14ac:dyDescent="0.25">
      <c r="A1130" t="e">
        <f t="shared" si="34"/>
        <v>#VALUE!</v>
      </c>
      <c r="B1130" t="e">
        <f t="shared" si="35"/>
        <v>#VALUE!</v>
      </c>
      <c r="D1130"/>
      <c r="E1130"/>
      <c r="F1130"/>
      <c r="G1130"/>
      <c r="H1130"/>
      <c r="I1130"/>
      <c r="J1130"/>
      <c r="K1130"/>
      <c r="L1130"/>
      <c r="M1130"/>
      <c r="N1130"/>
    </row>
    <row r="1131" spans="1:14" x14ac:dyDescent="0.25">
      <c r="A1131" t="e">
        <f t="shared" si="34"/>
        <v>#VALUE!</v>
      </c>
      <c r="B1131" t="e">
        <f t="shared" si="35"/>
        <v>#VALUE!</v>
      </c>
      <c r="D1131" s="14">
        <v>0</v>
      </c>
      <c r="E1131"/>
      <c r="F1131"/>
      <c r="G1131"/>
      <c r="H1131"/>
      <c r="I1131"/>
      <c r="J1131"/>
      <c r="K1131"/>
      <c r="L1131"/>
      <c r="M1131"/>
      <c r="N1131"/>
    </row>
    <row r="1132" spans="1:14" x14ac:dyDescent="0.25">
      <c r="A1132" t="str">
        <f t="shared" si="34"/>
        <v>1296248</v>
      </c>
      <c r="B1132" t="str">
        <f t="shared" si="35"/>
        <v xml:space="preserve"> ATT - A0558LC - Sparks NV</v>
      </c>
      <c r="C1132" t="s">
        <v>952</v>
      </c>
      <c r="D1132" s="15">
        <v>164625.66</v>
      </c>
      <c r="E1132" s="15">
        <v>96387.46</v>
      </c>
      <c r="F1132" s="15">
        <v>68238.2</v>
      </c>
      <c r="G1132" s="34">
        <v>41.450524784532398</v>
      </c>
      <c r="H1132" s="15">
        <v>0</v>
      </c>
      <c r="I1132" s="15">
        <v>406452.25</v>
      </c>
      <c r="J1132" s="15">
        <v>568640</v>
      </c>
      <c r="K1132" s="15">
        <v>406452.25</v>
      </c>
      <c r="L1132" s="15">
        <v>319631.8</v>
      </c>
      <c r="M1132" s="15">
        <v>86820.45</v>
      </c>
      <c r="N1132" s="34">
        <v>21.3605534229421</v>
      </c>
    </row>
    <row r="1133" spans="1:14" x14ac:dyDescent="0.25">
      <c r="A1133" t="e">
        <f t="shared" si="34"/>
        <v>#VALUE!</v>
      </c>
      <c r="B1133" t="e">
        <f t="shared" si="35"/>
        <v>#VALUE!</v>
      </c>
      <c r="D1133"/>
      <c r="E1133"/>
      <c r="F1133"/>
      <c r="G1133"/>
      <c r="H1133"/>
      <c r="I1133"/>
      <c r="J1133"/>
      <c r="K1133"/>
      <c r="L1133"/>
      <c r="M1133"/>
      <c r="N1133"/>
    </row>
    <row r="1134" spans="1:14" x14ac:dyDescent="0.25">
      <c r="A1134" t="e">
        <f t="shared" si="34"/>
        <v>#VALUE!</v>
      </c>
      <c r="B1134" t="e">
        <f t="shared" si="35"/>
        <v>#VALUE!</v>
      </c>
      <c r="C1134" s="14">
        <v>990678.29</v>
      </c>
      <c r="D1134" s="14">
        <v>990678.29</v>
      </c>
      <c r="E1134"/>
      <c r="F1134"/>
      <c r="G1134"/>
      <c r="H1134"/>
      <c r="I1134"/>
      <c r="J1134"/>
      <c r="K1134"/>
      <c r="L1134"/>
      <c r="M1134"/>
      <c r="N1134"/>
    </row>
    <row r="1135" spans="1:14" x14ac:dyDescent="0.25">
      <c r="A1135" t="e">
        <f t="shared" si="34"/>
        <v>#VALUE!</v>
      </c>
      <c r="B1135" t="e">
        <f t="shared" si="35"/>
        <v>#VALUE!</v>
      </c>
      <c r="D1135"/>
      <c r="E1135"/>
      <c r="F1135"/>
      <c r="G1135"/>
      <c r="H1135"/>
      <c r="I1135"/>
      <c r="J1135"/>
      <c r="K1135"/>
      <c r="L1135"/>
      <c r="M1135"/>
      <c r="N1135"/>
    </row>
    <row r="1136" spans="1:14" x14ac:dyDescent="0.25">
      <c r="A1136" t="e">
        <f t="shared" si="34"/>
        <v>#VALUE!</v>
      </c>
      <c r="B1136" t="e">
        <f t="shared" si="35"/>
        <v>#VALUE!</v>
      </c>
      <c r="D1136" s="14">
        <v>0</v>
      </c>
      <c r="E1136"/>
      <c r="F1136"/>
      <c r="G1136"/>
      <c r="H1136"/>
      <c r="I1136"/>
      <c r="J1136"/>
      <c r="K1136"/>
      <c r="L1136"/>
      <c r="M1136"/>
      <c r="N1136"/>
    </row>
    <row r="1137" spans="1:14" x14ac:dyDescent="0.25">
      <c r="A1137" t="str">
        <f t="shared" si="34"/>
        <v>4052136</v>
      </c>
      <c r="B1137" t="str">
        <f t="shared" si="35"/>
        <v xml:space="preserve"> Lumen - 2590 Walsh Ave</v>
      </c>
      <c r="C1137" t="s">
        <v>698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990678.29</v>
      </c>
      <c r="K1137">
        <v>0</v>
      </c>
      <c r="L1137">
        <v>350.4</v>
      </c>
      <c r="M1137">
        <v>-350.4</v>
      </c>
      <c r="N1137">
        <v>0</v>
      </c>
    </row>
    <row r="1138" spans="1:14" x14ac:dyDescent="0.25">
      <c r="A1138" t="e">
        <f t="shared" si="34"/>
        <v>#VALUE!</v>
      </c>
      <c r="B1138" t="e">
        <f t="shared" si="35"/>
        <v>#VALUE!</v>
      </c>
      <c r="C1138" s="14"/>
      <c r="D1138" s="14"/>
      <c r="E1138"/>
      <c r="F1138"/>
      <c r="G1138"/>
      <c r="H1138"/>
      <c r="I1138"/>
      <c r="J1138"/>
      <c r="K1138"/>
      <c r="L1138"/>
      <c r="M1138"/>
      <c r="N1138"/>
    </row>
    <row r="1139" spans="1:14" x14ac:dyDescent="0.25">
      <c r="A1139" t="e">
        <f t="shared" si="34"/>
        <v>#VALUE!</v>
      </c>
      <c r="B1139" t="e">
        <f t="shared" si="35"/>
        <v>#VALUE!</v>
      </c>
      <c r="C1139">
        <v>0</v>
      </c>
      <c r="D1139">
        <v>0</v>
      </c>
      <c r="E1139"/>
      <c r="F1139"/>
      <c r="G1139"/>
      <c r="H1139"/>
      <c r="I1139"/>
      <c r="J1139"/>
      <c r="K1139"/>
      <c r="L1139"/>
      <c r="M1139"/>
      <c r="N1139"/>
    </row>
    <row r="1140" spans="1:14" x14ac:dyDescent="0.25">
      <c r="A1140" t="e">
        <f t="shared" si="34"/>
        <v>#VALUE!</v>
      </c>
      <c r="B1140" t="e">
        <f t="shared" si="35"/>
        <v>#VALUE!</v>
      </c>
      <c r="D1140" s="14"/>
      <c r="E1140"/>
      <c r="F1140"/>
      <c r="G1140"/>
      <c r="H1140"/>
      <c r="I1140"/>
      <c r="J1140"/>
      <c r="K1140"/>
      <c r="L1140"/>
      <c r="M1140"/>
      <c r="N1140"/>
    </row>
    <row r="1141" spans="1:14" x14ac:dyDescent="0.25">
      <c r="A1141" t="e">
        <f t="shared" si="34"/>
        <v>#VALUE!</v>
      </c>
      <c r="B1141" t="e">
        <f t="shared" si="35"/>
        <v>#VALUE!</v>
      </c>
      <c r="D1141" s="15">
        <v>0</v>
      </c>
      <c r="E1141" s="15"/>
      <c r="F1141" s="15"/>
      <c r="G1141" s="34"/>
      <c r="H1141" s="15"/>
      <c r="I1141" s="15"/>
      <c r="J1141" s="15"/>
      <c r="K1141" s="15"/>
      <c r="L1141" s="15"/>
      <c r="M1141" s="15"/>
      <c r="N1141" s="34"/>
    </row>
    <row r="1142" spans="1:14" x14ac:dyDescent="0.25">
      <c r="A1142" t="str">
        <f t="shared" ref="A1142:A1193" si="36">LEFT(C1142,FIND(" ",C1142)-1)</f>
        <v>4052152</v>
      </c>
      <c r="B1142" t="str">
        <f t="shared" ref="B1142:B1193" si="37">RIGHT(C1142,LEN(C1142)-FIND(" ",C1142))</f>
        <v xml:space="preserve"> ATT - WE12 CSVA 3 (2024-26)</v>
      </c>
      <c r="C1142" t="s">
        <v>608</v>
      </c>
      <c r="D1142">
        <v>982928.34</v>
      </c>
      <c r="E1142">
        <v>930130.35</v>
      </c>
      <c r="F1142">
        <v>52797.99</v>
      </c>
      <c r="G1142">
        <v>5.3714994116458197</v>
      </c>
      <c r="H1142">
        <v>4693809.57</v>
      </c>
      <c r="I1142">
        <v>1651536.24</v>
      </c>
      <c r="J1142">
        <v>0</v>
      </c>
      <c r="K1142">
        <v>6345345.8099999996</v>
      </c>
      <c r="L1142">
        <v>6183754.6699999999</v>
      </c>
      <c r="M1142">
        <v>161591.14000000001</v>
      </c>
      <c r="N1142">
        <v>2.5466088821406601</v>
      </c>
    </row>
    <row r="1143" spans="1:14" x14ac:dyDescent="0.25">
      <c r="A1143" t="e">
        <f t="shared" si="36"/>
        <v>#VALUE!</v>
      </c>
      <c r="B1143" t="e">
        <f t="shared" si="37"/>
        <v>#VALUE!</v>
      </c>
      <c r="C1143" s="14"/>
      <c r="D1143" s="14"/>
      <c r="E1143"/>
      <c r="F1143"/>
      <c r="G1143"/>
      <c r="H1143"/>
      <c r="I1143"/>
      <c r="J1143"/>
      <c r="K1143"/>
      <c r="L1143"/>
      <c r="M1143"/>
      <c r="N1143"/>
    </row>
    <row r="1144" spans="1:14" x14ac:dyDescent="0.25">
      <c r="A1144" t="e">
        <f t="shared" si="36"/>
        <v>#VALUE!</v>
      </c>
      <c r="B1144" t="e">
        <f t="shared" si="37"/>
        <v>#VALUE!</v>
      </c>
      <c r="C1144">
        <v>0</v>
      </c>
      <c r="D1144">
        <v>0</v>
      </c>
      <c r="E1144"/>
      <c r="F1144"/>
      <c r="G1144"/>
      <c r="H1144"/>
      <c r="I1144"/>
      <c r="J1144"/>
      <c r="K1144"/>
      <c r="L1144"/>
      <c r="M1144"/>
      <c r="N1144"/>
    </row>
    <row r="1145" spans="1:14" x14ac:dyDescent="0.25">
      <c r="A1145" t="e">
        <f t="shared" si="36"/>
        <v>#VALUE!</v>
      </c>
      <c r="B1145" t="e">
        <f t="shared" si="37"/>
        <v>#VALUE!</v>
      </c>
      <c r="D1145" s="14"/>
      <c r="E1145"/>
      <c r="F1145"/>
      <c r="G1145"/>
      <c r="H1145"/>
      <c r="I1145"/>
      <c r="J1145"/>
      <c r="K1145"/>
      <c r="L1145"/>
      <c r="M1145"/>
      <c r="N1145"/>
    </row>
    <row r="1146" spans="1:14" x14ac:dyDescent="0.25">
      <c r="A1146" t="e">
        <f t="shared" si="36"/>
        <v>#VALUE!</v>
      </c>
      <c r="B1146" t="e">
        <f t="shared" si="37"/>
        <v>#VALUE!</v>
      </c>
      <c r="D1146" s="15">
        <v>0</v>
      </c>
      <c r="E1146" s="15"/>
      <c r="F1146" s="15"/>
      <c r="G1146" s="34"/>
      <c r="H1146" s="15"/>
      <c r="I1146" s="15"/>
      <c r="J1146" s="15"/>
      <c r="K1146" s="15"/>
      <c r="L1146" s="15"/>
      <c r="M1146" s="15"/>
      <c r="N1146" s="34"/>
    </row>
    <row r="1147" spans="1:14" x14ac:dyDescent="0.25">
      <c r="A1147" t="str">
        <f t="shared" si="36"/>
        <v>4052154</v>
      </c>
      <c r="B1147" t="str">
        <f t="shared" si="37"/>
        <v xml:space="preserve"> Lumen - COCAL Bay Area MSA (2025-26)</v>
      </c>
      <c r="C1147" t="s">
        <v>1087</v>
      </c>
      <c r="D1147">
        <v>0</v>
      </c>
      <c r="E1147" s="15">
        <v>6466.56</v>
      </c>
      <c r="F1147" s="15">
        <v>-6466.56</v>
      </c>
      <c r="G1147" s="15">
        <v>0</v>
      </c>
      <c r="H1147" s="15">
        <v>128456.7</v>
      </c>
      <c r="I1147" s="15">
        <v>17089.5</v>
      </c>
      <c r="J1147" s="15">
        <v>0</v>
      </c>
      <c r="K1147" s="14">
        <v>145546.20000000001</v>
      </c>
      <c r="L1147" s="15">
        <v>118304.9</v>
      </c>
      <c r="M1147" s="15">
        <v>27241.3</v>
      </c>
      <c r="N1147" s="14">
        <v>18.716599952454999</v>
      </c>
    </row>
    <row r="1148" spans="1:14" x14ac:dyDescent="0.25">
      <c r="A1148" t="e">
        <f t="shared" si="36"/>
        <v>#VALUE!</v>
      </c>
      <c r="B1148" t="e">
        <f t="shared" si="37"/>
        <v>#VALUE!</v>
      </c>
      <c r="D1148"/>
      <c r="E1148"/>
      <c r="F1148"/>
      <c r="G1148"/>
      <c r="H1148"/>
      <c r="I1148"/>
      <c r="J1148"/>
      <c r="K1148"/>
      <c r="L1148"/>
      <c r="M1148"/>
      <c r="N1148"/>
    </row>
    <row r="1149" spans="1:14" x14ac:dyDescent="0.25">
      <c r="A1149" t="e">
        <f t="shared" si="36"/>
        <v>#VALUE!</v>
      </c>
      <c r="B1149" t="e">
        <f t="shared" si="37"/>
        <v>#VALUE!</v>
      </c>
      <c r="C1149">
        <v>82560</v>
      </c>
      <c r="D1149">
        <v>82560</v>
      </c>
      <c r="E1149"/>
      <c r="F1149"/>
      <c r="G1149"/>
      <c r="H1149"/>
      <c r="I1149"/>
      <c r="J1149"/>
      <c r="K1149"/>
      <c r="L1149"/>
      <c r="M1149"/>
      <c r="N1149"/>
    </row>
    <row r="1150" spans="1:14" x14ac:dyDescent="0.25">
      <c r="A1150" t="e">
        <f t="shared" si="36"/>
        <v>#VALUE!</v>
      </c>
      <c r="B1150" t="e">
        <f t="shared" si="37"/>
        <v>#VALUE!</v>
      </c>
      <c r="C1150" s="14"/>
      <c r="D1150" s="14"/>
      <c r="E1150"/>
      <c r="F1150"/>
      <c r="G1150"/>
      <c r="H1150"/>
      <c r="I1150"/>
      <c r="J1150"/>
      <c r="K1150"/>
      <c r="L1150"/>
      <c r="M1150"/>
      <c r="N1150"/>
    </row>
    <row r="1151" spans="1:14" x14ac:dyDescent="0.25">
      <c r="A1151" t="e">
        <f t="shared" si="36"/>
        <v>#VALUE!</v>
      </c>
      <c r="B1151" t="e">
        <f t="shared" si="37"/>
        <v>#VALUE!</v>
      </c>
      <c r="D1151">
        <v>0</v>
      </c>
      <c r="E1151"/>
      <c r="F1151"/>
      <c r="G1151"/>
      <c r="H1151"/>
      <c r="I1151"/>
      <c r="J1151"/>
      <c r="K1151"/>
      <c r="L1151"/>
      <c r="M1151"/>
      <c r="N1151"/>
    </row>
    <row r="1152" spans="1:14" x14ac:dyDescent="0.25">
      <c r="A1152" t="str">
        <f t="shared" si="36"/>
        <v>4052162</v>
      </c>
      <c r="B1152" t="str">
        <f t="shared" si="37"/>
        <v xml:space="preserve"> Sprint - Livermore protect in place</v>
      </c>
      <c r="C1152" t="s">
        <v>447</v>
      </c>
      <c r="D1152" s="14">
        <v>0</v>
      </c>
      <c r="E1152">
        <v>0</v>
      </c>
      <c r="F1152">
        <v>0</v>
      </c>
      <c r="G1152">
        <v>0</v>
      </c>
      <c r="H1152">
        <v>111645.1</v>
      </c>
      <c r="I1152">
        <v>0</v>
      </c>
      <c r="J1152">
        <v>82560</v>
      </c>
      <c r="K1152">
        <v>111645.1</v>
      </c>
      <c r="L1152">
        <v>61179.79</v>
      </c>
      <c r="M1152">
        <v>50465.31</v>
      </c>
      <c r="N1152">
        <v>45.2015448953873</v>
      </c>
    </row>
    <row r="1153" spans="1:14" x14ac:dyDescent="0.25">
      <c r="A1153" t="e">
        <f t="shared" si="36"/>
        <v>#VALUE!</v>
      </c>
      <c r="B1153" t="e">
        <f t="shared" si="37"/>
        <v>#VALUE!</v>
      </c>
      <c r="D1153" s="15"/>
      <c r="E1153" s="15"/>
      <c r="F1153" s="15"/>
      <c r="G1153" s="34"/>
      <c r="H1153" s="15"/>
      <c r="I1153" s="15"/>
      <c r="J1153" s="15"/>
      <c r="K1153" s="15"/>
      <c r="L1153" s="15"/>
      <c r="M1153" s="15"/>
      <c r="N1153" s="34"/>
    </row>
    <row r="1154" spans="1:14" x14ac:dyDescent="0.25">
      <c r="A1154" t="e">
        <f t="shared" si="36"/>
        <v>#VALUE!</v>
      </c>
      <c r="B1154" t="e">
        <f t="shared" si="37"/>
        <v>#VALUE!</v>
      </c>
      <c r="C1154">
        <v>3945</v>
      </c>
      <c r="D1154">
        <v>3945</v>
      </c>
      <c r="E1154"/>
      <c r="F1154"/>
      <c r="G1154"/>
      <c r="H1154"/>
      <c r="I1154"/>
      <c r="J1154"/>
      <c r="K1154"/>
      <c r="L1154"/>
      <c r="M1154"/>
      <c r="N1154"/>
    </row>
    <row r="1155" spans="1:14" x14ac:dyDescent="0.25">
      <c r="A1155" t="e">
        <f t="shared" si="36"/>
        <v>#VALUE!</v>
      </c>
      <c r="B1155" t="e">
        <f t="shared" si="37"/>
        <v>#VALUE!</v>
      </c>
      <c r="C1155" s="14"/>
      <c r="D1155" s="14"/>
      <c r="E1155"/>
      <c r="F1155"/>
      <c r="G1155"/>
      <c r="H1155"/>
      <c r="I1155"/>
      <c r="J1155"/>
      <c r="K1155"/>
      <c r="L1155"/>
      <c r="M1155"/>
      <c r="N1155"/>
    </row>
    <row r="1156" spans="1:14" x14ac:dyDescent="0.25">
      <c r="A1156" t="e">
        <f t="shared" si="36"/>
        <v>#VALUE!</v>
      </c>
      <c r="B1156" t="e">
        <f t="shared" si="37"/>
        <v>#VALUE!</v>
      </c>
      <c r="D1156">
        <v>0</v>
      </c>
      <c r="E1156"/>
      <c r="F1156"/>
      <c r="G1156"/>
      <c r="H1156"/>
      <c r="I1156"/>
      <c r="J1156"/>
      <c r="K1156"/>
      <c r="L1156"/>
      <c r="M1156"/>
      <c r="N1156"/>
    </row>
    <row r="1157" spans="1:14" x14ac:dyDescent="0.25">
      <c r="A1157" t="e">
        <f t="shared" si="36"/>
        <v>#VALUE!</v>
      </c>
      <c r="B1157" t="e">
        <f t="shared" si="37"/>
        <v>#VALUE!</v>
      </c>
      <c r="D1157" s="14"/>
      <c r="E1157"/>
      <c r="F1157"/>
      <c r="G1157"/>
      <c r="H1157"/>
      <c r="I1157"/>
      <c r="J1157"/>
      <c r="K1157"/>
      <c r="L1157"/>
      <c r="M1157"/>
      <c r="N1157"/>
    </row>
    <row r="1158" spans="1:14" x14ac:dyDescent="0.25">
      <c r="A1158" t="e">
        <f t="shared" si="36"/>
        <v>#VALUE!</v>
      </c>
      <c r="B1158" t="e">
        <f t="shared" si="37"/>
        <v>#VALUE!</v>
      </c>
      <c r="C1158">
        <v>265965</v>
      </c>
      <c r="D1158" s="15">
        <v>265965</v>
      </c>
      <c r="E1158" s="15"/>
      <c r="F1158" s="15"/>
      <c r="G1158" s="34"/>
      <c r="H1158" s="15"/>
      <c r="I1158" s="15"/>
      <c r="J1158" s="15"/>
      <c r="K1158" s="15"/>
      <c r="L1158" s="15"/>
      <c r="M1158" s="15"/>
      <c r="N1158" s="34"/>
    </row>
    <row r="1159" spans="1:14" x14ac:dyDescent="0.25">
      <c r="A1159" t="e">
        <f t="shared" si="36"/>
        <v>#VALUE!</v>
      </c>
      <c r="B1159" t="e">
        <f t="shared" si="37"/>
        <v>#VALUE!</v>
      </c>
      <c r="D1159"/>
      <c r="E1159"/>
      <c r="F1159"/>
      <c r="G1159"/>
      <c r="H1159"/>
      <c r="I1159"/>
      <c r="J1159"/>
      <c r="K1159"/>
      <c r="L1159"/>
      <c r="M1159"/>
      <c r="N1159"/>
    </row>
    <row r="1160" spans="1:14" x14ac:dyDescent="0.25">
      <c r="A1160" t="e">
        <f t="shared" si="36"/>
        <v>#VALUE!</v>
      </c>
      <c r="B1160" t="e">
        <f t="shared" si="37"/>
        <v>#VALUE!</v>
      </c>
      <c r="C1160" s="14"/>
      <c r="D1160" s="14">
        <v>0</v>
      </c>
      <c r="E1160"/>
      <c r="F1160"/>
      <c r="G1160"/>
      <c r="H1160"/>
      <c r="I1160"/>
      <c r="J1160"/>
      <c r="K1160"/>
      <c r="L1160"/>
      <c r="M1160"/>
      <c r="N1160"/>
    </row>
    <row r="1161" spans="1:14" x14ac:dyDescent="0.25">
      <c r="A1161" t="str">
        <f t="shared" si="36"/>
        <v>4052175</v>
      </c>
      <c r="B1161" t="str">
        <f t="shared" si="37"/>
        <v xml:space="preserve"> ATT - Saratoga conduit placement</v>
      </c>
      <c r="C1161" t="s">
        <v>448</v>
      </c>
      <c r="D1161">
        <v>0</v>
      </c>
      <c r="E1161">
        <v>0</v>
      </c>
      <c r="F1161">
        <v>0</v>
      </c>
      <c r="G1161">
        <v>0</v>
      </c>
      <c r="H1161">
        <v>265965</v>
      </c>
      <c r="I1161">
        <v>-85598.399999999994</v>
      </c>
      <c r="J1161">
        <v>265965</v>
      </c>
      <c r="K1161">
        <v>180366.6</v>
      </c>
      <c r="L1161">
        <v>166380.17000000001</v>
      </c>
      <c r="M1161">
        <v>13986.43</v>
      </c>
      <c r="N1161">
        <v>7.75444566787864</v>
      </c>
    </row>
    <row r="1162" spans="1:14" x14ac:dyDescent="0.25">
      <c r="A1162" t="e">
        <f t="shared" si="36"/>
        <v>#VALUE!</v>
      </c>
      <c r="B1162" t="e">
        <f t="shared" si="37"/>
        <v>#VALUE!</v>
      </c>
      <c r="D1162" s="14"/>
      <c r="E1162"/>
      <c r="F1162"/>
      <c r="G1162"/>
      <c r="H1162"/>
      <c r="I1162"/>
      <c r="J1162"/>
      <c r="K1162"/>
      <c r="L1162"/>
      <c r="M1162"/>
      <c r="N1162"/>
    </row>
    <row r="1163" spans="1:14" x14ac:dyDescent="0.25">
      <c r="A1163" t="e">
        <f t="shared" si="36"/>
        <v>#VALUE!</v>
      </c>
      <c r="B1163" t="e">
        <f t="shared" si="37"/>
        <v>#VALUE!</v>
      </c>
      <c r="C1163">
        <v>367185</v>
      </c>
      <c r="D1163" s="15">
        <v>367185</v>
      </c>
      <c r="E1163" s="15"/>
      <c r="F1163" s="15"/>
      <c r="G1163" s="34"/>
      <c r="H1163" s="15"/>
      <c r="I1163" s="15"/>
      <c r="J1163" s="15"/>
      <c r="K1163" s="15"/>
      <c r="L1163" s="15"/>
      <c r="M1163" s="15"/>
      <c r="N1163" s="34"/>
    </row>
    <row r="1164" spans="1:14" x14ac:dyDescent="0.25">
      <c r="A1164" t="e">
        <f t="shared" si="36"/>
        <v>#VALUE!</v>
      </c>
      <c r="B1164" t="e">
        <f t="shared" si="37"/>
        <v>#VALUE!</v>
      </c>
      <c r="D1164"/>
      <c r="E1164"/>
      <c r="F1164"/>
      <c r="G1164"/>
      <c r="H1164"/>
      <c r="I1164"/>
      <c r="J1164"/>
      <c r="K1164"/>
      <c r="L1164"/>
      <c r="M1164"/>
      <c r="N1164"/>
    </row>
    <row r="1165" spans="1:14" x14ac:dyDescent="0.25">
      <c r="A1165" t="e">
        <f t="shared" si="36"/>
        <v>#VALUE!</v>
      </c>
      <c r="B1165" t="e">
        <f t="shared" si="37"/>
        <v>#VALUE!</v>
      </c>
      <c r="C1165" s="14"/>
      <c r="D1165" s="14">
        <v>0</v>
      </c>
      <c r="E1165"/>
      <c r="F1165"/>
      <c r="G1165"/>
      <c r="H1165"/>
      <c r="I1165"/>
      <c r="J1165"/>
      <c r="K1165"/>
      <c r="L1165"/>
      <c r="M1165"/>
      <c r="N1165"/>
    </row>
    <row r="1166" spans="1:14" x14ac:dyDescent="0.25">
      <c r="A1166" t="str">
        <f t="shared" si="36"/>
        <v>4052177</v>
      </c>
      <c r="B1166" t="str">
        <f t="shared" si="37"/>
        <v xml:space="preserve"> ATT - A02WAXR - Castro Valley</v>
      </c>
      <c r="C1166" t="s">
        <v>449</v>
      </c>
      <c r="D1166">
        <v>0</v>
      </c>
      <c r="E1166">
        <v>0</v>
      </c>
      <c r="F1166">
        <v>0</v>
      </c>
      <c r="G1166">
        <v>0</v>
      </c>
      <c r="H1166">
        <v>386982</v>
      </c>
      <c r="I1166">
        <v>-5000</v>
      </c>
      <c r="J1166">
        <v>367185</v>
      </c>
      <c r="K1166">
        <v>381982</v>
      </c>
      <c r="L1166">
        <v>422869.93</v>
      </c>
      <c r="M1166">
        <v>-40887.93</v>
      </c>
      <c r="N1166">
        <v>-10.7041509809363</v>
      </c>
    </row>
    <row r="1167" spans="1:14" x14ac:dyDescent="0.25">
      <c r="A1167" t="e">
        <f t="shared" si="36"/>
        <v>#VALUE!</v>
      </c>
      <c r="B1167" t="e">
        <f t="shared" si="37"/>
        <v>#VALUE!</v>
      </c>
      <c r="C1167" t="s">
        <v>445</v>
      </c>
      <c r="D1167" s="14" t="s">
        <v>446</v>
      </c>
      <c r="E1167">
        <v>1652918.31</v>
      </c>
      <c r="F1167">
        <v>169487.67</v>
      </c>
      <c r="G1167">
        <v>8784908.8599999994</v>
      </c>
      <c r="H1167">
        <v>12190323.369999999</v>
      </c>
      <c r="I1167">
        <v>842597.4</v>
      </c>
      <c r="J1167">
        <v>1483430.64</v>
      </c>
      <c r="K1167">
        <v>10.2538443052276</v>
      </c>
      <c r="L1167">
        <v>3405414.51</v>
      </c>
      <c r="M1167">
        <v>11347725.970000001</v>
      </c>
      <c r="N1167">
        <v>-0.33541300553703002</v>
      </c>
    </row>
    <row r="1168" spans="1:14" x14ac:dyDescent="0.25">
      <c r="A1168" t="e">
        <f t="shared" si="36"/>
        <v>#VALUE!</v>
      </c>
      <c r="B1168" t="e">
        <f t="shared" si="37"/>
        <v>#VALUE!</v>
      </c>
      <c r="C1168" t="s">
        <v>450</v>
      </c>
      <c r="D1168" s="15" t="s">
        <v>451</v>
      </c>
      <c r="E1168" s="15"/>
      <c r="F1168" s="15"/>
      <c r="G1168" s="34"/>
      <c r="H1168" s="15"/>
      <c r="I1168" s="15"/>
      <c r="J1168" s="15"/>
      <c r="K1168" s="15"/>
      <c r="L1168" s="15"/>
      <c r="M1168" s="15"/>
      <c r="N1168" s="34"/>
    </row>
    <row r="1169" spans="1:14" x14ac:dyDescent="0.25">
      <c r="A1169" t="e">
        <f t="shared" si="36"/>
        <v>#VALUE!</v>
      </c>
      <c r="B1169" t="e">
        <f t="shared" si="37"/>
        <v>#VALUE!</v>
      </c>
      <c r="D1169"/>
      <c r="E1169"/>
      <c r="F1169"/>
      <c r="G1169"/>
      <c r="H1169"/>
      <c r="I1169"/>
      <c r="J1169"/>
      <c r="K1169"/>
      <c r="L1169"/>
      <c r="M1169"/>
      <c r="N1169"/>
    </row>
    <row r="1170" spans="1:14" x14ac:dyDescent="0.25">
      <c r="A1170" t="e">
        <f t="shared" si="36"/>
        <v>#VALUE!</v>
      </c>
      <c r="B1170" t="e">
        <f t="shared" si="37"/>
        <v>#VALUE!</v>
      </c>
      <c r="C1170" s="14">
        <v>0</v>
      </c>
      <c r="D1170" s="14">
        <v>0</v>
      </c>
      <c r="E1170"/>
      <c r="F1170"/>
      <c r="G1170"/>
      <c r="H1170"/>
      <c r="I1170"/>
      <c r="J1170"/>
      <c r="K1170"/>
      <c r="L1170"/>
      <c r="M1170"/>
      <c r="N1170"/>
    </row>
    <row r="1171" spans="1:14" x14ac:dyDescent="0.25">
      <c r="A1171" t="e">
        <f t="shared" si="36"/>
        <v>#VALUE!</v>
      </c>
      <c r="B1171" t="e">
        <f t="shared" si="37"/>
        <v>#VALUE!</v>
      </c>
      <c r="D1171"/>
      <c r="E1171"/>
      <c r="F1171"/>
      <c r="G1171"/>
      <c r="H1171"/>
      <c r="I1171"/>
      <c r="J1171"/>
      <c r="K1171"/>
      <c r="L1171"/>
      <c r="M1171"/>
      <c r="N1171"/>
    </row>
    <row r="1172" spans="1:14" x14ac:dyDescent="0.25">
      <c r="A1172" t="e">
        <f t="shared" si="36"/>
        <v>#VALUE!</v>
      </c>
      <c r="B1172" t="e">
        <f t="shared" si="37"/>
        <v>#VALUE!</v>
      </c>
      <c r="D1172" s="14">
        <v>0</v>
      </c>
      <c r="E1172"/>
      <c r="F1172"/>
      <c r="G1172"/>
      <c r="H1172"/>
      <c r="I1172"/>
      <c r="J1172"/>
      <c r="K1172"/>
      <c r="L1172"/>
      <c r="M1172"/>
      <c r="N1172"/>
    </row>
    <row r="1173" spans="1:14" x14ac:dyDescent="0.25">
      <c r="A1173" t="str">
        <f t="shared" si="36"/>
        <v>1056143</v>
      </c>
      <c r="B1173" t="str">
        <f t="shared" si="37"/>
        <v xml:space="preserve"> Frontier - Maint SSP South Bay (2025-27)</v>
      </c>
      <c r="C1173" t="s">
        <v>699</v>
      </c>
      <c r="D1173" s="15">
        <v>91488.39</v>
      </c>
      <c r="E1173" s="15">
        <v>79932.02</v>
      </c>
      <c r="F1173" s="15">
        <v>11556.37</v>
      </c>
      <c r="G1173" s="34">
        <v>12.631515321233699</v>
      </c>
      <c r="H1173" s="15">
        <v>1280906.57</v>
      </c>
      <c r="I1173" s="15">
        <v>284867.71000000002</v>
      </c>
      <c r="J1173" s="15">
        <v>0</v>
      </c>
      <c r="K1173" s="15">
        <v>1565774.28</v>
      </c>
      <c r="L1173" s="15">
        <v>1305413</v>
      </c>
      <c r="M1173" s="15">
        <v>260361.28</v>
      </c>
      <c r="N1173" s="34">
        <v>16.628276714316701</v>
      </c>
    </row>
    <row r="1174" spans="1:14" x14ac:dyDescent="0.25">
      <c r="A1174" t="e">
        <f t="shared" si="36"/>
        <v>#VALUE!</v>
      </c>
      <c r="B1174" t="e">
        <f t="shared" si="37"/>
        <v>#VALUE!</v>
      </c>
      <c r="D1174"/>
      <c r="E1174" s="15"/>
      <c r="F1174" s="15"/>
      <c r="G1174" s="15"/>
      <c r="H1174" s="15"/>
      <c r="I1174" s="15"/>
      <c r="J1174" s="15"/>
      <c r="K1174" s="14"/>
      <c r="L1174" s="15"/>
      <c r="M1174" s="15"/>
      <c r="N1174" s="14"/>
    </row>
    <row r="1175" spans="1:14" x14ac:dyDescent="0.25">
      <c r="A1175" t="e">
        <f t="shared" si="36"/>
        <v>#VALUE!</v>
      </c>
      <c r="B1175" t="e">
        <f t="shared" si="37"/>
        <v>#VALUE!</v>
      </c>
      <c r="C1175">
        <v>136735</v>
      </c>
      <c r="D1175">
        <v>136735</v>
      </c>
      <c r="E1175"/>
      <c r="F1175"/>
      <c r="G1175"/>
      <c r="H1175"/>
      <c r="I1175"/>
      <c r="J1175"/>
      <c r="K1175"/>
      <c r="L1175"/>
      <c r="M1175"/>
      <c r="N1175"/>
    </row>
    <row r="1176" spans="1:14" x14ac:dyDescent="0.25">
      <c r="A1176" t="e">
        <f t="shared" si="36"/>
        <v>#VALUE!</v>
      </c>
      <c r="B1176" t="e">
        <f t="shared" si="37"/>
        <v>#VALUE!</v>
      </c>
      <c r="D1176"/>
      <c r="E1176"/>
      <c r="F1176"/>
      <c r="G1176"/>
      <c r="H1176"/>
      <c r="I1176"/>
      <c r="J1176"/>
      <c r="K1176"/>
      <c r="L1176"/>
      <c r="M1176"/>
      <c r="N1176"/>
    </row>
    <row r="1177" spans="1:14" x14ac:dyDescent="0.25">
      <c r="A1177" t="e">
        <f t="shared" si="36"/>
        <v>#VALUE!</v>
      </c>
      <c r="B1177" t="e">
        <f t="shared" si="37"/>
        <v>#VALUE!</v>
      </c>
      <c r="C1177" s="14"/>
      <c r="D1177" s="14">
        <v>0</v>
      </c>
      <c r="E1177"/>
      <c r="F1177"/>
      <c r="G1177"/>
      <c r="H1177"/>
      <c r="I1177"/>
      <c r="J1177"/>
      <c r="K1177"/>
      <c r="L1177"/>
      <c r="M1177"/>
      <c r="N1177"/>
    </row>
    <row r="1178" spans="1:14" x14ac:dyDescent="0.25">
      <c r="A1178" t="str">
        <f t="shared" si="36"/>
        <v>1056275</v>
      </c>
      <c r="B1178" t="str">
        <f t="shared" si="37"/>
        <v xml:space="preserve"> ATT - A058K7T - Salinas</v>
      </c>
      <c r="C1178" t="s">
        <v>1005</v>
      </c>
      <c r="D1178">
        <v>324.60000000000002</v>
      </c>
      <c r="E1178">
        <v>5334.73</v>
      </c>
      <c r="F1178">
        <v>-5010.13</v>
      </c>
      <c r="G1178">
        <v>-1543.4781269254499</v>
      </c>
      <c r="H1178">
        <v>9.3132257461547902E-12</v>
      </c>
      <c r="I1178">
        <v>109714.58</v>
      </c>
      <c r="J1178">
        <v>136735</v>
      </c>
      <c r="K1178">
        <v>109714.58</v>
      </c>
      <c r="L1178">
        <v>84486.38</v>
      </c>
      <c r="M1178">
        <v>25228.2</v>
      </c>
      <c r="N1178">
        <v>22.994391447335399</v>
      </c>
    </row>
    <row r="1179" spans="1:14" x14ac:dyDescent="0.25">
      <c r="A1179" t="e">
        <f t="shared" si="36"/>
        <v>#VALUE!</v>
      </c>
      <c r="B1179" t="e">
        <f t="shared" si="37"/>
        <v>#VALUE!</v>
      </c>
      <c r="D1179" s="14"/>
      <c r="E1179"/>
      <c r="F1179"/>
      <c r="G1179"/>
      <c r="H1179"/>
      <c r="I1179"/>
      <c r="J1179"/>
      <c r="K1179"/>
      <c r="L1179"/>
      <c r="M1179"/>
      <c r="N1179"/>
    </row>
    <row r="1180" spans="1:14" x14ac:dyDescent="0.25">
      <c r="A1180" t="e">
        <f t="shared" si="36"/>
        <v>#VALUE!</v>
      </c>
      <c r="B1180" t="e">
        <f t="shared" si="37"/>
        <v>#VALUE!</v>
      </c>
      <c r="C1180">
        <v>0</v>
      </c>
      <c r="D1180" s="15">
        <v>0</v>
      </c>
      <c r="E1180" s="15"/>
      <c r="F1180" s="15"/>
      <c r="G1180" s="34"/>
      <c r="H1180" s="15"/>
      <c r="I1180" s="15"/>
      <c r="J1180" s="15"/>
      <c r="K1180" s="15"/>
      <c r="L1180" s="15"/>
      <c r="M1180" s="15"/>
      <c r="N1180" s="34"/>
    </row>
    <row r="1181" spans="1:14" x14ac:dyDescent="0.25">
      <c r="A1181" t="e">
        <f t="shared" si="36"/>
        <v>#VALUE!</v>
      </c>
      <c r="B1181" t="e">
        <f t="shared" si="37"/>
        <v>#VALUE!</v>
      </c>
      <c r="D1181"/>
      <c r="E1181"/>
      <c r="F1181"/>
      <c r="G1181"/>
      <c r="H1181"/>
      <c r="I1181"/>
      <c r="J1181"/>
      <c r="K1181"/>
      <c r="L1181"/>
      <c r="M1181"/>
      <c r="N1181"/>
    </row>
    <row r="1182" spans="1:14" x14ac:dyDescent="0.25">
      <c r="A1182" t="e">
        <f t="shared" si="36"/>
        <v>#VALUE!</v>
      </c>
      <c r="B1182" t="e">
        <f t="shared" si="37"/>
        <v>#VALUE!</v>
      </c>
      <c r="C1182" s="14"/>
      <c r="D1182" s="14">
        <v>0</v>
      </c>
      <c r="E1182"/>
      <c r="F1182"/>
      <c r="G1182"/>
      <c r="H1182"/>
      <c r="I1182"/>
      <c r="J1182"/>
      <c r="K1182"/>
      <c r="L1182"/>
      <c r="M1182"/>
      <c r="N1182"/>
    </row>
    <row r="1183" spans="1:14" x14ac:dyDescent="0.25">
      <c r="A1183" t="str">
        <f t="shared" si="36"/>
        <v>1252077</v>
      </c>
      <c r="B1183" t="str">
        <f t="shared" si="37"/>
        <v xml:space="preserve"> Frontier - FTTH Morgan Hill</v>
      </c>
      <c r="C1183" t="s">
        <v>700</v>
      </c>
      <c r="D1183">
        <v>222613.6</v>
      </c>
      <c r="E1183">
        <v>221885.09</v>
      </c>
      <c r="F1183">
        <v>728.51</v>
      </c>
      <c r="G1183">
        <v>0.32725314176671999</v>
      </c>
      <c r="H1183">
        <v>3559979.35</v>
      </c>
      <c r="I1183">
        <v>-951038.14</v>
      </c>
      <c r="J1183">
        <v>0</v>
      </c>
      <c r="K1183">
        <v>2608941.21</v>
      </c>
      <c r="L1183">
        <v>2422588.04</v>
      </c>
      <c r="M1183">
        <v>186353.17</v>
      </c>
      <c r="N1183">
        <v>7.14286582180209</v>
      </c>
    </row>
    <row r="1184" spans="1:14" x14ac:dyDescent="0.25">
      <c r="A1184" t="e">
        <f t="shared" si="36"/>
        <v>#VALUE!</v>
      </c>
      <c r="B1184" t="e">
        <f t="shared" si="37"/>
        <v>#VALUE!</v>
      </c>
      <c r="D1184" s="14"/>
      <c r="E1184"/>
      <c r="F1184"/>
      <c r="G1184"/>
      <c r="H1184"/>
      <c r="I1184"/>
      <c r="J1184"/>
      <c r="K1184"/>
      <c r="L1184"/>
      <c r="M1184"/>
      <c r="N1184"/>
    </row>
    <row r="1185" spans="1:14" x14ac:dyDescent="0.25">
      <c r="A1185" t="e">
        <f t="shared" si="36"/>
        <v>#VALUE!</v>
      </c>
      <c r="B1185" t="e">
        <f t="shared" si="37"/>
        <v>#VALUE!</v>
      </c>
      <c r="C1185">
        <v>0</v>
      </c>
      <c r="D1185" s="15">
        <v>0</v>
      </c>
      <c r="E1185" s="15"/>
      <c r="F1185" s="15"/>
      <c r="G1185" s="34"/>
      <c r="H1185" s="15"/>
      <c r="I1185" s="15"/>
      <c r="J1185" s="15"/>
      <c r="K1185" s="15"/>
      <c r="L1185" s="15"/>
      <c r="M1185" s="15"/>
      <c r="N1185" s="34"/>
    </row>
    <row r="1186" spans="1:14" x14ac:dyDescent="0.25">
      <c r="A1186" t="e">
        <f t="shared" si="36"/>
        <v>#VALUE!</v>
      </c>
      <c r="B1186" t="e">
        <f t="shared" si="37"/>
        <v>#VALUE!</v>
      </c>
      <c r="D1186"/>
      <c r="E1186" s="15"/>
      <c r="F1186" s="15"/>
      <c r="G1186" s="15"/>
      <c r="H1186" s="15"/>
      <c r="I1186" s="15"/>
      <c r="J1186" s="15"/>
      <c r="K1186" s="14"/>
      <c r="L1186" s="15"/>
      <c r="M1186" s="15"/>
      <c r="N1186" s="14"/>
    </row>
    <row r="1187" spans="1:14" x14ac:dyDescent="0.25">
      <c r="A1187" t="e">
        <f t="shared" si="36"/>
        <v>#VALUE!</v>
      </c>
      <c r="B1187" t="e">
        <f t="shared" si="37"/>
        <v>#VALUE!</v>
      </c>
      <c r="D1187">
        <v>0</v>
      </c>
      <c r="E1187"/>
      <c r="F1187"/>
      <c r="G1187"/>
      <c r="H1187"/>
      <c r="I1187"/>
      <c r="J1187"/>
      <c r="K1187"/>
      <c r="L1187"/>
      <c r="M1187"/>
      <c r="N1187"/>
    </row>
    <row r="1188" spans="1:14" x14ac:dyDescent="0.25">
      <c r="A1188" t="str">
        <f t="shared" si="36"/>
        <v>1252082</v>
      </c>
      <c r="B1188" t="str">
        <f t="shared" si="37"/>
        <v xml:space="preserve"> Frontier - FTTH - Kenwood</v>
      </c>
      <c r="C1188" t="s">
        <v>862</v>
      </c>
      <c r="D1188">
        <v>369407.76</v>
      </c>
      <c r="E1188">
        <v>258396.33</v>
      </c>
      <c r="F1188">
        <v>111011.43</v>
      </c>
      <c r="G1188">
        <v>30.051190586792199</v>
      </c>
      <c r="H1188">
        <v>466461.15</v>
      </c>
      <c r="I1188">
        <v>611690.32999999996</v>
      </c>
      <c r="J1188">
        <v>0</v>
      </c>
      <c r="K1188">
        <v>1078151.48</v>
      </c>
      <c r="L1188">
        <v>854725.19</v>
      </c>
      <c r="M1188">
        <v>223426.29</v>
      </c>
      <c r="N1188">
        <v>20.723088929952599</v>
      </c>
    </row>
    <row r="1189" spans="1:14" x14ac:dyDescent="0.25">
      <c r="A1189" t="e">
        <f t="shared" si="36"/>
        <v>#VALUE!</v>
      </c>
      <c r="B1189" t="e">
        <f t="shared" si="37"/>
        <v>#VALUE!</v>
      </c>
      <c r="C1189" s="14"/>
      <c r="D1189" s="14"/>
      <c r="E1189"/>
      <c r="F1189"/>
      <c r="G1189"/>
      <c r="H1189"/>
      <c r="I1189"/>
      <c r="J1189"/>
      <c r="K1189"/>
      <c r="L1189"/>
      <c r="M1189"/>
      <c r="N1189"/>
    </row>
    <row r="1190" spans="1:14" x14ac:dyDescent="0.25">
      <c r="A1190" t="e">
        <f t="shared" si="36"/>
        <v>#VALUE!</v>
      </c>
      <c r="B1190" t="e">
        <f t="shared" si="37"/>
        <v>#VALUE!</v>
      </c>
      <c r="C1190">
        <v>0</v>
      </c>
      <c r="D1190">
        <v>0</v>
      </c>
      <c r="E1190"/>
      <c r="F1190"/>
      <c r="G1190"/>
      <c r="H1190"/>
      <c r="I1190"/>
      <c r="J1190"/>
      <c r="K1190"/>
      <c r="L1190"/>
      <c r="M1190"/>
      <c r="N1190"/>
    </row>
    <row r="1191" spans="1:14" x14ac:dyDescent="0.25">
      <c r="A1191" t="e">
        <f t="shared" si="36"/>
        <v>#VALUE!</v>
      </c>
      <c r="B1191" t="e">
        <f t="shared" si="37"/>
        <v>#VALUE!</v>
      </c>
      <c r="D1191" s="14"/>
      <c r="E1191"/>
      <c r="F1191"/>
      <c r="G1191"/>
      <c r="H1191"/>
      <c r="I1191"/>
      <c r="J1191"/>
      <c r="K1191"/>
      <c r="L1191"/>
      <c r="M1191"/>
      <c r="N1191"/>
    </row>
    <row r="1192" spans="1:14" x14ac:dyDescent="0.25">
      <c r="A1192" t="e">
        <f t="shared" si="36"/>
        <v>#VALUE!</v>
      </c>
      <c r="B1192" t="e">
        <f t="shared" si="37"/>
        <v>#VALUE!</v>
      </c>
      <c r="D1192" s="15">
        <v>0</v>
      </c>
      <c r="E1192" s="15"/>
      <c r="F1192" s="15"/>
      <c r="G1192" s="34"/>
      <c r="H1192" s="15"/>
      <c r="I1192" s="15"/>
      <c r="J1192" s="15"/>
      <c r="K1192" s="15"/>
      <c r="L1192" s="15"/>
      <c r="M1192" s="15"/>
      <c r="N1192" s="34"/>
    </row>
    <row r="1193" spans="1:14" x14ac:dyDescent="0.25">
      <c r="A1193" t="str">
        <f t="shared" si="36"/>
        <v>2052070</v>
      </c>
      <c r="B1193" t="str">
        <f t="shared" si="37"/>
        <v xml:space="preserve"> Frontier - Maint SSP South Bay (2022-25)</v>
      </c>
      <c r="C1193" t="s">
        <v>701</v>
      </c>
      <c r="D1193">
        <v>0</v>
      </c>
      <c r="E1193">
        <v>0</v>
      </c>
      <c r="F1193">
        <v>0</v>
      </c>
      <c r="G1193">
        <v>0</v>
      </c>
      <c r="H1193">
        <v>464257.57</v>
      </c>
      <c r="I1193">
        <v>-316424.94</v>
      </c>
      <c r="J1193">
        <v>0</v>
      </c>
      <c r="K1193">
        <v>147832.63</v>
      </c>
      <c r="L1193">
        <v>174661.06</v>
      </c>
      <c r="M1193">
        <v>-26828.43</v>
      </c>
      <c r="N1193">
        <v>-18.147840568080301</v>
      </c>
    </row>
    <row r="1194" spans="1:14" x14ac:dyDescent="0.25">
      <c r="A1194" t="e">
        <f t="shared" ref="A1194:A1257" si="38">LEFT(C1194,FIND(" ",C1194)-1)</f>
        <v>#VALUE!</v>
      </c>
      <c r="B1194" t="e">
        <f t="shared" ref="B1194:B1257" si="39">RIGHT(C1194,LEN(C1194)-FIND(" ",C1194))</f>
        <v>#VALUE!</v>
      </c>
      <c r="C1194" s="14" t="s">
        <v>450</v>
      </c>
      <c r="D1194" s="14" t="s">
        <v>451</v>
      </c>
      <c r="E1194">
        <v>683834.35</v>
      </c>
      <c r="F1194">
        <v>118286.18</v>
      </c>
      <c r="G1194">
        <v>5771604.6399999997</v>
      </c>
      <c r="H1194">
        <v>5510414.1799999997</v>
      </c>
      <c r="I1194">
        <v>668540.51</v>
      </c>
      <c r="J1194">
        <v>565548.17000000004</v>
      </c>
      <c r="K1194">
        <v>17.2974902474554</v>
      </c>
      <c r="L1194">
        <v>-261190.46</v>
      </c>
      <c r="M1194">
        <v>4841873.67</v>
      </c>
      <c r="N1194">
        <v>-0.48686775845949198</v>
      </c>
    </row>
    <row r="1195" spans="1:14" x14ac:dyDescent="0.25">
      <c r="A1195" t="e">
        <f t="shared" si="38"/>
        <v>#VALUE!</v>
      </c>
      <c r="B1195" t="e">
        <f t="shared" si="39"/>
        <v>#VALUE!</v>
      </c>
      <c r="C1195" t="s">
        <v>954</v>
      </c>
      <c r="D1195" t="s">
        <v>955</v>
      </c>
      <c r="E1195"/>
      <c r="F1195"/>
      <c r="G1195"/>
      <c r="H1195"/>
      <c r="I1195"/>
      <c r="J1195"/>
      <c r="K1195"/>
      <c r="L1195"/>
      <c r="M1195"/>
      <c r="N1195"/>
    </row>
    <row r="1196" spans="1:14" x14ac:dyDescent="0.25">
      <c r="A1196" t="e">
        <f t="shared" si="38"/>
        <v>#VALUE!</v>
      </c>
      <c r="B1196" t="e">
        <f t="shared" si="39"/>
        <v>#VALUE!</v>
      </c>
      <c r="D1196" s="14"/>
      <c r="E1196"/>
      <c r="F1196"/>
      <c r="G1196"/>
      <c r="H1196"/>
      <c r="I1196"/>
      <c r="J1196"/>
      <c r="K1196"/>
      <c r="L1196"/>
      <c r="M1196"/>
      <c r="N1196"/>
    </row>
    <row r="1197" spans="1:14" x14ac:dyDescent="0.25">
      <c r="A1197" t="e">
        <f t="shared" si="38"/>
        <v>#VALUE!</v>
      </c>
      <c r="B1197" t="e">
        <f t="shared" si="39"/>
        <v>#VALUE!</v>
      </c>
      <c r="C1197">
        <v>3000000</v>
      </c>
      <c r="D1197" s="15">
        <v>3000000</v>
      </c>
      <c r="E1197" s="15"/>
      <c r="F1197" s="15"/>
      <c r="G1197" s="34"/>
      <c r="H1197" s="15"/>
      <c r="I1197" s="15"/>
      <c r="J1197" s="15"/>
      <c r="K1197" s="15"/>
      <c r="L1197" s="15"/>
      <c r="M1197" s="15"/>
      <c r="N1197" s="34"/>
    </row>
    <row r="1198" spans="1:14" x14ac:dyDescent="0.25">
      <c r="A1198" t="e">
        <f t="shared" si="38"/>
        <v>#VALUE!</v>
      </c>
      <c r="B1198" t="e">
        <f t="shared" si="39"/>
        <v>#VALUE!</v>
      </c>
      <c r="D1198"/>
      <c r="E1198"/>
      <c r="F1198"/>
      <c r="G1198"/>
      <c r="H1198"/>
      <c r="I1198"/>
      <c r="J1198"/>
      <c r="K1198"/>
      <c r="L1198"/>
      <c r="M1198"/>
      <c r="N1198"/>
    </row>
    <row r="1199" spans="1:14" x14ac:dyDescent="0.25">
      <c r="A1199" t="e">
        <f t="shared" si="38"/>
        <v>#VALUE!</v>
      </c>
      <c r="B1199" t="e">
        <f t="shared" si="39"/>
        <v>#VALUE!</v>
      </c>
      <c r="C1199" s="14"/>
      <c r="D1199" s="14">
        <v>0</v>
      </c>
      <c r="E1199"/>
      <c r="F1199"/>
      <c r="G1199"/>
      <c r="H1199"/>
      <c r="I1199"/>
      <c r="J1199"/>
      <c r="K1199"/>
      <c r="L1199"/>
      <c r="M1199"/>
      <c r="N1199"/>
    </row>
    <row r="1200" spans="1:14" x14ac:dyDescent="0.25">
      <c r="A1200" t="str">
        <f t="shared" si="38"/>
        <v>1056117</v>
      </c>
      <c r="B1200" t="str">
        <f t="shared" si="39"/>
        <v xml:space="preserve"> Siskiyou Tel - OSP Routine Maint (25-26)</v>
      </c>
      <c r="C1200" t="s">
        <v>589</v>
      </c>
      <c r="D1200">
        <v>151109.6</v>
      </c>
      <c r="E1200">
        <v>137794.44</v>
      </c>
      <c r="F1200">
        <v>13315.16</v>
      </c>
      <c r="G1200">
        <v>8.8115910570870408</v>
      </c>
      <c r="H1200">
        <v>2289272.64</v>
      </c>
      <c r="I1200">
        <v>48655.8</v>
      </c>
      <c r="J1200">
        <v>3000000</v>
      </c>
      <c r="K1200">
        <v>2337928.44</v>
      </c>
      <c r="L1200">
        <v>1952788.2</v>
      </c>
      <c r="M1200">
        <v>385140.24</v>
      </c>
      <c r="N1200">
        <v>16.473568369782999</v>
      </c>
    </row>
    <row r="1201" spans="1:14" x14ac:dyDescent="0.25">
      <c r="A1201" t="e">
        <f t="shared" si="38"/>
        <v>#VALUE!</v>
      </c>
      <c r="B1201" t="e">
        <f t="shared" si="39"/>
        <v>#VALUE!</v>
      </c>
      <c r="D1201" s="14"/>
      <c r="E1201"/>
      <c r="F1201"/>
      <c r="G1201"/>
      <c r="H1201"/>
      <c r="I1201"/>
      <c r="J1201"/>
      <c r="K1201"/>
      <c r="L1201"/>
      <c r="M1201"/>
      <c r="N1201"/>
    </row>
    <row r="1202" spans="1:14" x14ac:dyDescent="0.25">
      <c r="A1202" t="e">
        <f t="shared" si="38"/>
        <v>#VALUE!</v>
      </c>
      <c r="B1202" t="e">
        <f t="shared" si="39"/>
        <v>#VALUE!</v>
      </c>
      <c r="C1202">
        <v>3887697.13</v>
      </c>
      <c r="D1202" s="15">
        <v>3887697.13</v>
      </c>
      <c r="E1202" s="15"/>
      <c r="F1202" s="15"/>
      <c r="G1202" s="34"/>
      <c r="H1202" s="15"/>
      <c r="I1202" s="15"/>
      <c r="J1202" s="15"/>
      <c r="K1202" s="15"/>
      <c r="L1202" s="15"/>
      <c r="M1202" s="15"/>
      <c r="N1202" s="34"/>
    </row>
    <row r="1203" spans="1:14" x14ac:dyDescent="0.25">
      <c r="A1203" t="e">
        <f t="shared" si="38"/>
        <v>#VALUE!</v>
      </c>
      <c r="B1203" t="e">
        <f t="shared" si="39"/>
        <v>#VALUE!</v>
      </c>
      <c r="D1203"/>
      <c r="E1203"/>
      <c r="F1203"/>
      <c r="G1203"/>
      <c r="H1203"/>
      <c r="I1203"/>
      <c r="J1203"/>
      <c r="K1203"/>
      <c r="L1203"/>
      <c r="M1203"/>
      <c r="N1203"/>
    </row>
    <row r="1204" spans="1:14" x14ac:dyDescent="0.25">
      <c r="A1204" t="e">
        <f t="shared" si="38"/>
        <v>#VALUE!</v>
      </c>
      <c r="B1204" t="e">
        <f t="shared" si="39"/>
        <v>#VALUE!</v>
      </c>
      <c r="C1204" s="14"/>
      <c r="D1204" s="14">
        <v>0</v>
      </c>
      <c r="E1204"/>
      <c r="F1204"/>
      <c r="G1204"/>
      <c r="H1204"/>
      <c r="I1204"/>
      <c r="J1204"/>
      <c r="K1204"/>
      <c r="L1204"/>
      <c r="M1204"/>
      <c r="N1204"/>
    </row>
    <row r="1205" spans="1:14" x14ac:dyDescent="0.25">
      <c r="A1205" t="str">
        <f t="shared" si="38"/>
        <v>1056140</v>
      </c>
      <c r="B1205" t="str">
        <f t="shared" si="39"/>
        <v xml:space="preserve"> Siskiyou Tel - MMBI OSP</v>
      </c>
      <c r="C1205" t="s">
        <v>594</v>
      </c>
      <c r="D1205">
        <v>291677.3</v>
      </c>
      <c r="E1205">
        <v>245124.24</v>
      </c>
      <c r="F1205">
        <v>46553.06</v>
      </c>
      <c r="G1205">
        <v>15.9604672698218</v>
      </c>
      <c r="H1205">
        <v>2493493.27</v>
      </c>
      <c r="I1205">
        <v>358865.37</v>
      </c>
      <c r="J1205">
        <v>3887697.13</v>
      </c>
      <c r="K1205">
        <v>2852358.64</v>
      </c>
      <c r="L1205">
        <v>2205455.8199999998</v>
      </c>
      <c r="M1205">
        <v>646902.81999999995</v>
      </c>
      <c r="N1205">
        <v>22.6795751042022</v>
      </c>
    </row>
    <row r="1206" spans="1:14" x14ac:dyDescent="0.25">
      <c r="A1206" t="e">
        <f t="shared" si="38"/>
        <v>#VALUE!</v>
      </c>
      <c r="B1206" t="e">
        <f t="shared" si="39"/>
        <v>#VALUE!</v>
      </c>
      <c r="C1206" t="s">
        <v>954</v>
      </c>
      <c r="D1206" s="14" t="s">
        <v>955</v>
      </c>
      <c r="E1206">
        <v>442786.9</v>
      </c>
      <c r="F1206">
        <v>59868.22</v>
      </c>
      <c r="G1206">
        <v>4782765.91</v>
      </c>
      <c r="H1206">
        <v>5190287.08</v>
      </c>
      <c r="I1206">
        <v>1032043.06</v>
      </c>
      <c r="J1206">
        <v>382918.68</v>
      </c>
      <c r="K1206">
        <v>13.5207748919401</v>
      </c>
      <c r="L1206">
        <v>407521.17</v>
      </c>
      <c r="M1206">
        <v>4158244.02</v>
      </c>
      <c r="N1206">
        <v>12.4637194442046</v>
      </c>
    </row>
    <row r="1207" spans="1:14" x14ac:dyDescent="0.25">
      <c r="A1207" t="e">
        <f t="shared" si="38"/>
        <v>#VALUE!</v>
      </c>
      <c r="B1207" t="e">
        <f t="shared" si="39"/>
        <v>#VALUE!</v>
      </c>
      <c r="C1207" t="s">
        <v>634</v>
      </c>
      <c r="D1207" s="15" t="s">
        <v>635</v>
      </c>
      <c r="E1207" s="15"/>
      <c r="F1207" s="15"/>
      <c r="G1207" s="34"/>
      <c r="H1207" s="15"/>
      <c r="I1207" s="15"/>
      <c r="J1207" s="15"/>
      <c r="K1207" s="15"/>
      <c r="L1207" s="15"/>
      <c r="M1207" s="15"/>
      <c r="N1207" s="34"/>
    </row>
    <row r="1208" spans="1:14" x14ac:dyDescent="0.25">
      <c r="A1208" t="e">
        <f t="shared" si="38"/>
        <v>#VALUE!</v>
      </c>
      <c r="B1208" t="e">
        <f t="shared" si="39"/>
        <v>#VALUE!</v>
      </c>
      <c r="D1208"/>
      <c r="E1208"/>
      <c r="F1208"/>
      <c r="G1208"/>
      <c r="H1208"/>
      <c r="I1208"/>
      <c r="J1208"/>
      <c r="K1208"/>
      <c r="L1208"/>
      <c r="M1208"/>
      <c r="N1208"/>
    </row>
    <row r="1209" spans="1:14" x14ac:dyDescent="0.25">
      <c r="A1209" t="e">
        <f t="shared" si="38"/>
        <v>#VALUE!</v>
      </c>
      <c r="B1209" t="e">
        <f t="shared" si="39"/>
        <v>#VALUE!</v>
      </c>
      <c r="C1209" s="14">
        <v>0</v>
      </c>
      <c r="D1209" s="14">
        <v>0</v>
      </c>
      <c r="E1209"/>
      <c r="F1209"/>
      <c r="G1209"/>
      <c r="H1209"/>
      <c r="I1209"/>
      <c r="J1209"/>
      <c r="K1209"/>
      <c r="L1209"/>
      <c r="M1209"/>
      <c r="N1209"/>
    </row>
    <row r="1210" spans="1:14" x14ac:dyDescent="0.25">
      <c r="A1210" t="e">
        <f t="shared" si="38"/>
        <v>#VALUE!</v>
      </c>
      <c r="B1210" t="e">
        <f t="shared" si="39"/>
        <v>#VALUE!</v>
      </c>
      <c r="D1210"/>
      <c r="E1210"/>
      <c r="F1210"/>
      <c r="G1210"/>
      <c r="H1210"/>
      <c r="I1210"/>
      <c r="J1210"/>
      <c r="K1210"/>
      <c r="L1210"/>
      <c r="M1210"/>
      <c r="N1210"/>
    </row>
    <row r="1211" spans="1:14" x14ac:dyDescent="0.25">
      <c r="A1211" t="e">
        <f t="shared" si="38"/>
        <v>#VALUE!</v>
      </c>
      <c r="B1211" t="e">
        <f t="shared" si="39"/>
        <v>#VALUE!</v>
      </c>
      <c r="D1211" s="14">
        <v>0</v>
      </c>
      <c r="E1211"/>
      <c r="F1211"/>
      <c r="G1211"/>
      <c r="H1211"/>
      <c r="I1211"/>
      <c r="J1211"/>
      <c r="K1211"/>
      <c r="L1211"/>
      <c r="M1211"/>
      <c r="N1211"/>
    </row>
    <row r="1212" spans="1:14" x14ac:dyDescent="0.25">
      <c r="A1212" t="str">
        <f t="shared" si="38"/>
        <v>1135184</v>
      </c>
      <c r="B1212" t="str">
        <f t="shared" si="39"/>
        <v xml:space="preserve"> Ziply - ID FTTH (2024-27)</v>
      </c>
      <c r="C1212" t="s">
        <v>662</v>
      </c>
      <c r="D1212" s="15">
        <v>0</v>
      </c>
      <c r="E1212" s="15">
        <v>272.52999999999997</v>
      </c>
      <c r="F1212" s="15">
        <v>-272.52999999999997</v>
      </c>
      <c r="G1212" s="34">
        <v>0</v>
      </c>
      <c r="H1212" s="15">
        <v>931677.65</v>
      </c>
      <c r="I1212" s="15">
        <v>-2.0122570276725998E-11</v>
      </c>
      <c r="J1212" s="15">
        <v>0</v>
      </c>
      <c r="K1212" s="15">
        <v>931677.65</v>
      </c>
      <c r="L1212" s="15">
        <v>816553.35</v>
      </c>
      <c r="M1212" s="15">
        <v>115124.3</v>
      </c>
      <c r="N1212" s="34">
        <v>12.356666492965701</v>
      </c>
    </row>
    <row r="1213" spans="1:14" x14ac:dyDescent="0.25">
      <c r="A1213" t="e">
        <f t="shared" si="38"/>
        <v>#VALUE!</v>
      </c>
      <c r="B1213" t="e">
        <f t="shared" si="39"/>
        <v>#VALUE!</v>
      </c>
      <c r="D1213"/>
      <c r="E1213"/>
      <c r="F1213"/>
      <c r="G1213"/>
      <c r="H1213"/>
      <c r="I1213"/>
      <c r="J1213"/>
      <c r="K1213"/>
      <c r="L1213"/>
      <c r="M1213"/>
      <c r="N1213"/>
    </row>
    <row r="1214" spans="1:14" x14ac:dyDescent="0.25">
      <c r="A1214" t="e">
        <f t="shared" si="38"/>
        <v>#VALUE!</v>
      </c>
      <c r="B1214" t="e">
        <f t="shared" si="39"/>
        <v>#VALUE!</v>
      </c>
      <c r="C1214" s="14">
        <v>0</v>
      </c>
      <c r="D1214" s="14">
        <v>0</v>
      </c>
      <c r="E1214"/>
      <c r="F1214"/>
      <c r="G1214"/>
      <c r="H1214"/>
      <c r="I1214"/>
      <c r="J1214"/>
      <c r="K1214"/>
      <c r="L1214"/>
      <c r="M1214"/>
      <c r="N1214"/>
    </row>
    <row r="1215" spans="1:14" x14ac:dyDescent="0.25">
      <c r="A1215" t="e">
        <f t="shared" si="38"/>
        <v>#VALUE!</v>
      </c>
      <c r="B1215" t="e">
        <f t="shared" si="39"/>
        <v>#VALUE!</v>
      </c>
      <c r="D1215"/>
      <c r="E1215"/>
      <c r="F1215"/>
      <c r="G1215"/>
      <c r="H1215"/>
      <c r="I1215"/>
      <c r="J1215"/>
      <c r="K1215"/>
      <c r="L1215"/>
      <c r="M1215"/>
      <c r="N1215"/>
    </row>
    <row r="1216" spans="1:14" x14ac:dyDescent="0.25">
      <c r="A1216" t="e">
        <f t="shared" si="38"/>
        <v>#VALUE!</v>
      </c>
      <c r="B1216" t="e">
        <f t="shared" si="39"/>
        <v>#VALUE!</v>
      </c>
      <c r="D1216" s="14">
        <v>0</v>
      </c>
      <c r="E1216"/>
      <c r="F1216"/>
      <c r="G1216"/>
      <c r="H1216"/>
      <c r="I1216"/>
      <c r="J1216"/>
      <c r="K1216"/>
      <c r="L1216"/>
      <c r="M1216"/>
      <c r="N1216"/>
    </row>
    <row r="1217" spans="1:14" x14ac:dyDescent="0.25">
      <c r="A1217" t="str">
        <f t="shared" si="38"/>
        <v>1136194</v>
      </c>
      <c r="B1217" t="str">
        <f t="shared" si="39"/>
        <v xml:space="preserve"> Ziply - ID FTTH Soft Scape Bid WOs (354)</v>
      </c>
      <c r="C1217" t="s">
        <v>956</v>
      </c>
      <c r="D1217" s="15">
        <v>-8492</v>
      </c>
      <c r="E1217" s="15">
        <v>-959.7</v>
      </c>
      <c r="F1217" s="15">
        <v>-7532.3</v>
      </c>
      <c r="G1217" s="34">
        <v>0</v>
      </c>
      <c r="H1217" s="15">
        <v>7358</v>
      </c>
      <c r="I1217" s="15">
        <v>0</v>
      </c>
      <c r="J1217" s="15">
        <v>0</v>
      </c>
      <c r="K1217" s="15">
        <v>7358</v>
      </c>
      <c r="L1217" s="15">
        <v>23841.07</v>
      </c>
      <c r="M1217" s="15">
        <v>-16483.07</v>
      </c>
      <c r="N1217" s="34">
        <v>-224.01562924707801</v>
      </c>
    </row>
    <row r="1218" spans="1:14" x14ac:dyDescent="0.25">
      <c r="A1218" t="e">
        <f t="shared" si="38"/>
        <v>#VALUE!</v>
      </c>
      <c r="B1218" t="e">
        <f t="shared" si="39"/>
        <v>#VALUE!</v>
      </c>
      <c r="D1218"/>
      <c r="E1218"/>
      <c r="F1218"/>
      <c r="G1218"/>
      <c r="H1218"/>
      <c r="I1218"/>
      <c r="J1218"/>
      <c r="K1218"/>
      <c r="L1218"/>
      <c r="M1218"/>
      <c r="N1218"/>
    </row>
    <row r="1219" spans="1:14" x14ac:dyDescent="0.25">
      <c r="A1219" t="e">
        <f t="shared" si="38"/>
        <v>#VALUE!</v>
      </c>
      <c r="B1219" t="e">
        <f t="shared" si="39"/>
        <v>#VALUE!</v>
      </c>
      <c r="C1219" s="14">
        <v>3227725.04</v>
      </c>
      <c r="D1219" s="14">
        <v>3227725.04</v>
      </c>
      <c r="E1219"/>
      <c r="F1219"/>
      <c r="G1219"/>
      <c r="H1219"/>
      <c r="I1219"/>
      <c r="J1219"/>
      <c r="K1219"/>
      <c r="L1219"/>
      <c r="M1219"/>
      <c r="N1219"/>
    </row>
    <row r="1220" spans="1:14" x14ac:dyDescent="0.25">
      <c r="A1220" t="e">
        <f t="shared" si="38"/>
        <v>#VALUE!</v>
      </c>
      <c r="B1220" t="e">
        <f t="shared" si="39"/>
        <v>#VALUE!</v>
      </c>
      <c r="D1220"/>
      <c r="E1220"/>
      <c r="F1220"/>
      <c r="G1220"/>
      <c r="H1220"/>
      <c r="I1220"/>
      <c r="J1220"/>
      <c r="K1220"/>
      <c r="L1220"/>
      <c r="M1220"/>
      <c r="N1220"/>
    </row>
    <row r="1221" spans="1:14" x14ac:dyDescent="0.25">
      <c r="A1221" t="e">
        <f t="shared" si="38"/>
        <v>#VALUE!</v>
      </c>
      <c r="B1221" t="e">
        <f t="shared" si="39"/>
        <v>#VALUE!</v>
      </c>
      <c r="D1221" s="14">
        <v>0</v>
      </c>
      <c r="E1221"/>
      <c r="F1221"/>
      <c r="G1221"/>
      <c r="H1221"/>
      <c r="I1221"/>
      <c r="J1221"/>
      <c r="K1221"/>
      <c r="L1221"/>
      <c r="M1221"/>
      <c r="N1221"/>
    </row>
    <row r="1222" spans="1:14" x14ac:dyDescent="0.25">
      <c r="A1222" t="str">
        <f t="shared" si="38"/>
        <v>1275152</v>
      </c>
      <c r="B1222" t="str">
        <f t="shared" si="39"/>
        <v xml:space="preserve"> Ziply - Great Falls Build (FTTH)</v>
      </c>
      <c r="C1222" t="s">
        <v>304</v>
      </c>
      <c r="D1222" s="15">
        <v>6316</v>
      </c>
      <c r="E1222" s="15">
        <v>10103.83</v>
      </c>
      <c r="F1222" s="15">
        <v>-3787.83</v>
      </c>
      <c r="G1222" s="34">
        <v>-59.9719759341355</v>
      </c>
      <c r="H1222" s="15">
        <v>1977948.14</v>
      </c>
      <c r="I1222" s="15">
        <v>10740</v>
      </c>
      <c r="J1222" s="15">
        <v>3227725.04</v>
      </c>
      <c r="K1222" s="15">
        <v>1988688.14</v>
      </c>
      <c r="L1222" s="15">
        <v>1758012.62</v>
      </c>
      <c r="M1222" s="15">
        <v>230675.52</v>
      </c>
      <c r="N1222" s="34">
        <v>11.599381288611699</v>
      </c>
    </row>
    <row r="1223" spans="1:14" x14ac:dyDescent="0.25">
      <c r="A1223" t="e">
        <f t="shared" si="38"/>
        <v>#VALUE!</v>
      </c>
      <c r="B1223" t="e">
        <f t="shared" si="39"/>
        <v>#VALUE!</v>
      </c>
      <c r="D1223"/>
      <c r="E1223"/>
      <c r="F1223"/>
      <c r="G1223"/>
      <c r="H1223"/>
      <c r="I1223"/>
      <c r="J1223"/>
      <c r="K1223"/>
      <c r="L1223"/>
      <c r="M1223"/>
      <c r="N1223"/>
    </row>
    <row r="1224" spans="1:14" x14ac:dyDescent="0.25">
      <c r="A1224" t="e">
        <f t="shared" si="38"/>
        <v>#VALUE!</v>
      </c>
      <c r="B1224" t="e">
        <f t="shared" si="39"/>
        <v>#VALUE!</v>
      </c>
      <c r="C1224" s="14">
        <v>0</v>
      </c>
      <c r="D1224" s="14">
        <v>0</v>
      </c>
      <c r="E1224"/>
      <c r="F1224"/>
      <c r="G1224"/>
      <c r="H1224"/>
      <c r="I1224"/>
      <c r="J1224"/>
      <c r="K1224"/>
      <c r="L1224"/>
      <c r="M1224"/>
      <c r="N1224"/>
    </row>
    <row r="1225" spans="1:14" x14ac:dyDescent="0.25">
      <c r="A1225" t="e">
        <f t="shared" si="38"/>
        <v>#VALUE!</v>
      </c>
      <c r="B1225" t="e">
        <f t="shared" si="39"/>
        <v>#VALUE!</v>
      </c>
      <c r="D1225"/>
      <c r="E1225"/>
      <c r="F1225"/>
      <c r="G1225"/>
      <c r="H1225"/>
      <c r="I1225"/>
      <c r="J1225"/>
      <c r="K1225"/>
      <c r="L1225"/>
      <c r="M1225"/>
      <c r="N1225"/>
    </row>
    <row r="1226" spans="1:14" x14ac:dyDescent="0.25">
      <c r="A1226" t="e">
        <f t="shared" si="38"/>
        <v>#VALUE!</v>
      </c>
      <c r="B1226" t="e">
        <f t="shared" si="39"/>
        <v>#VALUE!</v>
      </c>
      <c r="D1226" s="14">
        <v>0</v>
      </c>
      <c r="E1226"/>
      <c r="F1226"/>
      <c r="G1226"/>
      <c r="H1226"/>
      <c r="I1226"/>
      <c r="J1226"/>
      <c r="K1226"/>
      <c r="L1226"/>
      <c r="M1226"/>
      <c r="N1226"/>
    </row>
    <row r="1227" spans="1:14" x14ac:dyDescent="0.25">
      <c r="A1227" t="str">
        <f t="shared" si="38"/>
        <v>1275216</v>
      </c>
      <c r="B1227" t="str">
        <f t="shared" si="39"/>
        <v xml:space="preserve"> Ziply - MT FTTH MSA (2024-27)</v>
      </c>
      <c r="C1227" t="s">
        <v>702</v>
      </c>
      <c r="D1227" s="15">
        <v>49784</v>
      </c>
      <c r="E1227" s="15">
        <v>36755.56</v>
      </c>
      <c r="F1227" s="15">
        <v>13028.44</v>
      </c>
      <c r="G1227" s="34">
        <v>26.1699341153784</v>
      </c>
      <c r="H1227" s="15">
        <v>1261829.54</v>
      </c>
      <c r="I1227" s="15">
        <v>54497</v>
      </c>
      <c r="J1227" s="15">
        <v>0</v>
      </c>
      <c r="K1227" s="15">
        <v>1316326.54</v>
      </c>
      <c r="L1227" s="15">
        <v>1079754.3</v>
      </c>
      <c r="M1227" s="15">
        <v>236572.24</v>
      </c>
      <c r="N1227" s="34">
        <v>17.9721545384932</v>
      </c>
    </row>
    <row r="1228" spans="1:14" x14ac:dyDescent="0.25">
      <c r="A1228" t="e">
        <f t="shared" si="38"/>
        <v>#VALUE!</v>
      </c>
      <c r="B1228" t="e">
        <f t="shared" si="39"/>
        <v>#VALUE!</v>
      </c>
      <c r="D1228"/>
      <c r="E1228"/>
      <c r="F1228"/>
      <c r="G1228"/>
      <c r="H1228"/>
      <c r="I1228"/>
      <c r="J1228"/>
      <c r="K1228"/>
      <c r="L1228"/>
      <c r="M1228"/>
      <c r="N1228"/>
    </row>
    <row r="1229" spans="1:14" x14ac:dyDescent="0.25">
      <c r="A1229" t="e">
        <f t="shared" si="38"/>
        <v>#VALUE!</v>
      </c>
      <c r="B1229" t="e">
        <f t="shared" si="39"/>
        <v>#VALUE!</v>
      </c>
      <c r="C1229" s="14">
        <v>0</v>
      </c>
      <c r="D1229" s="14">
        <v>0</v>
      </c>
      <c r="E1229"/>
      <c r="F1229"/>
      <c r="G1229"/>
      <c r="H1229"/>
      <c r="I1229"/>
      <c r="J1229"/>
      <c r="K1229"/>
      <c r="L1229"/>
      <c r="M1229"/>
      <c r="N1229"/>
    </row>
    <row r="1230" spans="1:14" x14ac:dyDescent="0.25">
      <c r="A1230" t="e">
        <f t="shared" si="38"/>
        <v>#VALUE!</v>
      </c>
      <c r="B1230" t="e">
        <f t="shared" si="39"/>
        <v>#VALUE!</v>
      </c>
      <c r="D1230"/>
      <c r="E1230"/>
      <c r="F1230"/>
      <c r="G1230"/>
      <c r="H1230"/>
      <c r="I1230"/>
      <c r="J1230"/>
      <c r="K1230"/>
      <c r="L1230"/>
      <c r="M1230"/>
      <c r="N1230"/>
    </row>
    <row r="1231" spans="1:14" x14ac:dyDescent="0.25">
      <c r="A1231" t="e">
        <f t="shared" si="38"/>
        <v>#VALUE!</v>
      </c>
      <c r="B1231" t="e">
        <f t="shared" si="39"/>
        <v>#VALUE!</v>
      </c>
      <c r="D1231" s="14">
        <v>0</v>
      </c>
      <c r="E1231"/>
      <c r="F1231"/>
      <c r="G1231"/>
      <c r="H1231"/>
      <c r="I1231"/>
      <c r="J1231"/>
      <c r="K1231"/>
      <c r="L1231"/>
      <c r="M1231"/>
      <c r="N1231"/>
    </row>
    <row r="1232" spans="1:14" x14ac:dyDescent="0.25">
      <c r="A1232" t="str">
        <f t="shared" si="38"/>
        <v>1385175</v>
      </c>
      <c r="B1232" t="str">
        <f t="shared" si="39"/>
        <v xml:space="preserve"> Ziply - OR FTTP MSA (2024-27)</v>
      </c>
      <c r="C1232" t="s">
        <v>703</v>
      </c>
      <c r="D1232" s="15">
        <v>155473.89000000001</v>
      </c>
      <c r="E1232" s="15">
        <v>135869.70000000001</v>
      </c>
      <c r="F1232" s="15">
        <v>19604.189999999999</v>
      </c>
      <c r="G1232" s="34">
        <v>12.6093133708818</v>
      </c>
      <c r="H1232" s="15">
        <v>5346103.18</v>
      </c>
      <c r="I1232" s="15">
        <v>1220497.5900000001</v>
      </c>
      <c r="J1232" s="15">
        <v>0</v>
      </c>
      <c r="K1232" s="15">
        <v>6566600.7699999996</v>
      </c>
      <c r="L1232" s="15">
        <v>5772922.2000000002</v>
      </c>
      <c r="M1232" s="15">
        <v>793678.57</v>
      </c>
      <c r="N1232" s="34">
        <v>12.0865969745866</v>
      </c>
    </row>
    <row r="1233" spans="1:14" x14ac:dyDescent="0.25">
      <c r="A1233" t="e">
        <f t="shared" si="38"/>
        <v>#VALUE!</v>
      </c>
      <c r="B1233" t="e">
        <f t="shared" si="39"/>
        <v>#VALUE!</v>
      </c>
      <c r="D1233"/>
      <c r="E1233"/>
      <c r="F1233"/>
      <c r="G1233"/>
      <c r="H1233"/>
      <c r="I1233"/>
      <c r="J1233"/>
      <c r="K1233"/>
      <c r="L1233"/>
      <c r="M1233"/>
      <c r="N1233"/>
    </row>
    <row r="1234" spans="1:14" x14ac:dyDescent="0.25">
      <c r="A1234" t="e">
        <f t="shared" si="38"/>
        <v>#VALUE!</v>
      </c>
      <c r="B1234" t="e">
        <f t="shared" si="39"/>
        <v>#VALUE!</v>
      </c>
      <c r="C1234" s="14">
        <v>1305600</v>
      </c>
      <c r="D1234" s="14">
        <v>1305600</v>
      </c>
      <c r="E1234"/>
      <c r="F1234"/>
      <c r="G1234"/>
      <c r="H1234"/>
      <c r="I1234"/>
      <c r="J1234"/>
      <c r="K1234"/>
      <c r="L1234"/>
      <c r="M1234"/>
      <c r="N1234"/>
    </row>
    <row r="1235" spans="1:14" x14ac:dyDescent="0.25">
      <c r="A1235" t="e">
        <f t="shared" si="38"/>
        <v>#VALUE!</v>
      </c>
      <c r="B1235" t="e">
        <f t="shared" si="39"/>
        <v>#VALUE!</v>
      </c>
      <c r="D1235"/>
      <c r="E1235"/>
      <c r="F1235"/>
      <c r="G1235"/>
      <c r="H1235"/>
      <c r="I1235"/>
      <c r="J1235"/>
      <c r="K1235"/>
      <c r="L1235"/>
      <c r="M1235"/>
      <c r="N1235"/>
    </row>
    <row r="1236" spans="1:14" x14ac:dyDescent="0.25">
      <c r="A1236" t="e">
        <f t="shared" si="38"/>
        <v>#VALUE!</v>
      </c>
      <c r="B1236" t="e">
        <f t="shared" si="39"/>
        <v>#VALUE!</v>
      </c>
      <c r="D1236" s="14">
        <v>0</v>
      </c>
      <c r="E1236"/>
      <c r="F1236"/>
      <c r="G1236"/>
      <c r="H1236"/>
      <c r="I1236"/>
      <c r="J1236"/>
      <c r="K1236"/>
      <c r="L1236"/>
      <c r="M1236"/>
      <c r="N1236"/>
    </row>
    <row r="1237" spans="1:14" x14ac:dyDescent="0.25">
      <c r="A1237" t="str">
        <f t="shared" si="38"/>
        <v>1385220</v>
      </c>
      <c r="B1237" t="str">
        <f t="shared" si="39"/>
        <v xml:space="preserve"> Ziply - Softscape Keizer FTTP</v>
      </c>
      <c r="C1237" t="s">
        <v>704</v>
      </c>
      <c r="D1237" s="15">
        <v>0</v>
      </c>
      <c r="E1237" s="15">
        <v>0</v>
      </c>
      <c r="F1237" s="15">
        <v>0</v>
      </c>
      <c r="G1237" s="34">
        <v>0</v>
      </c>
      <c r="H1237" s="15">
        <v>1445362.65</v>
      </c>
      <c r="I1237" s="15">
        <v>7200</v>
      </c>
      <c r="J1237" s="15">
        <v>1305600</v>
      </c>
      <c r="K1237" s="15">
        <v>1452562.65</v>
      </c>
      <c r="L1237" s="15">
        <v>1163949.32</v>
      </c>
      <c r="M1237" s="15">
        <v>288613.33</v>
      </c>
      <c r="N1237" s="34">
        <v>19.8692517668687</v>
      </c>
    </row>
    <row r="1238" spans="1:14" x14ac:dyDescent="0.25">
      <c r="A1238" t="e">
        <f t="shared" si="38"/>
        <v>#VALUE!</v>
      </c>
      <c r="B1238" t="e">
        <f t="shared" si="39"/>
        <v>#VALUE!</v>
      </c>
      <c r="D1238"/>
      <c r="E1238"/>
      <c r="F1238"/>
      <c r="G1238"/>
      <c r="H1238"/>
      <c r="I1238"/>
      <c r="J1238"/>
      <c r="K1238"/>
      <c r="L1238"/>
      <c r="M1238"/>
      <c r="N1238"/>
    </row>
    <row r="1239" spans="1:14" x14ac:dyDescent="0.25">
      <c r="A1239" t="e">
        <f t="shared" si="38"/>
        <v>#VALUE!</v>
      </c>
      <c r="B1239" t="e">
        <f t="shared" si="39"/>
        <v>#VALUE!</v>
      </c>
      <c r="C1239" s="14">
        <v>237140</v>
      </c>
      <c r="D1239" s="14">
        <v>237140</v>
      </c>
      <c r="E1239"/>
      <c r="F1239"/>
      <c r="G1239"/>
      <c r="H1239"/>
      <c r="I1239"/>
      <c r="J1239"/>
      <c r="K1239"/>
      <c r="L1239"/>
      <c r="M1239"/>
      <c r="N1239"/>
    </row>
    <row r="1240" spans="1:14" x14ac:dyDescent="0.25">
      <c r="A1240" t="e">
        <f t="shared" si="38"/>
        <v>#VALUE!</v>
      </c>
      <c r="B1240" t="e">
        <f t="shared" si="39"/>
        <v>#VALUE!</v>
      </c>
      <c r="D1240"/>
      <c r="E1240"/>
      <c r="F1240"/>
      <c r="G1240"/>
      <c r="H1240"/>
      <c r="I1240"/>
      <c r="J1240"/>
      <c r="K1240"/>
      <c r="L1240"/>
      <c r="M1240"/>
      <c r="N1240"/>
    </row>
    <row r="1241" spans="1:14" x14ac:dyDescent="0.25">
      <c r="A1241" t="e">
        <f t="shared" si="38"/>
        <v>#VALUE!</v>
      </c>
      <c r="B1241" t="e">
        <f t="shared" si="39"/>
        <v>#VALUE!</v>
      </c>
      <c r="D1241" s="14">
        <v>0</v>
      </c>
      <c r="E1241"/>
      <c r="F1241"/>
      <c r="G1241"/>
      <c r="H1241"/>
      <c r="I1241"/>
      <c r="J1241"/>
      <c r="K1241"/>
      <c r="L1241"/>
      <c r="M1241"/>
      <c r="N1241"/>
    </row>
    <row r="1242" spans="1:14" x14ac:dyDescent="0.25">
      <c r="A1242" t="str">
        <f t="shared" si="38"/>
        <v>1385249</v>
      </c>
      <c r="B1242" t="str">
        <f t="shared" si="39"/>
        <v xml:space="preserve"> Ziply - Softscape FTTP-Keizer 6005282</v>
      </c>
      <c r="C1242" t="s">
        <v>705</v>
      </c>
      <c r="D1242" s="15">
        <v>0</v>
      </c>
      <c r="E1242" s="15">
        <v>0</v>
      </c>
      <c r="F1242" s="15">
        <v>0</v>
      </c>
      <c r="G1242" s="34">
        <v>0</v>
      </c>
      <c r="H1242" s="15">
        <v>130835</v>
      </c>
      <c r="I1242" s="15">
        <v>26685.15</v>
      </c>
      <c r="J1242" s="15">
        <v>237140</v>
      </c>
      <c r="K1242" s="15">
        <v>157520.15</v>
      </c>
      <c r="L1242" s="15">
        <v>116751.5</v>
      </c>
      <c r="M1242" s="15">
        <v>40768.65</v>
      </c>
      <c r="N1242" s="34">
        <v>25.881545948248501</v>
      </c>
    </row>
    <row r="1243" spans="1:14" x14ac:dyDescent="0.25">
      <c r="A1243" t="e">
        <f t="shared" si="38"/>
        <v>#VALUE!</v>
      </c>
      <c r="B1243" t="e">
        <f t="shared" si="39"/>
        <v>#VALUE!</v>
      </c>
      <c r="D1243"/>
      <c r="E1243"/>
      <c r="F1243"/>
      <c r="G1243"/>
      <c r="H1243"/>
      <c r="I1243"/>
      <c r="J1243"/>
      <c r="K1243"/>
      <c r="L1243"/>
      <c r="M1243"/>
      <c r="N1243"/>
    </row>
    <row r="1244" spans="1:14" x14ac:dyDescent="0.25">
      <c r="A1244" t="e">
        <f t="shared" si="38"/>
        <v>#VALUE!</v>
      </c>
      <c r="B1244" t="e">
        <f t="shared" si="39"/>
        <v>#VALUE!</v>
      </c>
      <c r="C1244" s="14">
        <v>0</v>
      </c>
      <c r="D1244" s="14">
        <v>0</v>
      </c>
      <c r="E1244"/>
      <c r="F1244"/>
      <c r="G1244"/>
      <c r="H1244"/>
      <c r="I1244"/>
      <c r="J1244"/>
      <c r="K1244"/>
      <c r="L1244"/>
      <c r="M1244"/>
      <c r="N1244"/>
    </row>
    <row r="1245" spans="1:14" x14ac:dyDescent="0.25">
      <c r="A1245" t="e">
        <f t="shared" si="38"/>
        <v>#VALUE!</v>
      </c>
      <c r="B1245" t="e">
        <f t="shared" si="39"/>
        <v>#VALUE!</v>
      </c>
      <c r="D1245"/>
      <c r="E1245"/>
      <c r="F1245"/>
      <c r="G1245"/>
      <c r="H1245"/>
      <c r="I1245"/>
      <c r="J1245"/>
      <c r="K1245"/>
      <c r="L1245"/>
      <c r="M1245"/>
      <c r="N1245"/>
    </row>
    <row r="1246" spans="1:14" x14ac:dyDescent="0.25">
      <c r="A1246" t="e">
        <f t="shared" si="38"/>
        <v>#VALUE!</v>
      </c>
      <c r="B1246" t="e">
        <f t="shared" si="39"/>
        <v>#VALUE!</v>
      </c>
      <c r="D1246" s="14">
        <v>0</v>
      </c>
      <c r="E1246"/>
      <c r="F1246"/>
      <c r="G1246"/>
      <c r="H1246"/>
      <c r="I1246"/>
      <c r="J1246"/>
      <c r="K1246"/>
      <c r="L1246"/>
      <c r="M1246"/>
      <c r="N1246"/>
    </row>
    <row r="1247" spans="1:14" x14ac:dyDescent="0.25">
      <c r="A1247" t="str">
        <f t="shared" si="38"/>
        <v>1385251</v>
      </c>
      <c r="B1247" t="str">
        <f t="shared" si="39"/>
        <v xml:space="preserve"> Ziply - OR Softscape FTTP (1450)</v>
      </c>
      <c r="C1247" t="s">
        <v>804</v>
      </c>
      <c r="D1247" s="15">
        <v>45300</v>
      </c>
      <c r="E1247" s="15">
        <v>43703.63</v>
      </c>
      <c r="F1247" s="15">
        <v>1596.37</v>
      </c>
      <c r="G1247" s="34">
        <v>3.5239955849889602</v>
      </c>
      <c r="H1247" s="15">
        <v>2049134.1</v>
      </c>
      <c r="I1247" s="15">
        <v>328566.59999999998</v>
      </c>
      <c r="J1247" s="15">
        <v>0</v>
      </c>
      <c r="K1247" s="15">
        <v>2377700.7000000002</v>
      </c>
      <c r="L1247" s="15">
        <v>2239518.48</v>
      </c>
      <c r="M1247" s="15">
        <v>138182.22</v>
      </c>
      <c r="N1247" s="34">
        <v>5.81159016355591</v>
      </c>
    </row>
    <row r="1248" spans="1:14" x14ac:dyDescent="0.25">
      <c r="A1248" t="e">
        <f t="shared" si="38"/>
        <v>#VALUE!</v>
      </c>
      <c r="B1248" t="e">
        <f t="shared" si="39"/>
        <v>#VALUE!</v>
      </c>
      <c r="D1248"/>
      <c r="E1248"/>
      <c r="F1248"/>
      <c r="G1248"/>
      <c r="H1248"/>
      <c r="I1248"/>
      <c r="J1248"/>
      <c r="K1248"/>
      <c r="L1248"/>
      <c r="M1248"/>
      <c r="N1248"/>
    </row>
    <row r="1249" spans="1:14" x14ac:dyDescent="0.25">
      <c r="A1249" t="e">
        <f t="shared" si="38"/>
        <v>#VALUE!</v>
      </c>
      <c r="B1249" t="e">
        <f t="shared" si="39"/>
        <v>#VALUE!</v>
      </c>
      <c r="C1249" s="14">
        <v>0</v>
      </c>
      <c r="D1249" s="14">
        <v>0</v>
      </c>
      <c r="E1249"/>
      <c r="F1249"/>
      <c r="G1249"/>
      <c r="H1249"/>
      <c r="I1249"/>
      <c r="J1249"/>
      <c r="K1249"/>
      <c r="L1249"/>
      <c r="M1249"/>
      <c r="N1249"/>
    </row>
    <row r="1250" spans="1:14" x14ac:dyDescent="0.25">
      <c r="A1250" t="e">
        <f t="shared" si="38"/>
        <v>#VALUE!</v>
      </c>
      <c r="B1250" t="e">
        <f t="shared" si="39"/>
        <v>#VALUE!</v>
      </c>
      <c r="D1250"/>
      <c r="E1250"/>
      <c r="F1250"/>
      <c r="G1250"/>
      <c r="H1250"/>
      <c r="I1250"/>
      <c r="J1250"/>
      <c r="K1250"/>
      <c r="L1250"/>
      <c r="M1250"/>
      <c r="N1250"/>
    </row>
    <row r="1251" spans="1:14" x14ac:dyDescent="0.25">
      <c r="A1251" t="e">
        <f t="shared" si="38"/>
        <v>#VALUE!</v>
      </c>
      <c r="B1251" t="e">
        <f t="shared" si="39"/>
        <v>#VALUE!</v>
      </c>
      <c r="D1251" s="14">
        <v>0</v>
      </c>
      <c r="E1251"/>
      <c r="F1251"/>
      <c r="G1251"/>
      <c r="H1251"/>
      <c r="I1251"/>
      <c r="J1251"/>
      <c r="K1251"/>
      <c r="L1251"/>
      <c r="M1251"/>
      <c r="N1251"/>
    </row>
    <row r="1252" spans="1:14" x14ac:dyDescent="0.25">
      <c r="A1252" t="str">
        <f t="shared" si="38"/>
        <v>1485174</v>
      </c>
      <c r="B1252" t="str">
        <f t="shared" si="39"/>
        <v xml:space="preserve"> Ziply - WA FTTP MSA (2024-27)</v>
      </c>
      <c r="C1252" t="s">
        <v>663</v>
      </c>
      <c r="D1252" s="15">
        <v>319427.40999999997</v>
      </c>
      <c r="E1252" s="15">
        <v>295404.02</v>
      </c>
      <c r="F1252" s="15">
        <v>24023.39</v>
      </c>
      <c r="G1252" s="34">
        <v>7.5207666117319096</v>
      </c>
      <c r="H1252" s="15">
        <v>3050489.61</v>
      </c>
      <c r="I1252" s="15">
        <v>1709256.41</v>
      </c>
      <c r="J1252" s="15">
        <v>0</v>
      </c>
      <c r="K1252" s="15">
        <v>4759746.0199999996</v>
      </c>
      <c r="L1252" s="15">
        <v>3909823.8</v>
      </c>
      <c r="M1252" s="15">
        <v>849922.22</v>
      </c>
      <c r="N1252" s="34">
        <v>17.856461593301599</v>
      </c>
    </row>
    <row r="1253" spans="1:14" x14ac:dyDescent="0.25">
      <c r="A1253" t="e">
        <f t="shared" si="38"/>
        <v>#VALUE!</v>
      </c>
      <c r="B1253" t="e">
        <f t="shared" si="39"/>
        <v>#VALUE!</v>
      </c>
      <c r="D1253"/>
      <c r="E1253"/>
      <c r="F1253"/>
      <c r="G1253"/>
      <c r="H1253"/>
      <c r="I1253"/>
      <c r="J1253"/>
      <c r="K1253"/>
      <c r="L1253"/>
      <c r="M1253"/>
      <c r="N1253"/>
    </row>
    <row r="1254" spans="1:14" x14ac:dyDescent="0.25">
      <c r="A1254" t="e">
        <f t="shared" si="38"/>
        <v>#VALUE!</v>
      </c>
      <c r="B1254" t="e">
        <f t="shared" si="39"/>
        <v>#VALUE!</v>
      </c>
      <c r="C1254" s="14">
        <v>0</v>
      </c>
      <c r="D1254" s="14">
        <v>0</v>
      </c>
      <c r="E1254"/>
      <c r="F1254"/>
      <c r="G1254"/>
      <c r="H1254"/>
      <c r="I1254"/>
      <c r="J1254"/>
      <c r="K1254"/>
      <c r="L1254"/>
      <c r="M1254"/>
      <c r="N1254"/>
    </row>
    <row r="1255" spans="1:14" x14ac:dyDescent="0.25">
      <c r="A1255" t="e">
        <f t="shared" si="38"/>
        <v>#VALUE!</v>
      </c>
      <c r="B1255" t="e">
        <f t="shared" si="39"/>
        <v>#VALUE!</v>
      </c>
      <c r="D1255"/>
      <c r="E1255"/>
      <c r="F1255"/>
      <c r="G1255"/>
      <c r="H1255"/>
      <c r="I1255"/>
      <c r="J1255"/>
      <c r="K1255"/>
      <c r="L1255"/>
      <c r="M1255"/>
      <c r="N1255"/>
    </row>
    <row r="1256" spans="1:14" x14ac:dyDescent="0.25">
      <c r="A1256" t="e">
        <f t="shared" si="38"/>
        <v>#VALUE!</v>
      </c>
      <c r="B1256" t="e">
        <f t="shared" si="39"/>
        <v>#VALUE!</v>
      </c>
      <c r="D1256" s="14">
        <v>0</v>
      </c>
      <c r="E1256"/>
      <c r="F1256"/>
      <c r="G1256"/>
      <c r="H1256"/>
      <c r="I1256"/>
      <c r="J1256"/>
      <c r="K1256"/>
      <c r="L1256"/>
      <c r="M1256"/>
      <c r="N1256"/>
    </row>
    <row r="1257" spans="1:14" x14ac:dyDescent="0.25">
      <c r="A1257" t="str">
        <f t="shared" si="38"/>
        <v>1485188</v>
      </c>
      <c r="B1257" t="str">
        <f t="shared" si="39"/>
        <v xml:space="preserve"> Ziply - Eastern WA FTTP MSA</v>
      </c>
      <c r="C1257" t="s">
        <v>306</v>
      </c>
      <c r="D1257" s="15">
        <v>-3725.2</v>
      </c>
      <c r="E1257" s="15">
        <v>-1538.88</v>
      </c>
      <c r="F1257" s="15">
        <v>-2186.3200000000002</v>
      </c>
      <c r="G1257" s="34">
        <v>0</v>
      </c>
      <c r="H1257" s="15">
        <v>1053236.9099999999</v>
      </c>
      <c r="I1257" s="15">
        <v>-2.2282620193436699E-12</v>
      </c>
      <c r="J1257" s="15">
        <v>0</v>
      </c>
      <c r="K1257" s="15">
        <v>1053236.9099999999</v>
      </c>
      <c r="L1257" s="15">
        <v>1008531.02</v>
      </c>
      <c r="M1257" s="15">
        <v>44705.89</v>
      </c>
      <c r="N1257" s="34">
        <v>4.2446186205152996</v>
      </c>
    </row>
    <row r="1258" spans="1:14" x14ac:dyDescent="0.25">
      <c r="A1258" t="e">
        <f t="shared" ref="A1258:A1297" si="40">LEFT(C1258,FIND(" ",C1258)-1)</f>
        <v>#VALUE!</v>
      </c>
      <c r="B1258" t="e">
        <f t="shared" ref="B1258:B1297" si="41">RIGHT(C1258,LEN(C1258)-FIND(" ",C1258))</f>
        <v>#VALUE!</v>
      </c>
      <c r="D1258"/>
      <c r="E1258"/>
      <c r="F1258"/>
      <c r="G1258"/>
      <c r="H1258"/>
      <c r="I1258"/>
      <c r="J1258"/>
      <c r="K1258"/>
      <c r="L1258"/>
      <c r="M1258"/>
      <c r="N1258"/>
    </row>
    <row r="1259" spans="1:14" x14ac:dyDescent="0.25">
      <c r="A1259" t="e">
        <f t="shared" si="40"/>
        <v>#VALUE!</v>
      </c>
      <c r="B1259" t="e">
        <f t="shared" si="41"/>
        <v>#VALUE!</v>
      </c>
      <c r="C1259" s="14">
        <v>0</v>
      </c>
      <c r="D1259" s="14">
        <v>0</v>
      </c>
      <c r="E1259"/>
      <c r="F1259"/>
      <c r="G1259"/>
      <c r="H1259"/>
      <c r="I1259"/>
      <c r="J1259"/>
      <c r="K1259"/>
      <c r="L1259"/>
      <c r="M1259"/>
      <c r="N1259"/>
    </row>
    <row r="1260" spans="1:14" x14ac:dyDescent="0.25">
      <c r="A1260" t="e">
        <f t="shared" si="40"/>
        <v>#VALUE!</v>
      </c>
      <c r="B1260" t="e">
        <f t="shared" si="41"/>
        <v>#VALUE!</v>
      </c>
      <c r="D1260"/>
      <c r="E1260"/>
      <c r="F1260"/>
      <c r="G1260"/>
      <c r="H1260"/>
      <c r="I1260"/>
      <c r="J1260"/>
      <c r="K1260"/>
      <c r="L1260"/>
      <c r="M1260"/>
      <c r="N1260"/>
    </row>
    <row r="1261" spans="1:14" x14ac:dyDescent="0.25">
      <c r="A1261" t="e">
        <f t="shared" si="40"/>
        <v>#VALUE!</v>
      </c>
      <c r="B1261" t="e">
        <f t="shared" si="41"/>
        <v>#VALUE!</v>
      </c>
      <c r="D1261" s="14">
        <v>0</v>
      </c>
      <c r="E1261"/>
      <c r="F1261"/>
      <c r="G1261"/>
      <c r="H1261"/>
      <c r="I1261"/>
      <c r="J1261"/>
      <c r="K1261"/>
      <c r="L1261"/>
      <c r="M1261"/>
      <c r="N1261"/>
    </row>
    <row r="1262" spans="1:14" x14ac:dyDescent="0.25">
      <c r="A1262" t="str">
        <f t="shared" si="40"/>
        <v>1485205</v>
      </c>
      <c r="B1262" t="str">
        <f t="shared" si="41"/>
        <v xml:space="preserve"> Ziply - WA FTTP MSA (Cody)</v>
      </c>
      <c r="C1262" t="s">
        <v>296</v>
      </c>
      <c r="D1262" s="15">
        <v>0</v>
      </c>
      <c r="E1262" s="15">
        <v>0</v>
      </c>
      <c r="F1262" s="15">
        <v>0</v>
      </c>
      <c r="G1262" s="34">
        <v>0</v>
      </c>
      <c r="H1262" s="15">
        <v>177538.93</v>
      </c>
      <c r="I1262" s="15">
        <v>43173.04</v>
      </c>
      <c r="J1262" s="15">
        <v>0</v>
      </c>
      <c r="K1262" s="15">
        <v>220711.97</v>
      </c>
      <c r="L1262" s="15">
        <v>211934.13</v>
      </c>
      <c r="M1262" s="15">
        <v>8777.84</v>
      </c>
      <c r="N1262" s="34">
        <v>3.9770566136490002</v>
      </c>
    </row>
    <row r="1263" spans="1:14" x14ac:dyDescent="0.25">
      <c r="A1263" t="e">
        <f t="shared" si="40"/>
        <v>#VALUE!</v>
      </c>
      <c r="B1263" t="e">
        <f t="shared" si="41"/>
        <v>#VALUE!</v>
      </c>
      <c r="D1263"/>
      <c r="E1263"/>
      <c r="F1263"/>
      <c r="G1263"/>
      <c r="H1263"/>
      <c r="I1263"/>
      <c r="J1263"/>
      <c r="K1263"/>
      <c r="L1263"/>
      <c r="M1263"/>
      <c r="N1263"/>
    </row>
    <row r="1264" spans="1:14" x14ac:dyDescent="0.25">
      <c r="A1264" t="e">
        <f t="shared" si="40"/>
        <v>#VALUE!</v>
      </c>
      <c r="B1264" t="e">
        <f t="shared" si="41"/>
        <v>#VALUE!</v>
      </c>
      <c r="C1264" s="14">
        <v>0</v>
      </c>
      <c r="D1264" s="14">
        <v>0</v>
      </c>
      <c r="E1264"/>
      <c r="F1264"/>
      <c r="G1264"/>
      <c r="H1264"/>
      <c r="I1264"/>
      <c r="J1264"/>
      <c r="K1264"/>
      <c r="L1264"/>
      <c r="M1264"/>
      <c r="N1264"/>
    </row>
    <row r="1265" spans="1:14" x14ac:dyDescent="0.25">
      <c r="A1265" t="e">
        <f t="shared" si="40"/>
        <v>#VALUE!</v>
      </c>
      <c r="B1265" t="e">
        <f t="shared" si="41"/>
        <v>#VALUE!</v>
      </c>
      <c r="D1265"/>
      <c r="E1265"/>
      <c r="F1265"/>
      <c r="G1265"/>
      <c r="H1265"/>
      <c r="I1265"/>
      <c r="J1265"/>
      <c r="K1265"/>
      <c r="L1265"/>
      <c r="M1265"/>
      <c r="N1265"/>
    </row>
    <row r="1266" spans="1:14" x14ac:dyDescent="0.25">
      <c r="A1266" t="e">
        <f t="shared" si="40"/>
        <v>#VALUE!</v>
      </c>
      <c r="B1266" t="e">
        <f t="shared" si="41"/>
        <v>#VALUE!</v>
      </c>
      <c r="D1266" s="14">
        <v>0</v>
      </c>
      <c r="E1266"/>
      <c r="F1266"/>
      <c r="G1266"/>
      <c r="H1266"/>
      <c r="I1266"/>
      <c r="J1266"/>
      <c r="K1266"/>
      <c r="L1266"/>
      <c r="M1266"/>
      <c r="N1266"/>
    </row>
    <row r="1267" spans="1:14" x14ac:dyDescent="0.25">
      <c r="A1267" t="str">
        <f t="shared" si="40"/>
        <v>1485215</v>
      </c>
      <c r="B1267" t="str">
        <f t="shared" si="41"/>
        <v xml:space="preserve"> Ziply - WA FTTP MSA legacy)</v>
      </c>
      <c r="C1267" t="s">
        <v>957</v>
      </c>
      <c r="D1267" s="15">
        <v>0</v>
      </c>
      <c r="E1267" s="15">
        <v>0</v>
      </c>
      <c r="F1267" s="15">
        <v>0</v>
      </c>
      <c r="G1267" s="34">
        <v>0</v>
      </c>
      <c r="H1267" s="15">
        <v>4001</v>
      </c>
      <c r="I1267" s="15">
        <v>0</v>
      </c>
      <c r="J1267" s="15">
        <v>0</v>
      </c>
      <c r="K1267" s="15">
        <v>4001</v>
      </c>
      <c r="L1267" s="15">
        <v>8961.36</v>
      </c>
      <c r="M1267" s="15">
        <v>-4960.3599999999997</v>
      </c>
      <c r="N1267" s="34">
        <v>-123.978005498625</v>
      </c>
    </row>
    <row r="1268" spans="1:14" x14ac:dyDescent="0.25">
      <c r="A1268" t="e">
        <f t="shared" si="40"/>
        <v>#VALUE!</v>
      </c>
      <c r="B1268" t="e">
        <f t="shared" si="41"/>
        <v>#VALUE!</v>
      </c>
      <c r="D1268"/>
      <c r="E1268"/>
      <c r="F1268"/>
      <c r="G1268"/>
      <c r="H1268"/>
      <c r="I1268"/>
      <c r="J1268"/>
      <c r="K1268"/>
      <c r="L1268"/>
      <c r="M1268"/>
      <c r="N1268"/>
    </row>
    <row r="1269" spans="1:14" x14ac:dyDescent="0.25">
      <c r="A1269" t="e">
        <f t="shared" si="40"/>
        <v>#VALUE!</v>
      </c>
      <c r="B1269" t="e">
        <f t="shared" si="41"/>
        <v>#VALUE!</v>
      </c>
      <c r="C1269" s="14">
        <v>409200</v>
      </c>
      <c r="D1269" s="14">
        <v>409200</v>
      </c>
      <c r="E1269"/>
      <c r="F1269"/>
      <c r="G1269"/>
      <c r="H1269"/>
      <c r="I1269"/>
      <c r="J1269"/>
      <c r="K1269"/>
      <c r="L1269"/>
      <c r="M1269"/>
      <c r="N1269"/>
    </row>
    <row r="1270" spans="1:14" x14ac:dyDescent="0.25">
      <c r="A1270" t="e">
        <f t="shared" si="40"/>
        <v>#VALUE!</v>
      </c>
      <c r="B1270" t="e">
        <f t="shared" si="41"/>
        <v>#VALUE!</v>
      </c>
      <c r="D1270"/>
      <c r="E1270"/>
      <c r="F1270"/>
      <c r="G1270"/>
      <c r="H1270"/>
      <c r="I1270"/>
      <c r="J1270"/>
      <c r="K1270"/>
      <c r="L1270"/>
      <c r="M1270"/>
      <c r="N1270"/>
    </row>
    <row r="1271" spans="1:14" x14ac:dyDescent="0.25">
      <c r="A1271" t="e">
        <f t="shared" si="40"/>
        <v>#VALUE!</v>
      </c>
      <c r="B1271" t="e">
        <f t="shared" si="41"/>
        <v>#VALUE!</v>
      </c>
      <c r="D1271" s="14">
        <v>0</v>
      </c>
      <c r="E1271"/>
      <c r="F1271"/>
      <c r="G1271"/>
      <c r="H1271"/>
      <c r="I1271"/>
      <c r="J1271"/>
      <c r="K1271"/>
      <c r="L1271"/>
      <c r="M1271"/>
      <c r="N1271"/>
    </row>
    <row r="1272" spans="1:14" x14ac:dyDescent="0.25">
      <c r="A1272" t="str">
        <f t="shared" si="40"/>
        <v>1485219</v>
      </c>
      <c r="B1272" t="str">
        <f t="shared" si="41"/>
        <v xml:space="preserve"> Ziply - Softscape Sammamish FTTP</v>
      </c>
      <c r="C1272" t="s">
        <v>706</v>
      </c>
      <c r="D1272" s="15">
        <v>0</v>
      </c>
      <c r="E1272" s="15">
        <v>0</v>
      </c>
      <c r="F1272" s="15">
        <v>0</v>
      </c>
      <c r="G1272" s="34">
        <v>0</v>
      </c>
      <c r="H1272" s="15">
        <v>377139.77</v>
      </c>
      <c r="I1272" s="15">
        <v>9555.0000000000091</v>
      </c>
      <c r="J1272" s="15">
        <v>409200</v>
      </c>
      <c r="K1272" s="15">
        <v>386694.77</v>
      </c>
      <c r="L1272" s="15">
        <v>356482.52</v>
      </c>
      <c r="M1272" s="15">
        <v>30212.25</v>
      </c>
      <c r="N1272" s="34">
        <v>7.8129450781038496</v>
      </c>
    </row>
    <row r="1273" spans="1:14" x14ac:dyDescent="0.25">
      <c r="A1273" t="e">
        <f t="shared" si="40"/>
        <v>#VALUE!</v>
      </c>
      <c r="B1273" t="e">
        <f t="shared" si="41"/>
        <v>#VALUE!</v>
      </c>
      <c r="D1273"/>
      <c r="E1273"/>
      <c r="F1273"/>
      <c r="G1273"/>
      <c r="H1273"/>
      <c r="I1273"/>
      <c r="J1273"/>
      <c r="K1273"/>
      <c r="L1273"/>
      <c r="M1273"/>
      <c r="N1273"/>
    </row>
    <row r="1274" spans="1:14" x14ac:dyDescent="0.25">
      <c r="A1274" t="e">
        <f t="shared" si="40"/>
        <v>#VALUE!</v>
      </c>
      <c r="B1274" t="e">
        <f t="shared" si="41"/>
        <v>#VALUE!</v>
      </c>
      <c r="C1274" s="14">
        <v>0</v>
      </c>
      <c r="D1274" s="14">
        <v>0</v>
      </c>
      <c r="E1274"/>
      <c r="F1274"/>
      <c r="G1274"/>
      <c r="H1274"/>
      <c r="I1274"/>
      <c r="J1274"/>
      <c r="K1274"/>
      <c r="L1274"/>
      <c r="M1274"/>
      <c r="N1274"/>
    </row>
    <row r="1275" spans="1:14" x14ac:dyDescent="0.25">
      <c r="A1275" t="e">
        <f t="shared" si="40"/>
        <v>#VALUE!</v>
      </c>
      <c r="B1275" t="e">
        <f t="shared" si="41"/>
        <v>#VALUE!</v>
      </c>
      <c r="D1275"/>
      <c r="E1275"/>
      <c r="F1275"/>
      <c r="G1275"/>
      <c r="H1275"/>
      <c r="I1275"/>
      <c r="J1275"/>
      <c r="K1275"/>
      <c r="L1275"/>
      <c r="M1275"/>
      <c r="N1275"/>
    </row>
    <row r="1276" spans="1:14" x14ac:dyDescent="0.25">
      <c r="A1276" t="e">
        <f t="shared" si="40"/>
        <v>#VALUE!</v>
      </c>
      <c r="B1276" t="e">
        <f t="shared" si="41"/>
        <v>#VALUE!</v>
      </c>
      <c r="D1276" s="14">
        <v>0</v>
      </c>
      <c r="E1276"/>
      <c r="F1276"/>
      <c r="G1276"/>
      <c r="H1276"/>
      <c r="I1276"/>
      <c r="J1276"/>
      <c r="K1276"/>
      <c r="L1276"/>
      <c r="M1276"/>
      <c r="N1276"/>
    </row>
    <row r="1277" spans="1:14" x14ac:dyDescent="0.25">
      <c r="A1277" t="str">
        <f t="shared" si="40"/>
        <v>1485231</v>
      </c>
      <c r="B1277" t="str">
        <f t="shared" si="41"/>
        <v xml:space="preserve"> Ziply - Hwy 530 WO 5520317 (FTTP PW)</v>
      </c>
      <c r="C1277" t="s">
        <v>863</v>
      </c>
      <c r="D1277" s="15">
        <v>0</v>
      </c>
      <c r="E1277" s="15">
        <v>0</v>
      </c>
      <c r="F1277" s="15">
        <v>0</v>
      </c>
      <c r="G1277" s="34">
        <v>0</v>
      </c>
      <c r="H1277" s="15">
        <v>0</v>
      </c>
      <c r="I1277" s="15">
        <v>260833.61</v>
      </c>
      <c r="J1277" s="15">
        <v>0</v>
      </c>
      <c r="K1277" s="15">
        <v>260833.61</v>
      </c>
      <c r="L1277" s="15">
        <v>227706.66</v>
      </c>
      <c r="M1277" s="15">
        <v>33126.949999999997</v>
      </c>
      <c r="N1277" s="34">
        <v>12.7004146436496</v>
      </c>
    </row>
    <row r="1278" spans="1:14" x14ac:dyDescent="0.25">
      <c r="A1278" t="e">
        <f t="shared" si="40"/>
        <v>#VALUE!</v>
      </c>
      <c r="B1278" t="e">
        <f t="shared" si="41"/>
        <v>#VALUE!</v>
      </c>
      <c r="D1278"/>
      <c r="E1278"/>
      <c r="F1278"/>
      <c r="G1278"/>
      <c r="H1278"/>
      <c r="I1278"/>
      <c r="J1278"/>
      <c r="K1278"/>
      <c r="L1278"/>
      <c r="M1278"/>
      <c r="N1278"/>
    </row>
    <row r="1279" spans="1:14" x14ac:dyDescent="0.25">
      <c r="A1279" t="e">
        <f t="shared" si="40"/>
        <v>#VALUE!</v>
      </c>
      <c r="B1279" t="e">
        <f t="shared" si="41"/>
        <v>#VALUE!</v>
      </c>
      <c r="C1279" s="14">
        <v>0</v>
      </c>
      <c r="D1279" s="14">
        <v>0</v>
      </c>
      <c r="E1279"/>
      <c r="F1279"/>
      <c r="G1279"/>
      <c r="H1279"/>
      <c r="I1279"/>
      <c r="J1279"/>
      <c r="K1279"/>
      <c r="L1279"/>
      <c r="M1279"/>
      <c r="N1279"/>
    </row>
    <row r="1280" spans="1:14" x14ac:dyDescent="0.25">
      <c r="A1280" t="e">
        <f t="shared" si="40"/>
        <v>#VALUE!</v>
      </c>
      <c r="B1280" t="e">
        <f t="shared" si="41"/>
        <v>#VALUE!</v>
      </c>
      <c r="D1280"/>
      <c r="E1280"/>
      <c r="F1280"/>
      <c r="G1280"/>
      <c r="H1280"/>
      <c r="I1280"/>
      <c r="J1280"/>
      <c r="K1280"/>
      <c r="L1280"/>
      <c r="M1280"/>
      <c r="N1280"/>
    </row>
    <row r="1281" spans="1:14" x14ac:dyDescent="0.25">
      <c r="A1281" t="e">
        <f t="shared" si="40"/>
        <v>#VALUE!</v>
      </c>
      <c r="B1281" t="e">
        <f t="shared" si="41"/>
        <v>#VALUE!</v>
      </c>
      <c r="D1281" s="14">
        <v>0</v>
      </c>
      <c r="E1281"/>
      <c r="F1281"/>
      <c r="G1281"/>
      <c r="H1281"/>
      <c r="I1281"/>
      <c r="J1281"/>
      <c r="K1281"/>
      <c r="L1281"/>
      <c r="M1281"/>
      <c r="N1281"/>
    </row>
    <row r="1282" spans="1:14" x14ac:dyDescent="0.25">
      <c r="A1282" t="str">
        <f t="shared" si="40"/>
        <v>1485232</v>
      </c>
      <c r="B1282" t="str">
        <f t="shared" si="41"/>
        <v xml:space="preserve"> Ziply - Hwy 530 WO 5520320</v>
      </c>
      <c r="C1282" t="s">
        <v>805</v>
      </c>
      <c r="D1282" s="15">
        <v>29581.77</v>
      </c>
      <c r="E1282" s="15">
        <v>30117.68</v>
      </c>
      <c r="F1282" s="15">
        <v>-535.91</v>
      </c>
      <c r="G1282" s="34">
        <v>-1.81162249588175</v>
      </c>
      <c r="H1282" s="15">
        <v>0</v>
      </c>
      <c r="I1282" s="15">
        <v>537436.84</v>
      </c>
      <c r="J1282" s="15">
        <v>0</v>
      </c>
      <c r="K1282" s="15">
        <v>537436.84</v>
      </c>
      <c r="L1282" s="15">
        <v>398742.42</v>
      </c>
      <c r="M1282" s="15">
        <v>138694.42000000001</v>
      </c>
      <c r="N1282" s="34">
        <v>25.8066454841466</v>
      </c>
    </row>
    <row r="1283" spans="1:14" x14ac:dyDescent="0.25">
      <c r="A1283" t="e">
        <f t="shared" si="40"/>
        <v>#VALUE!</v>
      </c>
      <c r="B1283" t="e">
        <f t="shared" si="41"/>
        <v>#VALUE!</v>
      </c>
      <c r="D1283"/>
      <c r="E1283"/>
      <c r="F1283"/>
      <c r="G1283"/>
      <c r="H1283"/>
      <c r="I1283"/>
      <c r="J1283"/>
      <c r="K1283"/>
      <c r="L1283"/>
      <c r="M1283"/>
      <c r="N1283"/>
    </row>
    <row r="1284" spans="1:14" x14ac:dyDescent="0.25">
      <c r="A1284" t="e">
        <f t="shared" si="40"/>
        <v>#VALUE!</v>
      </c>
      <c r="B1284" t="e">
        <f t="shared" si="41"/>
        <v>#VALUE!</v>
      </c>
      <c r="C1284">
        <v>0</v>
      </c>
      <c r="D1284">
        <v>0</v>
      </c>
      <c r="E1284"/>
      <c r="F1284"/>
      <c r="G1284"/>
      <c r="H1284"/>
      <c r="I1284"/>
      <c r="J1284"/>
      <c r="K1284"/>
      <c r="L1284"/>
      <c r="M1284"/>
      <c r="N1284"/>
    </row>
    <row r="1285" spans="1:14" x14ac:dyDescent="0.25">
      <c r="A1285" t="e">
        <f t="shared" si="40"/>
        <v>#VALUE!</v>
      </c>
      <c r="B1285" t="e">
        <f t="shared" si="41"/>
        <v>#VALUE!</v>
      </c>
      <c r="D1285"/>
      <c r="E1285"/>
      <c r="F1285"/>
      <c r="G1285"/>
      <c r="H1285"/>
      <c r="I1285"/>
      <c r="J1285"/>
      <c r="K1285"/>
      <c r="L1285"/>
      <c r="M1285"/>
      <c r="N1285"/>
    </row>
    <row r="1286" spans="1:14" x14ac:dyDescent="0.25">
      <c r="A1286" t="e">
        <f t="shared" si="40"/>
        <v>#VALUE!</v>
      </c>
      <c r="B1286" t="e">
        <f t="shared" si="41"/>
        <v>#VALUE!</v>
      </c>
      <c r="D1286" s="14">
        <v>0</v>
      </c>
      <c r="E1286"/>
      <c r="F1286"/>
      <c r="G1286"/>
      <c r="H1286"/>
      <c r="I1286"/>
      <c r="J1286"/>
      <c r="K1286"/>
      <c r="L1286"/>
      <c r="M1286"/>
      <c r="N1286"/>
    </row>
    <row r="1287" spans="1:14" x14ac:dyDescent="0.25">
      <c r="A1287" t="str">
        <f t="shared" si="40"/>
        <v>1485234</v>
      </c>
      <c r="B1287" t="str">
        <f t="shared" si="41"/>
        <v xml:space="preserve"> Ziply - Hwy 530 WO 5513480</v>
      </c>
      <c r="C1287" t="s">
        <v>1102</v>
      </c>
      <c r="D1287" s="15">
        <v>514.75</v>
      </c>
      <c r="E1287" s="15">
        <v>435.83</v>
      </c>
      <c r="F1287" s="15">
        <v>78.92</v>
      </c>
      <c r="G1287" s="34">
        <v>15.3317144244779</v>
      </c>
      <c r="H1287" s="15">
        <v>0</v>
      </c>
      <c r="I1287" s="15">
        <v>514.75</v>
      </c>
      <c r="J1287" s="15">
        <v>0</v>
      </c>
      <c r="K1287" s="15">
        <v>514.75</v>
      </c>
      <c r="L1287" s="15">
        <v>435.83</v>
      </c>
      <c r="M1287" s="15">
        <v>78.92</v>
      </c>
      <c r="N1287" s="34">
        <v>15.3317144244779</v>
      </c>
    </row>
    <row r="1288" spans="1:14" x14ac:dyDescent="0.25">
      <c r="A1288" t="e">
        <f t="shared" si="40"/>
        <v>#VALUE!</v>
      </c>
      <c r="B1288" t="e">
        <f t="shared" si="41"/>
        <v>#VALUE!</v>
      </c>
      <c r="D1288"/>
      <c r="E1288"/>
      <c r="F1288"/>
      <c r="G1288"/>
      <c r="H1288"/>
      <c r="I1288"/>
      <c r="J1288"/>
      <c r="K1288"/>
      <c r="L1288"/>
      <c r="M1288"/>
      <c r="N1288"/>
    </row>
    <row r="1289" spans="1:14" x14ac:dyDescent="0.25">
      <c r="A1289" t="e">
        <f t="shared" si="40"/>
        <v>#VALUE!</v>
      </c>
      <c r="B1289" t="e">
        <f t="shared" si="41"/>
        <v>#VALUE!</v>
      </c>
      <c r="C1289">
        <v>0</v>
      </c>
      <c r="D1289">
        <v>0</v>
      </c>
      <c r="E1289"/>
      <c r="F1289"/>
      <c r="G1289"/>
      <c r="H1289"/>
      <c r="I1289"/>
      <c r="J1289"/>
      <c r="K1289"/>
      <c r="L1289"/>
      <c r="M1289"/>
      <c r="N1289"/>
    </row>
    <row r="1290" spans="1:14" x14ac:dyDescent="0.25">
      <c r="A1290" t="e">
        <f t="shared" si="40"/>
        <v>#VALUE!</v>
      </c>
      <c r="B1290" t="e">
        <f t="shared" si="41"/>
        <v>#VALUE!</v>
      </c>
      <c r="D1290"/>
      <c r="E1290"/>
      <c r="F1290"/>
      <c r="G1290"/>
      <c r="H1290"/>
      <c r="I1290"/>
      <c r="J1290"/>
      <c r="K1290"/>
      <c r="L1290"/>
      <c r="M1290"/>
      <c r="N1290"/>
    </row>
    <row r="1291" spans="1:14" x14ac:dyDescent="0.25">
      <c r="A1291" t="e">
        <f t="shared" si="40"/>
        <v>#VALUE!</v>
      </c>
      <c r="B1291" t="e">
        <f t="shared" si="41"/>
        <v>#VALUE!</v>
      </c>
      <c r="D1291" s="14">
        <v>0</v>
      </c>
      <c r="E1291"/>
      <c r="F1291"/>
      <c r="G1291"/>
      <c r="H1291"/>
      <c r="I1291"/>
      <c r="J1291"/>
      <c r="K1291"/>
      <c r="L1291"/>
      <c r="M1291"/>
      <c r="N1291"/>
    </row>
    <row r="1292" spans="1:14" x14ac:dyDescent="0.25">
      <c r="A1292" t="str">
        <f t="shared" si="40"/>
        <v>1485235</v>
      </c>
      <c r="B1292" t="str">
        <f t="shared" si="41"/>
        <v xml:space="preserve"> Ziply - Hwy 530 WO 5513608</v>
      </c>
      <c r="C1292" t="s">
        <v>602</v>
      </c>
      <c r="D1292" s="15">
        <v>0</v>
      </c>
      <c r="E1292" s="15">
        <v>3191.35</v>
      </c>
      <c r="F1292" s="15">
        <v>-3191.35</v>
      </c>
      <c r="G1292" s="34">
        <v>0</v>
      </c>
      <c r="H1292" s="15">
        <v>584496.56000000006</v>
      </c>
      <c r="I1292" s="15">
        <v>0</v>
      </c>
      <c r="J1292" s="15">
        <v>0</v>
      </c>
      <c r="K1292" s="15">
        <v>584496.56000000006</v>
      </c>
      <c r="L1292" s="15">
        <v>447313.8</v>
      </c>
      <c r="M1292" s="15">
        <v>137182.76</v>
      </c>
      <c r="N1292" s="34">
        <v>23.470242493813799</v>
      </c>
    </row>
    <row r="1293" spans="1:14" x14ac:dyDescent="0.25">
      <c r="A1293" t="e">
        <f t="shared" si="40"/>
        <v>#VALUE!</v>
      </c>
      <c r="B1293" t="e">
        <f t="shared" si="41"/>
        <v>#VALUE!</v>
      </c>
      <c r="D1293"/>
      <c r="E1293"/>
      <c r="F1293"/>
      <c r="G1293"/>
      <c r="H1293"/>
      <c r="I1293"/>
      <c r="J1293"/>
      <c r="K1293"/>
      <c r="L1293"/>
      <c r="M1293"/>
      <c r="N1293"/>
    </row>
    <row r="1294" spans="1:14" x14ac:dyDescent="0.25">
      <c r="A1294" t="e">
        <f t="shared" si="40"/>
        <v>#VALUE!</v>
      </c>
      <c r="B1294" t="e">
        <f t="shared" si="41"/>
        <v>#VALUE!</v>
      </c>
      <c r="C1294" s="14">
        <v>0</v>
      </c>
      <c r="D1294" s="14">
        <v>0</v>
      </c>
      <c r="E1294"/>
      <c r="F1294"/>
      <c r="G1294"/>
      <c r="H1294"/>
      <c r="I1294"/>
      <c r="J1294"/>
      <c r="K1294"/>
      <c r="L1294"/>
      <c r="M1294"/>
      <c r="N1294"/>
    </row>
    <row r="1295" spans="1:14" x14ac:dyDescent="0.25">
      <c r="A1295" t="e">
        <f t="shared" si="40"/>
        <v>#VALUE!</v>
      </c>
      <c r="B1295" t="e">
        <f t="shared" si="41"/>
        <v>#VALUE!</v>
      </c>
      <c r="D1295"/>
      <c r="E1295"/>
      <c r="F1295"/>
      <c r="G1295"/>
      <c r="H1295"/>
      <c r="I1295"/>
      <c r="J1295"/>
      <c r="K1295"/>
      <c r="L1295"/>
      <c r="M1295"/>
      <c r="N1295"/>
    </row>
    <row r="1296" spans="1:14" x14ac:dyDescent="0.25">
      <c r="A1296" t="e">
        <f t="shared" si="40"/>
        <v>#VALUE!</v>
      </c>
      <c r="B1296" t="e">
        <f t="shared" si="41"/>
        <v>#VALUE!</v>
      </c>
      <c r="D1296" s="14">
        <v>0</v>
      </c>
      <c r="E1296"/>
      <c r="F1296"/>
      <c r="G1296"/>
      <c r="H1296"/>
      <c r="I1296"/>
      <c r="J1296"/>
      <c r="K1296"/>
      <c r="L1296"/>
      <c r="M1296"/>
      <c r="N1296"/>
    </row>
    <row r="1297" spans="1:14" x14ac:dyDescent="0.25">
      <c r="A1297" t="str">
        <f t="shared" si="40"/>
        <v>1485239</v>
      </c>
      <c r="B1297" t="str">
        <f t="shared" si="41"/>
        <v xml:space="preserve"> Ziply - Hwy 530 WO 5519650</v>
      </c>
      <c r="C1297" t="s">
        <v>707</v>
      </c>
      <c r="D1297" s="15">
        <v>-1203.3499999999999</v>
      </c>
      <c r="E1297" s="15">
        <v>711.69</v>
      </c>
      <c r="F1297" s="15">
        <v>-1915.04</v>
      </c>
      <c r="G1297" s="34">
        <v>0</v>
      </c>
      <c r="H1297" s="15">
        <v>77247.83</v>
      </c>
      <c r="I1297" s="15">
        <v>-7.2759576141834308E-12</v>
      </c>
      <c r="J1297" s="15">
        <v>0</v>
      </c>
      <c r="K1297" s="15">
        <v>77247.83</v>
      </c>
      <c r="L1297" s="15">
        <v>57062.55</v>
      </c>
      <c r="M1297" s="15">
        <v>20185.28</v>
      </c>
      <c r="N1297" s="34">
        <v>26.130546320848101</v>
      </c>
    </row>
    <row r="1298" spans="1:14" x14ac:dyDescent="0.25">
      <c r="A1298" t="e">
        <f t="shared" ref="A1298:A1306" si="42">LEFT(C1298,FIND(" ",C1298)-1)</f>
        <v>#VALUE!</v>
      </c>
      <c r="B1298" t="e">
        <f t="shared" ref="B1298:B1306" si="43">RIGHT(C1298,LEN(C1298)-FIND(" ",C1298))</f>
        <v>#VALUE!</v>
      </c>
      <c r="D1298"/>
      <c r="E1298"/>
      <c r="F1298"/>
      <c r="G1298"/>
      <c r="H1298"/>
      <c r="I1298"/>
      <c r="J1298"/>
      <c r="K1298"/>
      <c r="L1298"/>
      <c r="M1298"/>
      <c r="N1298"/>
    </row>
    <row r="1299" spans="1:14" x14ac:dyDescent="0.25">
      <c r="A1299" t="e">
        <f t="shared" si="42"/>
        <v>#VALUE!</v>
      </c>
      <c r="B1299" t="e">
        <f t="shared" si="43"/>
        <v>#VALUE!</v>
      </c>
      <c r="C1299">
        <v>0</v>
      </c>
      <c r="D1299">
        <v>0</v>
      </c>
      <c r="E1299"/>
      <c r="F1299"/>
      <c r="G1299"/>
      <c r="H1299"/>
      <c r="I1299"/>
      <c r="J1299"/>
      <c r="K1299"/>
      <c r="L1299"/>
      <c r="M1299"/>
      <c r="N1299"/>
    </row>
    <row r="1300" spans="1:14" x14ac:dyDescent="0.25">
      <c r="A1300" t="e">
        <f t="shared" si="42"/>
        <v>#VALUE!</v>
      </c>
      <c r="B1300" t="e">
        <f t="shared" si="43"/>
        <v>#VALUE!</v>
      </c>
      <c r="D1300"/>
      <c r="E1300"/>
      <c r="F1300"/>
      <c r="G1300"/>
      <c r="H1300"/>
      <c r="I1300"/>
      <c r="J1300"/>
      <c r="K1300"/>
      <c r="L1300"/>
      <c r="M1300"/>
      <c r="N1300"/>
    </row>
    <row r="1301" spans="1:14" x14ac:dyDescent="0.25">
      <c r="A1301" t="e">
        <f t="shared" si="42"/>
        <v>#VALUE!</v>
      </c>
      <c r="B1301" t="e">
        <f t="shared" si="43"/>
        <v>#VALUE!</v>
      </c>
      <c r="D1301" s="14">
        <v>0</v>
      </c>
      <c r="E1301"/>
      <c r="F1301"/>
      <c r="G1301"/>
      <c r="H1301"/>
      <c r="I1301"/>
      <c r="J1301"/>
      <c r="K1301"/>
      <c r="L1301"/>
      <c r="M1301"/>
      <c r="N1301"/>
    </row>
    <row r="1302" spans="1:14" x14ac:dyDescent="0.25">
      <c r="A1302" t="str">
        <f t="shared" si="42"/>
        <v>1485250</v>
      </c>
      <c r="B1302" t="str">
        <f t="shared" si="43"/>
        <v xml:space="preserve"> Ziply - WA Softscape FTTP (1450)</v>
      </c>
      <c r="C1302" t="s">
        <v>806</v>
      </c>
      <c r="D1302" s="15">
        <v>1331577.22</v>
      </c>
      <c r="E1302" s="15">
        <v>1196955.78</v>
      </c>
      <c r="F1302" s="15">
        <v>134621.44</v>
      </c>
      <c r="G1302" s="34">
        <v>10.1099236287626</v>
      </c>
      <c r="H1302" s="15">
        <v>4517626.54</v>
      </c>
      <c r="I1302" s="15">
        <v>4288125.41</v>
      </c>
      <c r="J1302" s="15">
        <v>0</v>
      </c>
      <c r="K1302" s="15">
        <v>8805751.9499999993</v>
      </c>
      <c r="L1302" s="15">
        <v>8533619.0600000005</v>
      </c>
      <c r="M1302" s="15">
        <v>272132.89</v>
      </c>
      <c r="N1302" s="34">
        <v>3.0903992247930598</v>
      </c>
    </row>
    <row r="1303" spans="1:14" x14ac:dyDescent="0.25">
      <c r="A1303" t="e">
        <f t="shared" si="42"/>
        <v>#VALUE!</v>
      </c>
      <c r="B1303" t="e">
        <f t="shared" si="43"/>
        <v>#VALUE!</v>
      </c>
      <c r="D1303"/>
      <c r="E1303"/>
      <c r="F1303"/>
      <c r="G1303"/>
      <c r="H1303"/>
      <c r="I1303"/>
      <c r="J1303"/>
      <c r="K1303"/>
      <c r="L1303"/>
      <c r="M1303"/>
      <c r="N1303"/>
    </row>
    <row r="1304" spans="1:14" x14ac:dyDescent="0.25">
      <c r="A1304" t="e">
        <f t="shared" si="42"/>
        <v>#VALUE!</v>
      </c>
      <c r="B1304" t="e">
        <f t="shared" si="43"/>
        <v>#VALUE!</v>
      </c>
      <c r="D1304"/>
      <c r="E1304"/>
      <c r="F1304"/>
      <c r="G1304"/>
      <c r="H1304"/>
      <c r="I1304"/>
      <c r="J1304"/>
      <c r="K1304"/>
      <c r="L1304"/>
      <c r="M1304"/>
      <c r="N1304"/>
    </row>
    <row r="1305" spans="1:14" x14ac:dyDescent="0.25">
      <c r="A1305" t="e">
        <f t="shared" si="42"/>
        <v>#VALUE!</v>
      </c>
      <c r="B1305" t="e">
        <f t="shared" si="43"/>
        <v>#VALUE!</v>
      </c>
      <c r="D1305"/>
      <c r="E1305"/>
      <c r="F1305"/>
      <c r="G1305"/>
      <c r="H1305"/>
      <c r="I1305"/>
      <c r="J1305"/>
      <c r="K1305"/>
      <c r="L1305"/>
      <c r="M1305"/>
      <c r="N1305"/>
    </row>
    <row r="1306" spans="1:14" x14ac:dyDescent="0.25">
      <c r="A1306" t="e">
        <f t="shared" si="42"/>
        <v>#VALUE!</v>
      </c>
      <c r="B1306" t="e">
        <f t="shared" si="43"/>
        <v>#VALUE!</v>
      </c>
      <c r="D1306" s="14">
        <v>0</v>
      </c>
      <c r="E1306"/>
      <c r="F1306"/>
      <c r="G1306"/>
      <c r="H1306"/>
      <c r="I1306"/>
      <c r="J1306"/>
      <c r="K1306"/>
      <c r="L1306"/>
      <c r="M1306"/>
      <c r="N1306"/>
    </row>
    <row r="1307" spans="1:14" x14ac:dyDescent="0.25">
      <c r="A1307" t="str">
        <f t="shared" ref="A1307:A1311" si="44">LEFT(C1307,FIND(" ",C1307)-1)</f>
        <v>1486174</v>
      </c>
      <c r="B1307" t="str">
        <f t="shared" ref="B1307:B1311" si="45">RIGHT(C1307,LEN(C1307)-FIND(" ",C1307))</f>
        <v xml:space="preserve"> Ziply - Granite Falls - 6011884</v>
      </c>
      <c r="C1307" t="s">
        <v>708</v>
      </c>
      <c r="D1307" s="15">
        <v>0</v>
      </c>
      <c r="E1307" s="15">
        <v>0</v>
      </c>
      <c r="F1307" s="15">
        <v>0</v>
      </c>
      <c r="G1307" s="34">
        <v>0</v>
      </c>
      <c r="H1307" s="15">
        <v>0</v>
      </c>
      <c r="I1307" s="15">
        <v>0</v>
      </c>
      <c r="J1307" s="15">
        <v>0</v>
      </c>
      <c r="K1307" s="15">
        <v>0</v>
      </c>
      <c r="L1307" s="15">
        <v>40</v>
      </c>
      <c r="M1307" s="15">
        <v>-40</v>
      </c>
      <c r="N1307" s="34">
        <v>0</v>
      </c>
    </row>
    <row r="1308" spans="1:14" x14ac:dyDescent="0.25">
      <c r="A1308" t="e">
        <f t="shared" si="44"/>
        <v>#VALUE!</v>
      </c>
      <c r="B1308" t="e">
        <f t="shared" si="45"/>
        <v>#VALUE!</v>
      </c>
      <c r="D1308"/>
      <c r="E1308"/>
      <c r="F1308"/>
      <c r="G1308"/>
      <c r="H1308"/>
      <c r="I1308"/>
      <c r="J1308"/>
      <c r="K1308"/>
      <c r="L1308"/>
      <c r="M1308"/>
      <c r="N1308"/>
    </row>
    <row r="1309" spans="1:14" x14ac:dyDescent="0.25">
      <c r="A1309" t="e">
        <f t="shared" si="44"/>
        <v>#VALUE!</v>
      </c>
      <c r="B1309" t="e">
        <f t="shared" si="45"/>
        <v>#VALUE!</v>
      </c>
      <c r="D1309"/>
      <c r="E1309"/>
      <c r="F1309"/>
      <c r="G1309"/>
      <c r="H1309"/>
      <c r="I1309"/>
      <c r="J1309"/>
      <c r="K1309"/>
      <c r="L1309"/>
      <c r="M1309"/>
      <c r="N1309"/>
    </row>
    <row r="1310" spans="1:14" x14ac:dyDescent="0.25">
      <c r="A1310" t="e">
        <f t="shared" si="44"/>
        <v>#VALUE!</v>
      </c>
      <c r="B1310" t="e">
        <f t="shared" si="45"/>
        <v>#VALUE!</v>
      </c>
      <c r="D1310"/>
      <c r="E1310"/>
      <c r="F1310"/>
      <c r="G1310"/>
      <c r="H1310"/>
      <c r="I1310"/>
      <c r="J1310"/>
      <c r="K1310"/>
      <c r="L1310"/>
      <c r="M1310"/>
      <c r="N1310"/>
    </row>
    <row r="1311" spans="1:14" x14ac:dyDescent="0.25">
      <c r="A1311" t="e">
        <f t="shared" si="44"/>
        <v>#VALUE!</v>
      </c>
      <c r="B1311" t="e">
        <f t="shared" si="45"/>
        <v>#VALUE!</v>
      </c>
      <c r="D1311" s="14">
        <v>0</v>
      </c>
      <c r="E1311"/>
      <c r="F1311"/>
      <c r="G1311"/>
      <c r="H1311"/>
      <c r="I1311"/>
      <c r="J1311"/>
      <c r="K1311"/>
      <c r="L1311"/>
      <c r="M1311"/>
      <c r="N1311"/>
    </row>
    <row r="1312" spans="1:14" x14ac:dyDescent="0.25">
      <c r="A1312" t="str">
        <f t="shared" ref="A1312:A1361" si="46">LEFT(C1312,FIND(" ",C1312)-1)</f>
        <v>1486175</v>
      </c>
      <c r="B1312" t="str">
        <f t="shared" ref="B1312:B1361" si="47">RIGHT(C1312,LEN(C1312)-FIND(" ",C1312))</f>
        <v xml:space="preserve"> Ziply - Granite Falls - 6012772</v>
      </c>
      <c r="C1312" t="s">
        <v>709</v>
      </c>
      <c r="D1312" s="15">
        <v>0</v>
      </c>
      <c r="E1312" s="15">
        <v>0</v>
      </c>
      <c r="F1312" s="15">
        <v>0</v>
      </c>
      <c r="G1312" s="34">
        <v>0</v>
      </c>
      <c r="H1312" s="15">
        <v>0</v>
      </c>
      <c r="I1312" s="15">
        <v>0</v>
      </c>
      <c r="J1312" s="15">
        <v>0</v>
      </c>
      <c r="K1312" s="15">
        <v>0</v>
      </c>
      <c r="L1312" s="15">
        <v>40</v>
      </c>
      <c r="M1312" s="15">
        <v>-40</v>
      </c>
      <c r="N1312" s="34">
        <v>0</v>
      </c>
    </row>
    <row r="1313" spans="1:14" x14ac:dyDescent="0.25">
      <c r="A1313" t="e">
        <f t="shared" si="46"/>
        <v>#VALUE!</v>
      </c>
      <c r="B1313" t="e">
        <f t="shared" si="47"/>
        <v>#VALUE!</v>
      </c>
      <c r="D1313"/>
      <c r="E1313"/>
      <c r="F1313"/>
      <c r="G1313"/>
      <c r="H1313"/>
      <c r="I1313"/>
      <c r="J1313"/>
      <c r="K1313"/>
      <c r="L1313"/>
      <c r="M1313"/>
      <c r="N1313"/>
    </row>
    <row r="1314" spans="1:14" x14ac:dyDescent="0.25">
      <c r="A1314" t="e">
        <f t="shared" si="46"/>
        <v>#VALUE!</v>
      </c>
      <c r="B1314" t="e">
        <f t="shared" si="47"/>
        <v>#VALUE!</v>
      </c>
      <c r="C1314">
        <v>0</v>
      </c>
      <c r="D1314">
        <v>0</v>
      </c>
      <c r="E1314"/>
      <c r="F1314"/>
      <c r="G1314"/>
      <c r="H1314"/>
      <c r="I1314"/>
      <c r="J1314"/>
      <c r="K1314"/>
      <c r="L1314"/>
      <c r="M1314"/>
      <c r="N1314"/>
    </row>
    <row r="1315" spans="1:14" x14ac:dyDescent="0.25">
      <c r="A1315" t="e">
        <f t="shared" si="46"/>
        <v>#VALUE!</v>
      </c>
      <c r="B1315" t="e">
        <f t="shared" si="47"/>
        <v>#VALUE!</v>
      </c>
      <c r="D1315"/>
      <c r="E1315"/>
      <c r="F1315"/>
      <c r="G1315"/>
      <c r="H1315"/>
      <c r="I1315"/>
      <c r="J1315"/>
      <c r="K1315"/>
      <c r="L1315"/>
      <c r="M1315"/>
      <c r="N1315"/>
    </row>
    <row r="1316" spans="1:14" x14ac:dyDescent="0.25">
      <c r="A1316" t="e">
        <f t="shared" si="46"/>
        <v>#VALUE!</v>
      </c>
      <c r="B1316" t="e">
        <f t="shared" si="47"/>
        <v>#VALUE!</v>
      </c>
      <c r="D1316" s="14">
        <v>0</v>
      </c>
      <c r="E1316"/>
      <c r="F1316"/>
      <c r="G1316"/>
      <c r="H1316"/>
      <c r="I1316"/>
      <c r="J1316"/>
      <c r="K1316"/>
      <c r="L1316"/>
      <c r="M1316"/>
      <c r="N1316"/>
    </row>
    <row r="1317" spans="1:14" x14ac:dyDescent="0.25">
      <c r="A1317" t="str">
        <f t="shared" si="46"/>
        <v>1486176</v>
      </c>
      <c r="B1317" t="str">
        <f t="shared" si="47"/>
        <v xml:space="preserve"> Ziply - Granite Falls - 6012690</v>
      </c>
      <c r="C1317" t="s">
        <v>710</v>
      </c>
      <c r="D1317" s="15">
        <v>6632.12</v>
      </c>
      <c r="E1317" s="15">
        <v>5799.17</v>
      </c>
      <c r="F1317" s="15">
        <v>832.95</v>
      </c>
      <c r="G1317" s="34">
        <v>12.5593324608119</v>
      </c>
      <c r="H1317" s="15">
        <v>0</v>
      </c>
      <c r="I1317" s="15">
        <v>13883.77</v>
      </c>
      <c r="J1317" s="15">
        <v>0</v>
      </c>
      <c r="K1317" s="15">
        <v>13883.77</v>
      </c>
      <c r="L1317" s="15">
        <v>10321.94</v>
      </c>
      <c r="M1317" s="15">
        <v>3561.83</v>
      </c>
      <c r="N1317" s="34">
        <v>25.654631270901199</v>
      </c>
    </row>
    <row r="1318" spans="1:14" x14ac:dyDescent="0.25">
      <c r="A1318" t="e">
        <f t="shared" si="46"/>
        <v>#VALUE!</v>
      </c>
      <c r="B1318" t="e">
        <f t="shared" si="47"/>
        <v>#VALUE!</v>
      </c>
      <c r="D1318"/>
      <c r="E1318"/>
      <c r="F1318"/>
      <c r="G1318"/>
      <c r="H1318"/>
      <c r="I1318"/>
      <c r="J1318"/>
      <c r="K1318"/>
      <c r="L1318"/>
      <c r="M1318"/>
      <c r="N1318"/>
    </row>
    <row r="1319" spans="1:14" x14ac:dyDescent="0.25">
      <c r="A1319" t="e">
        <f t="shared" si="46"/>
        <v>#VALUE!</v>
      </c>
      <c r="B1319" t="e">
        <f t="shared" si="47"/>
        <v>#VALUE!</v>
      </c>
      <c r="C1319" s="14"/>
      <c r="D1319" s="14"/>
      <c r="E1319"/>
      <c r="F1319"/>
      <c r="G1319"/>
      <c r="H1319"/>
      <c r="I1319"/>
      <c r="J1319"/>
      <c r="K1319"/>
      <c r="L1319"/>
      <c r="M1319"/>
      <c r="N1319"/>
    </row>
    <row r="1320" spans="1:14" x14ac:dyDescent="0.25">
      <c r="A1320" t="e">
        <f t="shared" si="46"/>
        <v>#VALUE!</v>
      </c>
      <c r="B1320" t="e">
        <f t="shared" si="47"/>
        <v>#VALUE!</v>
      </c>
      <c r="D1320"/>
      <c r="E1320"/>
      <c r="F1320"/>
      <c r="G1320"/>
      <c r="H1320"/>
      <c r="I1320"/>
      <c r="J1320"/>
      <c r="K1320"/>
      <c r="L1320"/>
      <c r="M1320"/>
      <c r="N1320"/>
    </row>
    <row r="1321" spans="1:14" x14ac:dyDescent="0.25">
      <c r="A1321" t="e">
        <f t="shared" si="46"/>
        <v>#VALUE!</v>
      </c>
      <c r="B1321" t="e">
        <f t="shared" si="47"/>
        <v>#VALUE!</v>
      </c>
      <c r="D1321" s="14">
        <v>0</v>
      </c>
      <c r="E1321"/>
      <c r="F1321"/>
      <c r="G1321"/>
      <c r="H1321"/>
      <c r="I1321"/>
      <c r="J1321"/>
      <c r="K1321"/>
      <c r="L1321"/>
      <c r="M1321"/>
      <c r="N1321"/>
    </row>
    <row r="1322" spans="1:14" x14ac:dyDescent="0.25">
      <c r="A1322" t="str">
        <f t="shared" si="46"/>
        <v>1486177</v>
      </c>
      <c r="B1322" t="str">
        <f t="shared" si="47"/>
        <v xml:space="preserve"> Ziply - Granite Falls - 6012767</v>
      </c>
      <c r="C1322" t="s">
        <v>711</v>
      </c>
      <c r="D1322" s="15">
        <v>0</v>
      </c>
      <c r="E1322" s="15">
        <v>0</v>
      </c>
      <c r="F1322" s="15">
        <v>0</v>
      </c>
      <c r="G1322" s="34">
        <v>0</v>
      </c>
      <c r="H1322" s="15">
        <v>0</v>
      </c>
      <c r="I1322" s="15">
        <v>0</v>
      </c>
      <c r="J1322" s="15">
        <v>0</v>
      </c>
      <c r="K1322" s="15">
        <v>0</v>
      </c>
      <c r="L1322" s="15">
        <v>111.35</v>
      </c>
      <c r="M1322" s="15">
        <v>-111.35</v>
      </c>
      <c r="N1322" s="34">
        <v>0</v>
      </c>
    </row>
    <row r="1323" spans="1:14" x14ac:dyDescent="0.25">
      <c r="A1323" t="e">
        <f t="shared" si="46"/>
        <v>#VALUE!</v>
      </c>
      <c r="B1323" t="e">
        <f t="shared" si="47"/>
        <v>#VALUE!</v>
      </c>
      <c r="D1323"/>
      <c r="E1323"/>
      <c r="F1323"/>
      <c r="G1323"/>
      <c r="H1323"/>
      <c r="I1323"/>
      <c r="J1323"/>
      <c r="K1323"/>
      <c r="L1323"/>
      <c r="M1323"/>
      <c r="N1323"/>
    </row>
    <row r="1324" spans="1:14" x14ac:dyDescent="0.25">
      <c r="A1324" t="e">
        <f t="shared" si="46"/>
        <v>#VALUE!</v>
      </c>
      <c r="B1324" t="e">
        <f t="shared" si="47"/>
        <v>#VALUE!</v>
      </c>
      <c r="D1324"/>
      <c r="E1324"/>
      <c r="F1324"/>
      <c r="G1324"/>
      <c r="H1324"/>
      <c r="I1324"/>
      <c r="J1324"/>
      <c r="K1324"/>
      <c r="L1324"/>
      <c r="M1324"/>
      <c r="N1324"/>
    </row>
    <row r="1325" spans="1:14" x14ac:dyDescent="0.25">
      <c r="A1325" t="e">
        <f t="shared" si="46"/>
        <v>#VALUE!</v>
      </c>
      <c r="B1325" t="e">
        <f t="shared" si="47"/>
        <v>#VALUE!</v>
      </c>
      <c r="D1325"/>
      <c r="E1325"/>
      <c r="F1325"/>
      <c r="G1325"/>
      <c r="H1325"/>
      <c r="I1325"/>
      <c r="J1325"/>
      <c r="K1325"/>
      <c r="L1325"/>
      <c r="M1325"/>
      <c r="N1325"/>
    </row>
    <row r="1326" spans="1:14" x14ac:dyDescent="0.25">
      <c r="A1326" t="e">
        <f t="shared" si="46"/>
        <v>#VALUE!</v>
      </c>
      <c r="B1326" t="e">
        <f t="shared" si="47"/>
        <v>#VALUE!</v>
      </c>
      <c r="D1326" s="14">
        <v>0</v>
      </c>
      <c r="E1326"/>
      <c r="F1326"/>
      <c r="G1326"/>
      <c r="H1326"/>
      <c r="I1326"/>
      <c r="J1326"/>
      <c r="K1326"/>
      <c r="L1326"/>
      <c r="M1326"/>
      <c r="N1326"/>
    </row>
    <row r="1327" spans="1:14" x14ac:dyDescent="0.25">
      <c r="A1327" t="str">
        <f t="shared" si="46"/>
        <v>1486178</v>
      </c>
      <c r="B1327" t="str">
        <f t="shared" si="47"/>
        <v xml:space="preserve"> Ziply - Granite Falls - 6012771</v>
      </c>
      <c r="C1327" t="s">
        <v>712</v>
      </c>
      <c r="D1327" s="15">
        <v>0</v>
      </c>
      <c r="E1327" s="15">
        <v>0</v>
      </c>
      <c r="F1327" s="15">
        <v>0</v>
      </c>
      <c r="G1327" s="34">
        <v>0</v>
      </c>
      <c r="H1327" s="15">
        <v>0</v>
      </c>
      <c r="I1327" s="15">
        <v>0</v>
      </c>
      <c r="J1327" s="15">
        <v>0</v>
      </c>
      <c r="K1327" s="15">
        <v>0</v>
      </c>
      <c r="L1327" s="15">
        <v>40</v>
      </c>
      <c r="M1327" s="15">
        <v>-40</v>
      </c>
      <c r="N1327" s="34">
        <v>0</v>
      </c>
    </row>
    <row r="1328" spans="1:14" x14ac:dyDescent="0.25">
      <c r="A1328" t="e">
        <f t="shared" si="46"/>
        <v>#VALUE!</v>
      </c>
      <c r="B1328" t="e">
        <f t="shared" si="47"/>
        <v>#VALUE!</v>
      </c>
      <c r="D1328"/>
      <c r="E1328"/>
      <c r="F1328"/>
      <c r="G1328"/>
      <c r="H1328"/>
      <c r="I1328"/>
      <c r="J1328"/>
      <c r="K1328"/>
      <c r="L1328"/>
      <c r="M1328"/>
      <c r="N1328"/>
    </row>
    <row r="1329" spans="1:14" x14ac:dyDescent="0.25">
      <c r="A1329" t="e">
        <f t="shared" si="46"/>
        <v>#VALUE!</v>
      </c>
      <c r="B1329" t="e">
        <f t="shared" si="47"/>
        <v>#VALUE!</v>
      </c>
      <c r="D1329"/>
      <c r="E1329"/>
      <c r="F1329"/>
      <c r="G1329"/>
      <c r="H1329"/>
      <c r="I1329"/>
      <c r="J1329"/>
      <c r="K1329"/>
      <c r="L1329"/>
      <c r="M1329"/>
      <c r="N1329"/>
    </row>
    <row r="1330" spans="1:14" x14ac:dyDescent="0.25">
      <c r="A1330" t="e">
        <f t="shared" si="46"/>
        <v>#VALUE!</v>
      </c>
      <c r="B1330" t="e">
        <f t="shared" si="47"/>
        <v>#VALUE!</v>
      </c>
      <c r="D1330"/>
      <c r="E1330"/>
      <c r="F1330"/>
      <c r="G1330"/>
      <c r="H1330"/>
      <c r="I1330"/>
      <c r="J1330"/>
      <c r="K1330"/>
      <c r="L1330"/>
      <c r="M1330"/>
      <c r="N1330"/>
    </row>
    <row r="1331" spans="1:14" x14ac:dyDescent="0.25">
      <c r="A1331" t="e">
        <f t="shared" si="46"/>
        <v>#VALUE!</v>
      </c>
      <c r="B1331" t="e">
        <f t="shared" si="47"/>
        <v>#VALUE!</v>
      </c>
      <c r="D1331" s="14">
        <v>0</v>
      </c>
      <c r="E1331"/>
      <c r="F1331"/>
      <c r="G1331"/>
      <c r="H1331"/>
      <c r="I1331"/>
      <c r="J1331"/>
      <c r="K1331"/>
      <c r="L1331"/>
      <c r="M1331"/>
      <c r="N1331"/>
    </row>
    <row r="1332" spans="1:14" x14ac:dyDescent="0.25">
      <c r="A1332" t="str">
        <f t="shared" si="46"/>
        <v>1486179</v>
      </c>
      <c r="B1332" t="str">
        <f t="shared" si="47"/>
        <v xml:space="preserve"> Ziply - Goldbar - 6012764</v>
      </c>
      <c r="C1332" t="s">
        <v>713</v>
      </c>
      <c r="D1332" s="15">
        <v>0</v>
      </c>
      <c r="E1332" s="15">
        <v>0</v>
      </c>
      <c r="F1332" s="15">
        <v>0</v>
      </c>
      <c r="G1332" s="34">
        <v>0</v>
      </c>
      <c r="H1332" s="15">
        <v>0</v>
      </c>
      <c r="I1332" s="15">
        <v>0</v>
      </c>
      <c r="J1332" s="15">
        <v>0</v>
      </c>
      <c r="K1332" s="15">
        <v>0</v>
      </c>
      <c r="L1332" s="15">
        <v>40</v>
      </c>
      <c r="M1332" s="15">
        <v>-40</v>
      </c>
      <c r="N1332" s="34">
        <v>0</v>
      </c>
    </row>
    <row r="1333" spans="1:14" x14ac:dyDescent="0.25">
      <c r="A1333" t="e">
        <f t="shared" si="46"/>
        <v>#VALUE!</v>
      </c>
      <c r="B1333" t="e">
        <f t="shared" si="47"/>
        <v>#VALUE!</v>
      </c>
      <c r="D1333"/>
      <c r="E1333"/>
      <c r="F1333"/>
      <c r="G1333"/>
      <c r="H1333"/>
      <c r="I1333"/>
      <c r="J1333"/>
      <c r="K1333"/>
      <c r="L1333"/>
      <c r="M1333"/>
      <c r="N1333"/>
    </row>
    <row r="1334" spans="1:14" x14ac:dyDescent="0.25">
      <c r="A1334" t="e">
        <f t="shared" si="46"/>
        <v>#VALUE!</v>
      </c>
      <c r="B1334" t="e">
        <f t="shared" si="47"/>
        <v>#VALUE!</v>
      </c>
      <c r="D1334"/>
      <c r="E1334"/>
      <c r="F1334"/>
      <c r="G1334"/>
      <c r="H1334"/>
      <c r="I1334"/>
      <c r="J1334"/>
      <c r="K1334"/>
      <c r="L1334"/>
      <c r="M1334"/>
      <c r="N1334"/>
    </row>
    <row r="1335" spans="1:14" x14ac:dyDescent="0.25">
      <c r="A1335" t="e">
        <f t="shared" si="46"/>
        <v>#VALUE!</v>
      </c>
      <c r="B1335" t="e">
        <f t="shared" si="47"/>
        <v>#VALUE!</v>
      </c>
      <c r="D1335"/>
      <c r="E1335"/>
      <c r="F1335"/>
      <c r="G1335"/>
      <c r="H1335"/>
      <c r="I1335"/>
      <c r="J1335"/>
      <c r="K1335"/>
      <c r="L1335"/>
      <c r="M1335"/>
      <c r="N1335"/>
    </row>
    <row r="1336" spans="1:14" x14ac:dyDescent="0.25">
      <c r="A1336" t="e">
        <f t="shared" si="46"/>
        <v>#VALUE!</v>
      </c>
      <c r="B1336" t="e">
        <f t="shared" si="47"/>
        <v>#VALUE!</v>
      </c>
      <c r="D1336" s="14">
        <v>0</v>
      </c>
      <c r="E1336"/>
      <c r="F1336"/>
      <c r="G1336"/>
      <c r="H1336"/>
      <c r="I1336"/>
      <c r="J1336"/>
      <c r="K1336"/>
      <c r="L1336"/>
      <c r="M1336"/>
      <c r="N1336"/>
    </row>
    <row r="1337" spans="1:14" x14ac:dyDescent="0.25">
      <c r="A1337" t="str">
        <f t="shared" si="46"/>
        <v>1486180</v>
      </c>
      <c r="B1337" t="str">
        <f t="shared" si="47"/>
        <v xml:space="preserve"> Ziply - Goldbar - 6012765</v>
      </c>
      <c r="C1337" t="s">
        <v>714</v>
      </c>
      <c r="D1337" s="15">
        <v>0</v>
      </c>
      <c r="E1337" s="15">
        <v>0</v>
      </c>
      <c r="F1337" s="15">
        <v>0</v>
      </c>
      <c r="G1337" s="34">
        <v>0</v>
      </c>
      <c r="H1337" s="15">
        <v>0</v>
      </c>
      <c r="I1337" s="15">
        <v>0</v>
      </c>
      <c r="J1337" s="15">
        <v>0</v>
      </c>
      <c r="K1337" s="15">
        <v>0</v>
      </c>
      <c r="L1337" s="15">
        <v>40</v>
      </c>
      <c r="M1337" s="15">
        <v>-40</v>
      </c>
      <c r="N1337" s="34">
        <v>0</v>
      </c>
    </row>
    <row r="1338" spans="1:14" x14ac:dyDescent="0.25">
      <c r="A1338" t="e">
        <f t="shared" si="46"/>
        <v>#VALUE!</v>
      </c>
      <c r="B1338" t="e">
        <f t="shared" si="47"/>
        <v>#VALUE!</v>
      </c>
      <c r="D1338"/>
      <c r="E1338"/>
      <c r="F1338"/>
      <c r="G1338"/>
      <c r="H1338"/>
      <c r="I1338"/>
      <c r="J1338"/>
      <c r="K1338"/>
      <c r="L1338"/>
      <c r="M1338"/>
      <c r="N1338"/>
    </row>
    <row r="1339" spans="1:14" x14ac:dyDescent="0.25">
      <c r="A1339" t="e">
        <f t="shared" si="46"/>
        <v>#VALUE!</v>
      </c>
      <c r="B1339" t="e">
        <f t="shared" si="47"/>
        <v>#VALUE!</v>
      </c>
      <c r="C1339" s="14">
        <v>0</v>
      </c>
      <c r="D1339" s="14">
        <v>0</v>
      </c>
      <c r="E1339"/>
      <c r="F1339"/>
      <c r="G1339"/>
      <c r="H1339"/>
      <c r="I1339"/>
      <c r="J1339"/>
      <c r="K1339"/>
      <c r="L1339"/>
      <c r="M1339"/>
      <c r="N1339"/>
    </row>
    <row r="1340" spans="1:14" x14ac:dyDescent="0.25">
      <c r="A1340" t="e">
        <f t="shared" si="46"/>
        <v>#VALUE!</v>
      </c>
      <c r="B1340" t="e">
        <f t="shared" si="47"/>
        <v>#VALUE!</v>
      </c>
      <c r="D1340"/>
      <c r="E1340"/>
      <c r="F1340"/>
      <c r="G1340"/>
      <c r="H1340"/>
      <c r="I1340"/>
      <c r="J1340"/>
      <c r="K1340"/>
      <c r="L1340"/>
      <c r="M1340"/>
      <c r="N1340"/>
    </row>
    <row r="1341" spans="1:14" x14ac:dyDescent="0.25">
      <c r="A1341" t="e">
        <f t="shared" si="46"/>
        <v>#VALUE!</v>
      </c>
      <c r="B1341" t="e">
        <f t="shared" si="47"/>
        <v>#VALUE!</v>
      </c>
      <c r="D1341" s="14">
        <v>0</v>
      </c>
      <c r="E1341"/>
      <c r="F1341"/>
      <c r="G1341"/>
      <c r="H1341"/>
      <c r="I1341"/>
      <c r="J1341"/>
      <c r="K1341"/>
      <c r="L1341"/>
      <c r="M1341"/>
      <c r="N1341"/>
    </row>
    <row r="1342" spans="1:14" x14ac:dyDescent="0.25">
      <c r="A1342" t="str">
        <f t="shared" si="46"/>
        <v>1486181</v>
      </c>
      <c r="B1342" t="str">
        <f t="shared" si="47"/>
        <v xml:space="preserve"> Ziply - Goldbar - 6012766</v>
      </c>
      <c r="C1342" t="s">
        <v>715</v>
      </c>
      <c r="D1342" s="15">
        <v>0</v>
      </c>
      <c r="E1342" s="15">
        <v>0</v>
      </c>
      <c r="F1342" s="15">
        <v>0</v>
      </c>
      <c r="G1342" s="34">
        <v>0</v>
      </c>
      <c r="H1342" s="15">
        <v>4440.18</v>
      </c>
      <c r="I1342" s="15">
        <v>0</v>
      </c>
      <c r="J1342" s="15">
        <v>0</v>
      </c>
      <c r="K1342" s="15">
        <v>4440.18</v>
      </c>
      <c r="L1342" s="15">
        <v>3104.15</v>
      </c>
      <c r="M1342" s="15">
        <v>1336.03</v>
      </c>
      <c r="N1342" s="34">
        <v>30.0895459193096</v>
      </c>
    </row>
    <row r="1343" spans="1:14" x14ac:dyDescent="0.25">
      <c r="A1343" t="e">
        <f t="shared" si="46"/>
        <v>#VALUE!</v>
      </c>
      <c r="B1343" t="e">
        <f t="shared" si="47"/>
        <v>#VALUE!</v>
      </c>
      <c r="D1343"/>
      <c r="E1343"/>
      <c r="F1343"/>
      <c r="G1343"/>
      <c r="H1343"/>
      <c r="I1343"/>
      <c r="J1343"/>
      <c r="K1343"/>
      <c r="L1343"/>
      <c r="M1343"/>
      <c r="N1343"/>
    </row>
    <row r="1344" spans="1:14" x14ac:dyDescent="0.25">
      <c r="A1344" t="e">
        <f t="shared" si="46"/>
        <v>#VALUE!</v>
      </c>
      <c r="B1344" t="e">
        <f t="shared" si="47"/>
        <v>#VALUE!</v>
      </c>
      <c r="C1344" s="14"/>
      <c r="D1344" s="14"/>
      <c r="E1344"/>
      <c r="F1344"/>
      <c r="G1344"/>
      <c r="H1344"/>
      <c r="I1344"/>
      <c r="J1344"/>
      <c r="K1344"/>
      <c r="L1344"/>
      <c r="M1344"/>
      <c r="N1344"/>
    </row>
    <row r="1345" spans="1:14" x14ac:dyDescent="0.25">
      <c r="A1345" t="e">
        <f t="shared" si="46"/>
        <v>#VALUE!</v>
      </c>
      <c r="B1345" t="e">
        <f t="shared" si="47"/>
        <v>#VALUE!</v>
      </c>
      <c r="D1345"/>
      <c r="E1345"/>
      <c r="F1345"/>
      <c r="G1345"/>
      <c r="H1345"/>
      <c r="I1345"/>
      <c r="J1345"/>
      <c r="K1345"/>
      <c r="L1345"/>
      <c r="M1345"/>
      <c r="N1345"/>
    </row>
    <row r="1346" spans="1:14" x14ac:dyDescent="0.25">
      <c r="A1346" t="e">
        <f t="shared" si="46"/>
        <v>#VALUE!</v>
      </c>
      <c r="B1346" t="e">
        <f t="shared" si="47"/>
        <v>#VALUE!</v>
      </c>
      <c r="D1346" s="14">
        <v>0</v>
      </c>
      <c r="E1346"/>
      <c r="F1346"/>
      <c r="G1346"/>
      <c r="H1346"/>
      <c r="I1346"/>
      <c r="J1346"/>
      <c r="K1346"/>
      <c r="L1346"/>
      <c r="M1346"/>
      <c r="N1346"/>
    </row>
    <row r="1347" spans="1:14" x14ac:dyDescent="0.25">
      <c r="A1347" t="str">
        <f t="shared" si="46"/>
        <v>1486182</v>
      </c>
      <c r="B1347" t="str">
        <f t="shared" si="47"/>
        <v xml:space="preserve"> Ziply - Goldbar - 6012769</v>
      </c>
      <c r="C1347" t="s">
        <v>716</v>
      </c>
      <c r="D1347" s="15">
        <v>0</v>
      </c>
      <c r="E1347" s="15">
        <v>0</v>
      </c>
      <c r="F1347" s="15">
        <v>0</v>
      </c>
      <c r="G1347" s="34">
        <v>0</v>
      </c>
      <c r="H1347" s="15">
        <v>0</v>
      </c>
      <c r="I1347" s="15">
        <v>0</v>
      </c>
      <c r="J1347" s="15">
        <v>0</v>
      </c>
      <c r="K1347" s="15">
        <v>0</v>
      </c>
      <c r="L1347" s="15">
        <v>40</v>
      </c>
      <c r="M1347" s="15">
        <v>-40</v>
      </c>
      <c r="N1347" s="34">
        <v>0</v>
      </c>
    </row>
    <row r="1348" spans="1:14" x14ac:dyDescent="0.25">
      <c r="A1348" t="e">
        <f t="shared" si="46"/>
        <v>#VALUE!</v>
      </c>
      <c r="B1348" t="e">
        <f t="shared" si="47"/>
        <v>#VALUE!</v>
      </c>
      <c r="D1348"/>
      <c r="E1348" s="15"/>
      <c r="F1348" s="15"/>
      <c r="G1348" s="15"/>
      <c r="H1348" s="15"/>
      <c r="I1348" s="15"/>
      <c r="J1348" s="15"/>
      <c r="K1348" s="14"/>
      <c r="L1348" s="15"/>
      <c r="M1348" s="15"/>
      <c r="N1348" s="14"/>
    </row>
    <row r="1349" spans="1:14" x14ac:dyDescent="0.25">
      <c r="A1349" t="e">
        <f t="shared" si="46"/>
        <v>#VALUE!</v>
      </c>
      <c r="B1349" t="e">
        <f t="shared" si="47"/>
        <v>#VALUE!</v>
      </c>
      <c r="D1349"/>
      <c r="E1349"/>
      <c r="F1349"/>
      <c r="G1349"/>
      <c r="H1349"/>
      <c r="I1349"/>
      <c r="J1349"/>
      <c r="K1349"/>
      <c r="L1349"/>
      <c r="M1349"/>
      <c r="N1349"/>
    </row>
    <row r="1350" spans="1:14" x14ac:dyDescent="0.25">
      <c r="A1350" t="e">
        <f t="shared" si="46"/>
        <v>#VALUE!</v>
      </c>
      <c r="B1350" t="e">
        <f t="shared" si="47"/>
        <v>#VALUE!</v>
      </c>
      <c r="D1350"/>
      <c r="E1350"/>
      <c r="F1350"/>
      <c r="G1350"/>
      <c r="H1350"/>
      <c r="I1350"/>
      <c r="J1350"/>
      <c r="K1350"/>
      <c r="L1350"/>
      <c r="M1350"/>
      <c r="N1350"/>
    </row>
    <row r="1351" spans="1:14" x14ac:dyDescent="0.25">
      <c r="A1351" t="e">
        <f t="shared" si="46"/>
        <v>#VALUE!</v>
      </c>
      <c r="B1351" t="e">
        <f t="shared" si="47"/>
        <v>#VALUE!</v>
      </c>
      <c r="C1351" s="14"/>
      <c r="D1351" s="14">
        <v>0</v>
      </c>
      <c r="E1351"/>
      <c r="F1351"/>
      <c r="G1351"/>
      <c r="H1351"/>
      <c r="I1351"/>
      <c r="J1351"/>
      <c r="K1351"/>
      <c r="L1351"/>
      <c r="M1351"/>
      <c r="N1351"/>
    </row>
    <row r="1352" spans="1:14" x14ac:dyDescent="0.25">
      <c r="A1352" t="str">
        <f t="shared" si="46"/>
        <v>1486183</v>
      </c>
      <c r="B1352" t="str">
        <f t="shared" si="47"/>
        <v xml:space="preserve"> Ziply - Goldbar - 6012770</v>
      </c>
      <c r="C1352" t="s">
        <v>717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40</v>
      </c>
      <c r="M1352">
        <v>-40</v>
      </c>
      <c r="N1352">
        <v>0</v>
      </c>
    </row>
    <row r="1353" spans="1:14" x14ac:dyDescent="0.25">
      <c r="A1353" t="e">
        <f t="shared" si="46"/>
        <v>#VALUE!</v>
      </c>
      <c r="B1353" t="e">
        <f t="shared" si="47"/>
        <v>#VALUE!</v>
      </c>
      <c r="D1353" s="14"/>
      <c r="E1353"/>
      <c r="F1353"/>
      <c r="G1353"/>
      <c r="H1353"/>
      <c r="I1353"/>
      <c r="J1353"/>
      <c r="K1353"/>
      <c r="L1353"/>
      <c r="M1353"/>
      <c r="N1353"/>
    </row>
    <row r="1354" spans="1:14" x14ac:dyDescent="0.25">
      <c r="A1354" t="e">
        <f t="shared" si="46"/>
        <v>#VALUE!</v>
      </c>
      <c r="B1354" t="e">
        <f t="shared" si="47"/>
        <v>#VALUE!</v>
      </c>
      <c r="D1354" s="15"/>
      <c r="E1354" s="15"/>
      <c r="F1354" s="15"/>
      <c r="G1354" s="34"/>
      <c r="H1354" s="15"/>
      <c r="I1354" s="15"/>
      <c r="J1354" s="15"/>
      <c r="K1354" s="15"/>
      <c r="L1354" s="15"/>
      <c r="M1354" s="15"/>
      <c r="N1354" s="34"/>
    </row>
    <row r="1355" spans="1:14" x14ac:dyDescent="0.25">
      <c r="A1355" t="e">
        <f t="shared" si="46"/>
        <v>#VALUE!</v>
      </c>
      <c r="B1355" t="e">
        <f t="shared" si="47"/>
        <v>#VALUE!</v>
      </c>
      <c r="D1355"/>
      <c r="E1355"/>
      <c r="F1355"/>
      <c r="G1355"/>
      <c r="H1355"/>
      <c r="I1355"/>
      <c r="J1355"/>
      <c r="K1355"/>
      <c r="L1355"/>
      <c r="M1355"/>
      <c r="N1355"/>
    </row>
    <row r="1356" spans="1:14" x14ac:dyDescent="0.25">
      <c r="A1356" t="e">
        <f t="shared" si="46"/>
        <v>#VALUE!</v>
      </c>
      <c r="B1356" t="e">
        <f t="shared" si="47"/>
        <v>#VALUE!</v>
      </c>
      <c r="C1356" s="14"/>
      <c r="D1356" s="14">
        <v>0</v>
      </c>
      <c r="E1356"/>
      <c r="F1356"/>
      <c r="G1356"/>
      <c r="H1356"/>
      <c r="I1356"/>
      <c r="J1356"/>
      <c r="K1356"/>
      <c r="L1356"/>
      <c r="M1356"/>
      <c r="N1356"/>
    </row>
    <row r="1357" spans="1:14" x14ac:dyDescent="0.25">
      <c r="A1357" t="str">
        <f t="shared" si="46"/>
        <v>1486184</v>
      </c>
      <c r="B1357" t="str">
        <f t="shared" si="47"/>
        <v xml:space="preserve"> Ziply - Goldbar - 6012883</v>
      </c>
      <c r="C1357" t="s">
        <v>718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40</v>
      </c>
      <c r="M1357">
        <v>-40</v>
      </c>
      <c r="N1357">
        <v>0</v>
      </c>
    </row>
    <row r="1358" spans="1:14" x14ac:dyDescent="0.25">
      <c r="A1358" t="e">
        <f t="shared" si="46"/>
        <v>#VALUE!</v>
      </c>
      <c r="B1358" t="e">
        <f t="shared" si="47"/>
        <v>#VALUE!</v>
      </c>
      <c r="D1358" s="14"/>
      <c r="E1358"/>
      <c r="F1358"/>
      <c r="G1358"/>
      <c r="H1358"/>
      <c r="I1358"/>
      <c r="J1358"/>
      <c r="K1358"/>
      <c r="L1358"/>
      <c r="M1358"/>
      <c r="N1358"/>
    </row>
    <row r="1359" spans="1:14" x14ac:dyDescent="0.25">
      <c r="A1359" t="e">
        <f t="shared" si="46"/>
        <v>#VALUE!</v>
      </c>
      <c r="B1359" t="e">
        <f t="shared" si="47"/>
        <v>#VALUE!</v>
      </c>
      <c r="C1359">
        <v>0</v>
      </c>
      <c r="D1359" s="15">
        <v>0</v>
      </c>
      <c r="E1359" s="15"/>
      <c r="F1359" s="15"/>
      <c r="G1359" s="34"/>
      <c r="H1359" s="15"/>
      <c r="I1359" s="15"/>
      <c r="J1359" s="15"/>
      <c r="K1359" s="15"/>
      <c r="L1359" s="15"/>
      <c r="M1359" s="15"/>
      <c r="N1359" s="34"/>
    </row>
    <row r="1360" spans="1:14" x14ac:dyDescent="0.25">
      <c r="A1360" t="e">
        <f t="shared" si="46"/>
        <v>#VALUE!</v>
      </c>
      <c r="B1360" t="e">
        <f t="shared" si="47"/>
        <v>#VALUE!</v>
      </c>
      <c r="D1360"/>
      <c r="E1360"/>
      <c r="F1360"/>
      <c r="G1360"/>
      <c r="H1360"/>
      <c r="I1360"/>
      <c r="J1360"/>
      <c r="K1360"/>
      <c r="L1360"/>
      <c r="M1360"/>
      <c r="N1360"/>
    </row>
    <row r="1361" spans="1:14" x14ac:dyDescent="0.25">
      <c r="A1361" t="e">
        <f t="shared" si="46"/>
        <v>#VALUE!</v>
      </c>
      <c r="B1361" t="e">
        <f t="shared" si="47"/>
        <v>#VALUE!</v>
      </c>
      <c r="C1361" s="14"/>
      <c r="D1361" s="14">
        <v>0</v>
      </c>
      <c r="E1361"/>
      <c r="F1361"/>
      <c r="G1361"/>
      <c r="H1361"/>
      <c r="I1361"/>
      <c r="J1361"/>
      <c r="K1361"/>
      <c r="L1361"/>
      <c r="M1361"/>
      <c r="N1361"/>
    </row>
    <row r="1362" spans="1:14" x14ac:dyDescent="0.25">
      <c r="A1362" t="str">
        <f t="shared" ref="A1362:A1391" si="48">LEFT(C1362,FIND(" ",C1362)-1)</f>
        <v>1486185</v>
      </c>
      <c r="B1362" t="str">
        <f t="shared" ref="B1362:B1391" si="49">RIGHT(C1362,LEN(C1362)-FIND(" ",C1362))</f>
        <v xml:space="preserve"> Ziply - Goldbar - 6011891</v>
      </c>
      <c r="C1362" t="s">
        <v>719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775.13</v>
      </c>
      <c r="J1362">
        <v>0</v>
      </c>
      <c r="K1362">
        <v>775.13</v>
      </c>
      <c r="L1362">
        <v>110.69</v>
      </c>
      <c r="M1362">
        <v>664.44</v>
      </c>
      <c r="N1362">
        <v>85.719814740753193</v>
      </c>
    </row>
    <row r="1363" spans="1:14" x14ac:dyDescent="0.25">
      <c r="A1363" t="e">
        <f t="shared" si="48"/>
        <v>#VALUE!</v>
      </c>
      <c r="B1363" t="e">
        <f t="shared" si="49"/>
        <v>#VALUE!</v>
      </c>
      <c r="D1363" s="14"/>
      <c r="E1363"/>
      <c r="F1363"/>
      <c r="G1363"/>
      <c r="H1363"/>
      <c r="I1363"/>
      <c r="J1363"/>
      <c r="K1363"/>
      <c r="L1363"/>
      <c r="M1363"/>
      <c r="N1363"/>
    </row>
    <row r="1364" spans="1:14" x14ac:dyDescent="0.25">
      <c r="A1364" t="e">
        <f t="shared" si="48"/>
        <v>#VALUE!</v>
      </c>
      <c r="B1364" t="e">
        <f t="shared" si="49"/>
        <v>#VALUE!</v>
      </c>
      <c r="C1364">
        <v>0</v>
      </c>
      <c r="D1364" s="15">
        <v>0</v>
      </c>
      <c r="E1364" s="15"/>
      <c r="F1364" s="15"/>
      <c r="G1364" s="34"/>
      <c r="H1364" s="15"/>
      <c r="I1364" s="15"/>
      <c r="J1364" s="15"/>
      <c r="K1364" s="15"/>
      <c r="L1364" s="15"/>
      <c r="M1364" s="15"/>
      <c r="N1364" s="34"/>
    </row>
    <row r="1365" spans="1:14" x14ac:dyDescent="0.25">
      <c r="A1365" t="e">
        <f t="shared" si="48"/>
        <v>#VALUE!</v>
      </c>
      <c r="B1365" t="e">
        <f t="shared" si="49"/>
        <v>#VALUE!</v>
      </c>
      <c r="D1365"/>
      <c r="E1365"/>
      <c r="F1365"/>
      <c r="G1365"/>
      <c r="H1365"/>
      <c r="I1365"/>
      <c r="J1365"/>
      <c r="K1365"/>
      <c r="L1365"/>
      <c r="M1365"/>
      <c r="N1365"/>
    </row>
    <row r="1366" spans="1:14" x14ac:dyDescent="0.25">
      <c r="A1366" t="e">
        <f t="shared" si="48"/>
        <v>#VALUE!</v>
      </c>
      <c r="B1366" t="e">
        <f t="shared" si="49"/>
        <v>#VALUE!</v>
      </c>
      <c r="C1366" s="14"/>
      <c r="D1366" s="14">
        <v>0</v>
      </c>
      <c r="E1366"/>
      <c r="F1366"/>
      <c r="G1366"/>
      <c r="H1366"/>
      <c r="I1366"/>
      <c r="J1366"/>
      <c r="K1366"/>
      <c r="L1366"/>
      <c r="M1366"/>
      <c r="N1366"/>
    </row>
    <row r="1367" spans="1:14" x14ac:dyDescent="0.25">
      <c r="A1367" t="str">
        <f t="shared" si="48"/>
        <v>1486192</v>
      </c>
      <c r="B1367" t="str">
        <f t="shared" si="49"/>
        <v xml:space="preserve"> Ziply - WA FTTH Soft Scape Bid WOs (354)</v>
      </c>
      <c r="C1367" t="s">
        <v>958</v>
      </c>
      <c r="D1367">
        <v>164827.26999999999</v>
      </c>
      <c r="E1367">
        <v>145093.76000000001</v>
      </c>
      <c r="F1367">
        <v>19733.509999999998</v>
      </c>
      <c r="G1367">
        <v>11.972236147574399</v>
      </c>
      <c r="H1367">
        <v>4326940.08</v>
      </c>
      <c r="I1367">
        <v>317668.90000000002</v>
      </c>
      <c r="J1367">
        <v>0</v>
      </c>
      <c r="K1367">
        <v>4644608.9800000004</v>
      </c>
      <c r="L1367">
        <v>2255250.81</v>
      </c>
      <c r="M1367">
        <v>2389358.17</v>
      </c>
      <c r="N1367">
        <v>51.443688376970698</v>
      </c>
    </row>
    <row r="1368" spans="1:14" x14ac:dyDescent="0.25">
      <c r="A1368" t="e">
        <f t="shared" si="48"/>
        <v>#VALUE!</v>
      </c>
      <c r="B1368" t="e">
        <f t="shared" si="49"/>
        <v>#VALUE!</v>
      </c>
      <c r="C1368" t="s">
        <v>634</v>
      </c>
      <c r="D1368" s="14" t="s">
        <v>635</v>
      </c>
      <c r="E1368">
        <v>2096013.88</v>
      </c>
      <c r="F1368">
        <v>194097.93</v>
      </c>
      <c r="G1368">
        <v>27323405.670000002</v>
      </c>
      <c r="H1368">
        <v>36152814.869999997</v>
      </c>
      <c r="I1368">
        <v>5751679.9400000004</v>
      </c>
      <c r="J1368">
        <v>1901915.95</v>
      </c>
      <c r="K1368">
        <v>9.2603361004460503</v>
      </c>
      <c r="L1368">
        <v>8829409.1999999993</v>
      </c>
      <c r="M1368">
        <v>30401134.93</v>
      </c>
      <c r="N1368">
        <v>6.6090515457558903</v>
      </c>
    </row>
    <row r="1369" spans="1:14" x14ac:dyDescent="0.25">
      <c r="A1369" t="e">
        <f t="shared" si="48"/>
        <v>#VALUE!</v>
      </c>
      <c r="B1369" t="e">
        <f t="shared" si="49"/>
        <v>#VALUE!</v>
      </c>
      <c r="C1369" t="s">
        <v>889</v>
      </c>
      <c r="D1369" s="15" t="s">
        <v>890</v>
      </c>
      <c r="E1369" s="15"/>
      <c r="F1369" s="15"/>
      <c r="G1369" s="34"/>
      <c r="H1369" s="15"/>
      <c r="I1369" s="15"/>
      <c r="J1369" s="15"/>
      <c r="K1369" s="15"/>
      <c r="L1369" s="15"/>
      <c r="M1369" s="15"/>
      <c r="N1369" s="34"/>
    </row>
    <row r="1370" spans="1:14" x14ac:dyDescent="0.25">
      <c r="A1370" t="e">
        <f t="shared" si="48"/>
        <v>#VALUE!</v>
      </c>
      <c r="B1370" t="e">
        <f t="shared" si="49"/>
        <v>#VALUE!</v>
      </c>
      <c r="D1370"/>
      <c r="E1370"/>
      <c r="F1370"/>
      <c r="G1370"/>
      <c r="H1370"/>
      <c r="I1370"/>
      <c r="J1370"/>
      <c r="K1370"/>
      <c r="L1370"/>
      <c r="M1370"/>
      <c r="N1370"/>
    </row>
    <row r="1371" spans="1:14" x14ac:dyDescent="0.25">
      <c r="A1371" t="e">
        <f t="shared" si="48"/>
        <v>#VALUE!</v>
      </c>
      <c r="B1371" t="e">
        <f t="shared" si="49"/>
        <v>#VALUE!</v>
      </c>
      <c r="C1371" s="14">
        <v>2061792</v>
      </c>
      <c r="D1371" s="14">
        <v>2061792</v>
      </c>
      <c r="E1371"/>
      <c r="F1371"/>
      <c r="G1371"/>
      <c r="H1371"/>
      <c r="I1371"/>
      <c r="J1371"/>
      <c r="K1371"/>
      <c r="L1371"/>
      <c r="M1371"/>
      <c r="N1371"/>
    </row>
    <row r="1372" spans="1:14" x14ac:dyDescent="0.25">
      <c r="A1372" t="e">
        <f t="shared" si="48"/>
        <v>#VALUE!</v>
      </c>
      <c r="B1372" t="e">
        <f t="shared" si="49"/>
        <v>#VALUE!</v>
      </c>
      <c r="D1372"/>
      <c r="E1372"/>
      <c r="F1372"/>
      <c r="G1372"/>
      <c r="H1372"/>
      <c r="I1372"/>
      <c r="J1372"/>
      <c r="K1372"/>
      <c r="L1372"/>
      <c r="M1372"/>
      <c r="N1372"/>
    </row>
    <row r="1373" spans="1:14" x14ac:dyDescent="0.25">
      <c r="A1373" t="e">
        <f t="shared" si="48"/>
        <v>#VALUE!</v>
      </c>
      <c r="B1373" t="e">
        <f t="shared" si="49"/>
        <v>#VALUE!</v>
      </c>
      <c r="D1373" s="14">
        <v>0</v>
      </c>
      <c r="E1373"/>
      <c r="F1373"/>
      <c r="G1373"/>
      <c r="H1373"/>
      <c r="I1373"/>
      <c r="J1373"/>
      <c r="K1373"/>
      <c r="L1373"/>
      <c r="M1373"/>
      <c r="N1373"/>
    </row>
    <row r="1374" spans="1:14" x14ac:dyDescent="0.25">
      <c r="A1374" t="str">
        <f t="shared" si="48"/>
        <v>1296002</v>
      </c>
      <c r="B1374" t="str">
        <f t="shared" si="49"/>
        <v xml:space="preserve"> AWS - Reno Data Center - OSP</v>
      </c>
      <c r="C1374" t="s">
        <v>977</v>
      </c>
      <c r="D1374" s="15">
        <v>64764.31</v>
      </c>
      <c r="E1374" s="15">
        <v>111806.85</v>
      </c>
      <c r="F1374" s="15">
        <v>-47042.54</v>
      </c>
      <c r="G1374" s="34">
        <v>-72.636518477538004</v>
      </c>
      <c r="H1374" s="15">
        <v>377486.03</v>
      </c>
      <c r="I1374" s="15">
        <v>0</v>
      </c>
      <c r="J1374" s="15">
        <v>2061792</v>
      </c>
      <c r="K1374" s="15">
        <v>377486.03</v>
      </c>
      <c r="L1374" s="15">
        <v>290669.83</v>
      </c>
      <c r="M1374" s="15">
        <v>86816.2</v>
      </c>
      <c r="N1374" s="34">
        <v>22.998519971719201</v>
      </c>
    </row>
    <row r="1375" spans="1:14" x14ac:dyDescent="0.25">
      <c r="A1375" t="e">
        <f t="shared" si="48"/>
        <v>#VALUE!</v>
      </c>
      <c r="B1375" t="e">
        <f t="shared" si="49"/>
        <v>#VALUE!</v>
      </c>
      <c r="D1375"/>
      <c r="E1375"/>
      <c r="F1375"/>
      <c r="G1375"/>
      <c r="H1375"/>
      <c r="I1375"/>
      <c r="J1375"/>
      <c r="K1375"/>
      <c r="L1375"/>
      <c r="M1375"/>
      <c r="N1375"/>
    </row>
    <row r="1376" spans="1:14" x14ac:dyDescent="0.25">
      <c r="A1376" t="e">
        <f t="shared" si="48"/>
        <v>#VALUE!</v>
      </c>
      <c r="B1376" t="e">
        <f t="shared" si="49"/>
        <v>#VALUE!</v>
      </c>
      <c r="C1376" s="14">
        <v>3037</v>
      </c>
      <c r="D1376" s="14">
        <v>3037</v>
      </c>
      <c r="E1376"/>
      <c r="F1376"/>
      <c r="G1376"/>
      <c r="H1376"/>
      <c r="I1376"/>
      <c r="J1376"/>
      <c r="K1376"/>
      <c r="L1376"/>
      <c r="M1376"/>
      <c r="N1376"/>
    </row>
    <row r="1377" spans="1:14" x14ac:dyDescent="0.25">
      <c r="A1377" t="e">
        <f t="shared" si="48"/>
        <v>#VALUE!</v>
      </c>
      <c r="B1377" t="e">
        <f t="shared" si="49"/>
        <v>#VALUE!</v>
      </c>
      <c r="D1377"/>
      <c r="E1377"/>
      <c r="F1377"/>
      <c r="G1377"/>
      <c r="H1377"/>
      <c r="I1377"/>
      <c r="J1377"/>
      <c r="K1377"/>
      <c r="L1377"/>
      <c r="M1377"/>
      <c r="N1377"/>
    </row>
    <row r="1378" spans="1:14" x14ac:dyDescent="0.25">
      <c r="A1378" t="e">
        <f t="shared" si="48"/>
        <v>#VALUE!</v>
      </c>
      <c r="B1378" t="e">
        <f t="shared" si="49"/>
        <v>#VALUE!</v>
      </c>
      <c r="D1378" s="14">
        <v>0</v>
      </c>
      <c r="E1378"/>
      <c r="F1378"/>
      <c r="G1378"/>
      <c r="H1378"/>
      <c r="I1378"/>
      <c r="J1378"/>
      <c r="K1378"/>
      <c r="L1378"/>
      <c r="M1378"/>
      <c r="N1378"/>
    </row>
    <row r="1379" spans="1:14" x14ac:dyDescent="0.25">
      <c r="A1379" t="str">
        <f t="shared" si="48"/>
        <v>1296171</v>
      </c>
      <c r="B1379" t="str">
        <f t="shared" si="49"/>
        <v xml:space="preserve"> VZ-Verizon Business - 98743F - Mill St</v>
      </c>
      <c r="C1379" t="s">
        <v>659</v>
      </c>
      <c r="D1379" s="15">
        <v>0</v>
      </c>
      <c r="E1379" s="15">
        <v>0</v>
      </c>
      <c r="F1379" s="15">
        <v>0</v>
      </c>
      <c r="G1379" s="34">
        <v>0</v>
      </c>
      <c r="H1379" s="15">
        <v>0</v>
      </c>
      <c r="I1379" s="15">
        <v>3122.5</v>
      </c>
      <c r="J1379" s="15">
        <v>3037</v>
      </c>
      <c r="K1379" s="15">
        <v>3122.5</v>
      </c>
      <c r="L1379" s="15">
        <v>3582.27</v>
      </c>
      <c r="M1379" s="15">
        <v>-459.77</v>
      </c>
      <c r="N1379" s="34">
        <v>-14.724419535628501</v>
      </c>
    </row>
    <row r="1380" spans="1:14" x14ac:dyDescent="0.25">
      <c r="A1380" t="e">
        <f t="shared" si="48"/>
        <v>#VALUE!</v>
      </c>
      <c r="B1380" t="e">
        <f t="shared" si="49"/>
        <v>#VALUE!</v>
      </c>
      <c r="D1380"/>
      <c r="E1380"/>
      <c r="F1380"/>
      <c r="G1380"/>
      <c r="H1380"/>
      <c r="I1380"/>
      <c r="J1380"/>
      <c r="K1380"/>
      <c r="L1380"/>
      <c r="M1380"/>
      <c r="N1380"/>
    </row>
    <row r="1381" spans="1:14" x14ac:dyDescent="0.25">
      <c r="A1381" t="e">
        <f t="shared" si="48"/>
        <v>#VALUE!</v>
      </c>
      <c r="B1381" t="e">
        <f t="shared" si="49"/>
        <v>#VALUE!</v>
      </c>
      <c r="C1381" s="14">
        <v>0</v>
      </c>
      <c r="D1381" s="14">
        <v>0</v>
      </c>
      <c r="E1381"/>
      <c r="F1381"/>
      <c r="G1381"/>
      <c r="H1381"/>
      <c r="I1381"/>
      <c r="J1381"/>
      <c r="K1381"/>
      <c r="L1381"/>
      <c r="M1381"/>
      <c r="N1381"/>
    </row>
    <row r="1382" spans="1:14" x14ac:dyDescent="0.25">
      <c r="A1382" t="e">
        <f t="shared" si="48"/>
        <v>#VALUE!</v>
      </c>
      <c r="B1382" t="e">
        <f t="shared" si="49"/>
        <v>#VALUE!</v>
      </c>
      <c r="D1382"/>
      <c r="E1382"/>
      <c r="F1382"/>
      <c r="G1382"/>
      <c r="H1382"/>
      <c r="I1382"/>
      <c r="J1382"/>
      <c r="K1382"/>
      <c r="L1382"/>
      <c r="M1382"/>
      <c r="N1382"/>
    </row>
    <row r="1383" spans="1:14" x14ac:dyDescent="0.25">
      <c r="A1383" t="e">
        <f t="shared" si="48"/>
        <v>#VALUE!</v>
      </c>
      <c r="B1383" t="e">
        <f t="shared" si="49"/>
        <v>#VALUE!</v>
      </c>
      <c r="D1383" s="14">
        <v>0</v>
      </c>
      <c r="E1383"/>
      <c r="F1383"/>
      <c r="G1383"/>
      <c r="H1383"/>
      <c r="I1383"/>
      <c r="J1383"/>
      <c r="K1383"/>
      <c r="L1383"/>
      <c r="M1383"/>
      <c r="N1383"/>
    </row>
    <row r="1384" spans="1:14" x14ac:dyDescent="0.25">
      <c r="A1384" t="str">
        <f t="shared" si="48"/>
        <v>1296172</v>
      </c>
      <c r="B1384" t="str">
        <f t="shared" si="49"/>
        <v xml:space="preserve"> VZ-Verizon Business - MARC - Reno</v>
      </c>
      <c r="C1384" t="s">
        <v>661</v>
      </c>
      <c r="D1384" s="15">
        <v>27663.7</v>
      </c>
      <c r="E1384" s="15">
        <v>31357.8</v>
      </c>
      <c r="F1384" s="15">
        <v>-3694.1</v>
      </c>
      <c r="G1384" s="34">
        <v>-13.353600566807801</v>
      </c>
      <c r="H1384" s="15">
        <v>98410.3</v>
      </c>
      <c r="I1384" s="15">
        <v>350770.31</v>
      </c>
      <c r="J1384" s="15">
        <v>0</v>
      </c>
      <c r="K1384" s="15">
        <v>449180.61</v>
      </c>
      <c r="L1384" s="15">
        <v>382196.09</v>
      </c>
      <c r="M1384" s="15">
        <v>66984.52</v>
      </c>
      <c r="N1384" s="34">
        <v>14.912602750149899</v>
      </c>
    </row>
    <row r="1385" spans="1:14" x14ac:dyDescent="0.25">
      <c r="A1385" t="e">
        <f t="shared" si="48"/>
        <v>#VALUE!</v>
      </c>
      <c r="B1385" t="e">
        <f t="shared" si="49"/>
        <v>#VALUE!</v>
      </c>
      <c r="D1385"/>
      <c r="E1385"/>
      <c r="F1385"/>
      <c r="G1385"/>
      <c r="H1385"/>
      <c r="I1385"/>
      <c r="J1385"/>
      <c r="K1385"/>
      <c r="L1385"/>
      <c r="M1385"/>
      <c r="N1385"/>
    </row>
    <row r="1386" spans="1:14" x14ac:dyDescent="0.25">
      <c r="A1386" t="e">
        <f t="shared" si="48"/>
        <v>#VALUE!</v>
      </c>
      <c r="B1386" t="e">
        <f t="shared" si="49"/>
        <v>#VALUE!</v>
      </c>
      <c r="C1386" s="14">
        <v>3635849.34</v>
      </c>
      <c r="D1386" s="14">
        <v>3635849.34</v>
      </c>
      <c r="E1386"/>
      <c r="F1386"/>
      <c r="G1386"/>
      <c r="H1386"/>
      <c r="I1386"/>
      <c r="J1386"/>
      <c r="K1386"/>
      <c r="L1386"/>
      <c r="M1386"/>
      <c r="N1386"/>
    </row>
    <row r="1387" spans="1:14" x14ac:dyDescent="0.25">
      <c r="A1387" t="e">
        <f t="shared" si="48"/>
        <v>#VALUE!</v>
      </c>
      <c r="B1387" t="e">
        <f t="shared" si="49"/>
        <v>#VALUE!</v>
      </c>
      <c r="D1387"/>
      <c r="E1387"/>
      <c r="F1387"/>
      <c r="G1387"/>
      <c r="H1387"/>
      <c r="I1387"/>
      <c r="J1387"/>
      <c r="K1387"/>
      <c r="L1387"/>
      <c r="M1387"/>
      <c r="N1387"/>
    </row>
    <row r="1388" spans="1:14" x14ac:dyDescent="0.25">
      <c r="A1388" t="e">
        <f t="shared" si="48"/>
        <v>#VALUE!</v>
      </c>
      <c r="B1388" t="e">
        <f t="shared" si="49"/>
        <v>#VALUE!</v>
      </c>
      <c r="D1388" s="14">
        <v>0</v>
      </c>
      <c r="E1388"/>
      <c r="F1388"/>
      <c r="G1388"/>
      <c r="H1388"/>
      <c r="I1388"/>
      <c r="J1388"/>
      <c r="K1388"/>
      <c r="L1388"/>
      <c r="M1388"/>
      <c r="N1388"/>
    </row>
    <row r="1389" spans="1:14" x14ac:dyDescent="0.25">
      <c r="A1389" t="str">
        <f t="shared" si="48"/>
        <v>1296243</v>
      </c>
      <c r="B1389" t="str">
        <f t="shared" si="49"/>
        <v xml:space="preserve"> AWS - Reno Data Center - Campus</v>
      </c>
      <c r="C1389" t="s">
        <v>978</v>
      </c>
      <c r="D1389" s="15">
        <v>0</v>
      </c>
      <c r="E1389" s="15">
        <v>385427.62</v>
      </c>
      <c r="F1389" s="15">
        <v>-385427.62</v>
      </c>
      <c r="G1389" s="34">
        <v>0</v>
      </c>
      <c r="H1389" s="15">
        <v>0</v>
      </c>
      <c r="I1389" s="15">
        <v>0</v>
      </c>
      <c r="J1389" s="15">
        <v>3635849.34</v>
      </c>
      <c r="K1389" s="15">
        <v>0</v>
      </c>
      <c r="L1389" s="15">
        <v>384229.27</v>
      </c>
      <c r="M1389" s="15">
        <v>-384229.27</v>
      </c>
      <c r="N1389" s="34">
        <v>0</v>
      </c>
    </row>
    <row r="1390" spans="1:14" x14ac:dyDescent="0.25">
      <c r="A1390" t="e">
        <f t="shared" si="48"/>
        <v>#VALUE!</v>
      </c>
      <c r="B1390" t="e">
        <f t="shared" si="49"/>
        <v>#VALUE!</v>
      </c>
      <c r="D1390"/>
      <c r="E1390" s="15"/>
      <c r="F1390" s="15"/>
      <c r="G1390" s="15"/>
      <c r="H1390" s="15"/>
      <c r="I1390" s="15"/>
      <c r="J1390" s="15"/>
      <c r="K1390" s="14"/>
      <c r="L1390" s="15"/>
      <c r="M1390" s="15"/>
      <c r="N1390" s="14"/>
    </row>
    <row r="1391" spans="1:14" x14ac:dyDescent="0.25">
      <c r="A1391" t="e">
        <f t="shared" si="48"/>
        <v>#VALUE!</v>
      </c>
      <c r="B1391" t="e">
        <f t="shared" si="49"/>
        <v>#VALUE!</v>
      </c>
      <c r="C1391">
        <v>1454150</v>
      </c>
      <c r="D1391" s="15">
        <v>1454150</v>
      </c>
      <c r="E1391" s="15"/>
      <c r="F1391" s="15"/>
      <c r="G1391" s="15"/>
      <c r="H1391" s="15"/>
      <c r="I1391" s="15"/>
      <c r="J1391" s="35"/>
      <c r="K1391" s="15"/>
      <c r="L1391" s="15"/>
      <c r="M1391" s="35"/>
      <c r="N1391"/>
    </row>
    <row r="1392" spans="1:14" x14ac:dyDescent="0.25">
      <c r="A1392" t="e">
        <f t="shared" ref="A1392:A1411" si="50">LEFT(C1392,FIND(" ",C1392)-1)</f>
        <v>#VALUE!</v>
      </c>
      <c r="B1392" t="e">
        <f t="shared" ref="B1392:B1411" si="51">RIGHT(C1392,LEN(C1392)-FIND(" ",C1392))</f>
        <v>#VALUE!</v>
      </c>
      <c r="D1392" s="104"/>
      <c r="E1392" s="15"/>
      <c r="F1392" s="15"/>
      <c r="G1392" s="105"/>
      <c r="H1392" s="15"/>
      <c r="I1392" s="15"/>
      <c r="J1392" s="104"/>
      <c r="K1392" s="104"/>
      <c r="L1392" s="15"/>
      <c r="M1392" s="104"/>
    </row>
    <row r="1393" spans="1:14" x14ac:dyDescent="0.25">
      <c r="A1393" t="e">
        <f t="shared" si="50"/>
        <v>#VALUE!</v>
      </c>
      <c r="B1393" t="e">
        <f t="shared" si="51"/>
        <v>#VALUE!</v>
      </c>
      <c r="D1393" s="104">
        <v>0</v>
      </c>
      <c r="E1393" s="15"/>
      <c r="F1393" s="15"/>
      <c r="G1393" s="105"/>
      <c r="H1393" s="15"/>
      <c r="I1393" s="15"/>
      <c r="J1393" s="104"/>
      <c r="K1393" s="104"/>
      <c r="L1393" s="15"/>
      <c r="M1393" s="104"/>
    </row>
    <row r="1394" spans="1:14" x14ac:dyDescent="0.25">
      <c r="A1394" t="str">
        <f t="shared" si="50"/>
        <v>1296249</v>
      </c>
      <c r="B1394" t="str">
        <f t="shared" si="51"/>
        <v xml:space="preserve"> ATT - A051KQ2 - Carson City NV</v>
      </c>
      <c r="C1394" t="s">
        <v>976</v>
      </c>
      <c r="D1394" s="104">
        <v>128499.8</v>
      </c>
      <c r="E1394" s="15">
        <v>146854.26</v>
      </c>
      <c r="F1394" s="15">
        <v>-18354.46</v>
      </c>
      <c r="G1394" s="105">
        <v>-14.283648690503799</v>
      </c>
      <c r="H1394" s="15">
        <v>0</v>
      </c>
      <c r="I1394" s="15">
        <v>186061.73</v>
      </c>
      <c r="J1394" s="104">
        <v>1454150</v>
      </c>
      <c r="K1394" s="104">
        <v>186061.73</v>
      </c>
      <c r="L1394" s="15">
        <v>207122.58</v>
      </c>
      <c r="M1394" s="104">
        <v>-21060.85</v>
      </c>
      <c r="N1394" s="1">
        <v>-11.3192809719656</v>
      </c>
    </row>
    <row r="1395" spans="1:14" x14ac:dyDescent="0.25">
      <c r="A1395" t="e">
        <f t="shared" si="50"/>
        <v>#VALUE!</v>
      </c>
      <c r="B1395" t="e">
        <f t="shared" si="51"/>
        <v>#VALUE!</v>
      </c>
      <c r="D1395" s="104"/>
      <c r="E1395" s="15"/>
      <c r="F1395" s="15"/>
      <c r="G1395" s="105"/>
      <c r="H1395" s="15"/>
      <c r="I1395" s="15"/>
      <c r="J1395" s="104"/>
      <c r="K1395" s="104"/>
      <c r="L1395" s="15"/>
      <c r="M1395" s="104"/>
    </row>
    <row r="1396" spans="1:14" x14ac:dyDescent="0.25">
      <c r="A1396" t="e">
        <f t="shared" si="50"/>
        <v>#VALUE!</v>
      </c>
      <c r="B1396" t="e">
        <f t="shared" si="51"/>
        <v>#VALUE!</v>
      </c>
      <c r="C1396">
        <v>939505</v>
      </c>
      <c r="D1396" s="104">
        <v>939505</v>
      </c>
      <c r="E1396" s="15"/>
      <c r="F1396" s="15"/>
      <c r="G1396" s="105"/>
      <c r="H1396" s="15"/>
      <c r="I1396" s="15"/>
      <c r="J1396" s="104"/>
      <c r="K1396" s="104"/>
      <c r="L1396" s="15"/>
      <c r="M1396" s="104"/>
    </row>
    <row r="1397" spans="1:14" x14ac:dyDescent="0.25">
      <c r="A1397" t="e">
        <f t="shared" si="50"/>
        <v>#VALUE!</v>
      </c>
      <c r="B1397" t="e">
        <f t="shared" si="51"/>
        <v>#VALUE!</v>
      </c>
      <c r="D1397" s="104"/>
      <c r="E1397" s="15"/>
      <c r="F1397" s="15"/>
      <c r="G1397" s="105"/>
      <c r="H1397" s="15"/>
      <c r="I1397" s="15"/>
      <c r="J1397" s="104"/>
      <c r="K1397" s="104"/>
      <c r="L1397" s="15"/>
      <c r="M1397" s="104"/>
    </row>
    <row r="1398" spans="1:14" x14ac:dyDescent="0.25">
      <c r="A1398" t="e">
        <f t="shared" si="50"/>
        <v>#VALUE!</v>
      </c>
      <c r="B1398" t="e">
        <f t="shared" si="51"/>
        <v>#VALUE!</v>
      </c>
      <c r="D1398" s="104">
        <v>0</v>
      </c>
      <c r="E1398" s="15"/>
      <c r="F1398" s="15"/>
      <c r="G1398" s="105"/>
      <c r="H1398" s="15"/>
      <c r="I1398" s="15"/>
      <c r="J1398" s="104"/>
      <c r="K1398" s="104"/>
      <c r="L1398" s="15"/>
      <c r="M1398" s="104"/>
    </row>
    <row r="1399" spans="1:14" x14ac:dyDescent="0.25">
      <c r="A1399" t="str">
        <f t="shared" si="50"/>
        <v>1296267</v>
      </c>
      <c r="B1399" t="str">
        <f t="shared" si="51"/>
        <v xml:space="preserve"> ATT -  A02QY7S - Reno NV</v>
      </c>
      <c r="C1399" t="s">
        <v>979</v>
      </c>
      <c r="D1399" s="104">
        <v>0</v>
      </c>
      <c r="E1399" s="15">
        <v>23201.74</v>
      </c>
      <c r="F1399" s="15">
        <v>-23201.74</v>
      </c>
      <c r="G1399" s="105">
        <v>0</v>
      </c>
      <c r="H1399" s="15">
        <v>0</v>
      </c>
      <c r="I1399" s="15">
        <v>152955.79</v>
      </c>
      <c r="J1399" s="104">
        <v>939505</v>
      </c>
      <c r="K1399" s="104">
        <v>152955.79</v>
      </c>
      <c r="L1399" s="15">
        <v>181777.81</v>
      </c>
      <c r="M1399" s="104">
        <v>-28822.02</v>
      </c>
      <c r="N1399" s="1">
        <v>-18.8433664394136</v>
      </c>
    </row>
    <row r="1400" spans="1:14" x14ac:dyDescent="0.25">
      <c r="A1400" t="e">
        <f t="shared" si="50"/>
        <v>#VALUE!</v>
      </c>
      <c r="B1400" t="e">
        <f t="shared" si="51"/>
        <v>#VALUE!</v>
      </c>
      <c r="D1400" s="104"/>
      <c r="E1400" s="15"/>
      <c r="F1400" s="15"/>
      <c r="G1400" s="105"/>
      <c r="H1400" s="15"/>
      <c r="I1400" s="15"/>
      <c r="J1400" s="104"/>
      <c r="K1400" s="104"/>
      <c r="L1400" s="15"/>
      <c r="M1400" s="104"/>
    </row>
    <row r="1401" spans="1:14" x14ac:dyDescent="0.25">
      <c r="A1401" t="e">
        <f t="shared" si="50"/>
        <v>#VALUE!</v>
      </c>
      <c r="B1401" t="e">
        <f t="shared" si="51"/>
        <v>#VALUE!</v>
      </c>
      <c r="C1401">
        <v>949240</v>
      </c>
      <c r="D1401" s="104">
        <v>949240</v>
      </c>
      <c r="E1401" s="15"/>
      <c r="F1401" s="15"/>
      <c r="G1401" s="105"/>
      <c r="H1401" s="15"/>
      <c r="I1401" s="15"/>
      <c r="J1401" s="104"/>
      <c r="K1401" s="104"/>
      <c r="L1401" s="15"/>
      <c r="M1401" s="104"/>
    </row>
    <row r="1402" spans="1:14" x14ac:dyDescent="0.25">
      <c r="A1402" t="e">
        <f t="shared" si="50"/>
        <v>#VALUE!</v>
      </c>
      <c r="B1402" t="e">
        <f t="shared" si="51"/>
        <v>#VALUE!</v>
      </c>
      <c r="D1402" s="104"/>
      <c r="E1402" s="15"/>
      <c r="F1402" s="15"/>
      <c r="G1402" s="105"/>
      <c r="H1402" s="15"/>
      <c r="I1402" s="15"/>
      <c r="J1402" s="104"/>
      <c r="K1402" s="104"/>
      <c r="L1402" s="15"/>
      <c r="M1402" s="104"/>
    </row>
    <row r="1403" spans="1:14" x14ac:dyDescent="0.25">
      <c r="A1403" t="e">
        <f t="shared" si="50"/>
        <v>#VALUE!</v>
      </c>
      <c r="B1403" t="e">
        <f t="shared" si="51"/>
        <v>#VALUE!</v>
      </c>
      <c r="D1403" s="104">
        <v>0</v>
      </c>
      <c r="E1403" s="15"/>
      <c r="F1403" s="15"/>
      <c r="G1403" s="105"/>
      <c r="H1403" s="15"/>
      <c r="I1403" s="15"/>
      <c r="J1403" s="104"/>
      <c r="K1403" s="104"/>
      <c r="L1403" s="15"/>
      <c r="M1403" s="104"/>
    </row>
    <row r="1404" spans="1:14" x14ac:dyDescent="0.25">
      <c r="A1404" t="str">
        <f t="shared" si="50"/>
        <v>1296277</v>
      </c>
      <c r="B1404" t="str">
        <f t="shared" si="51"/>
        <v xml:space="preserve"> ATT - A02PJDR - Kings Row</v>
      </c>
      <c r="C1404" t="s">
        <v>988</v>
      </c>
      <c r="D1404" s="104">
        <v>20670.61</v>
      </c>
      <c r="E1404" s="15">
        <v>38197.33</v>
      </c>
      <c r="F1404" s="15">
        <v>-17526.72</v>
      </c>
      <c r="G1404" s="105">
        <v>-84.790531097050305</v>
      </c>
      <c r="H1404" s="15">
        <v>0</v>
      </c>
      <c r="I1404" s="15">
        <v>20670.61</v>
      </c>
      <c r="J1404" s="104">
        <v>949240</v>
      </c>
      <c r="K1404" s="104">
        <v>20670.61</v>
      </c>
      <c r="L1404" s="15">
        <v>41631.620000000003</v>
      </c>
      <c r="M1404" s="104">
        <v>-20961.009999999998</v>
      </c>
      <c r="N1404" s="1">
        <v>-101.40489322763101</v>
      </c>
    </row>
    <row r="1405" spans="1:14" x14ac:dyDescent="0.25">
      <c r="A1405" t="e">
        <f t="shared" si="50"/>
        <v>#VALUE!</v>
      </c>
      <c r="B1405" t="e">
        <f t="shared" si="51"/>
        <v>#VALUE!</v>
      </c>
      <c r="D1405" s="104"/>
      <c r="E1405" s="15"/>
      <c r="F1405" s="15"/>
      <c r="G1405" s="105"/>
      <c r="H1405" s="15"/>
      <c r="I1405" s="15"/>
      <c r="J1405" s="104"/>
      <c r="K1405" s="104"/>
      <c r="L1405" s="15"/>
      <c r="M1405" s="104"/>
    </row>
    <row r="1406" spans="1:14" x14ac:dyDescent="0.25">
      <c r="A1406" t="e">
        <f t="shared" si="50"/>
        <v>#VALUE!</v>
      </c>
      <c r="B1406" t="e">
        <f t="shared" si="51"/>
        <v>#VALUE!</v>
      </c>
      <c r="C1406">
        <v>0</v>
      </c>
      <c r="D1406" s="104">
        <v>0</v>
      </c>
      <c r="E1406" s="15"/>
      <c r="F1406" s="15"/>
      <c r="G1406" s="105"/>
      <c r="H1406" s="15"/>
      <c r="I1406" s="15"/>
      <c r="J1406" s="104"/>
      <c r="K1406" s="104"/>
      <c r="L1406" s="15"/>
      <c r="M1406" s="104"/>
    </row>
    <row r="1407" spans="1:14" x14ac:dyDescent="0.25">
      <c r="A1407" t="e">
        <f t="shared" si="50"/>
        <v>#VALUE!</v>
      </c>
      <c r="B1407" t="e">
        <f t="shared" si="51"/>
        <v>#VALUE!</v>
      </c>
      <c r="D1407" s="104"/>
      <c r="E1407" s="15"/>
      <c r="F1407" s="15"/>
      <c r="G1407" s="105"/>
      <c r="H1407" s="15"/>
      <c r="I1407" s="15"/>
      <c r="J1407" s="104"/>
      <c r="K1407" s="104"/>
      <c r="L1407" s="15"/>
      <c r="M1407" s="104"/>
    </row>
    <row r="1408" spans="1:14" x14ac:dyDescent="0.25">
      <c r="A1408" t="e">
        <f t="shared" si="50"/>
        <v>#VALUE!</v>
      </c>
      <c r="B1408" t="e">
        <f t="shared" si="51"/>
        <v>#VALUE!</v>
      </c>
      <c r="D1408" s="104">
        <v>0</v>
      </c>
      <c r="E1408" s="15"/>
      <c r="F1408" s="15"/>
      <c r="G1408" s="105"/>
      <c r="H1408" s="15"/>
      <c r="I1408" s="15"/>
      <c r="J1408" s="104"/>
      <c r="K1408" s="104"/>
      <c r="L1408" s="15"/>
      <c r="M1408" s="104"/>
    </row>
    <row r="1409" spans="1:14" x14ac:dyDescent="0.25">
      <c r="A1409" t="str">
        <f t="shared" si="50"/>
        <v>18131</v>
      </c>
      <c r="B1409" t="str">
        <f t="shared" si="51"/>
        <v xml:space="preserve"> NFS - Wasatch Electric - Moana Ln - Reno</v>
      </c>
      <c r="C1409" t="s">
        <v>953</v>
      </c>
      <c r="D1409" s="104">
        <v>22093</v>
      </c>
      <c r="E1409" s="15">
        <v>178.95</v>
      </c>
      <c r="F1409" s="15">
        <v>21914.05</v>
      </c>
      <c r="G1409" s="105">
        <v>99.190014936857807</v>
      </c>
      <c r="H1409" s="15">
        <v>34633</v>
      </c>
      <c r="I1409" s="15">
        <v>0</v>
      </c>
      <c r="J1409" s="104">
        <v>0</v>
      </c>
      <c r="K1409" s="104">
        <v>34633</v>
      </c>
      <c r="L1409" s="15">
        <v>15358.42</v>
      </c>
      <c r="M1409" s="104">
        <v>19274.580000000002</v>
      </c>
      <c r="N1409" s="1">
        <v>55.653798400369602</v>
      </c>
    </row>
    <row r="1410" spans="1:14" x14ac:dyDescent="0.25">
      <c r="A1410" t="e">
        <f t="shared" si="50"/>
        <v>#VALUE!</v>
      </c>
      <c r="B1410" t="e">
        <f t="shared" si="51"/>
        <v>#VALUE!</v>
      </c>
      <c r="C1410" t="s">
        <v>889</v>
      </c>
      <c r="D1410" s="104" t="s">
        <v>890</v>
      </c>
      <c r="E1410" s="15">
        <v>263691.42</v>
      </c>
      <c r="F1410" s="15">
        <v>-473333.13</v>
      </c>
      <c r="G1410" s="105">
        <v>510529.33</v>
      </c>
      <c r="H1410" s="15">
        <v>1224110.27</v>
      </c>
      <c r="I1410" s="15">
        <v>-282457.62</v>
      </c>
      <c r="J1410" s="104">
        <v>737024.55</v>
      </c>
      <c r="K1410" s="104">
        <v>-179.50266641212701</v>
      </c>
      <c r="L1410" s="15">
        <v>713580.94</v>
      </c>
      <c r="M1410" s="104">
        <v>1506567.89</v>
      </c>
      <c r="N1410" s="1">
        <v>1.5745787346429201</v>
      </c>
    </row>
    <row r="1411" spans="1:14" x14ac:dyDescent="0.25">
      <c r="A1411" t="e">
        <f t="shared" si="50"/>
        <v>#VALUE!</v>
      </c>
      <c r="B1411" t="e">
        <f t="shared" si="51"/>
        <v>#VALUE!</v>
      </c>
      <c r="C1411" t="s">
        <v>89</v>
      </c>
      <c r="D1411" s="104">
        <v>17868822.66</v>
      </c>
      <c r="E1411" s="15">
        <v>-428240.46</v>
      </c>
      <c r="F1411" s="15">
        <v>342974259.19999999</v>
      </c>
      <c r="G1411" s="105">
        <v>386684399.49000001</v>
      </c>
      <c r="H1411" s="15">
        <v>4897743.13</v>
      </c>
      <c r="I1411" s="15">
        <v>18297063.120000001</v>
      </c>
      <c r="J1411" s="104">
        <v>-2.3965790480344902</v>
      </c>
      <c r="K1411" s="104">
        <v>43710140.289999999</v>
      </c>
      <c r="L1411" s="15">
        <v>381786656.36000001</v>
      </c>
      <c r="M1411" s="104">
        <v>1.26659961882601</v>
      </c>
    </row>
  </sheetData>
  <mergeCells count="2">
    <mergeCell ref="D3:G3"/>
    <mergeCell ref="K3:N3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FA4A-6253-4D55-B248-32624C78DC68}">
  <dimension ref="A2:H312"/>
  <sheetViews>
    <sheetView topLeftCell="A260" workbookViewId="0">
      <selection activeCell="B4" sqref="B4:B309"/>
    </sheetView>
  </sheetViews>
  <sheetFormatPr defaultRowHeight="15.75" x14ac:dyDescent="0.25"/>
  <cols>
    <col min="1" max="1" width="22.44140625" customWidth="1"/>
    <col min="2" max="8" width="28" customWidth="1"/>
  </cols>
  <sheetData>
    <row r="2" spans="1:8" x14ac:dyDescent="0.25">
      <c r="B2" t="s">
        <v>2695</v>
      </c>
      <c r="C2" s="167" t="s">
        <v>2690</v>
      </c>
      <c r="D2" s="167" t="s">
        <v>2691</v>
      </c>
      <c r="E2" s="167" t="s">
        <v>2692</v>
      </c>
      <c r="F2" s="167" t="s">
        <v>2693</v>
      </c>
      <c r="G2" t="s">
        <v>2696</v>
      </c>
      <c r="H2" t="s">
        <v>2694</v>
      </c>
    </row>
    <row r="3" spans="1:8" x14ac:dyDescent="0.25">
      <c r="A3" t="s">
        <v>2697</v>
      </c>
      <c r="B3" s="168" t="s">
        <v>2735</v>
      </c>
      <c r="C3">
        <v>0</v>
      </c>
      <c r="D3">
        <v>50002.06</v>
      </c>
      <c r="E3">
        <v>0</v>
      </c>
      <c r="F3">
        <v>346210.55</v>
      </c>
      <c r="G3">
        <f>SUM(Table1[[#This Row],[REVN]]*-1)</f>
        <v>0</v>
      </c>
      <c r="H3">
        <f>Table1[[#This Row],[COER]]</f>
        <v>50002.06</v>
      </c>
    </row>
    <row r="4" spans="1:8" x14ac:dyDescent="0.25">
      <c r="B4" s="252">
        <v>21041</v>
      </c>
      <c r="C4">
        <v>0</v>
      </c>
      <c r="D4">
        <v>211.9</v>
      </c>
      <c r="E4">
        <v>0</v>
      </c>
      <c r="F4">
        <v>0</v>
      </c>
      <c r="G4">
        <f>SUM(Table1[[#This Row],[REVN]]*-1)</f>
        <v>0</v>
      </c>
      <c r="H4">
        <f>Table1[[#This Row],[COER]]</f>
        <v>211.9</v>
      </c>
    </row>
    <row r="5" spans="1:8" x14ac:dyDescent="0.25">
      <c r="B5" s="252">
        <v>21044</v>
      </c>
      <c r="C5">
        <v>-12204</v>
      </c>
      <c r="D5">
        <v>1293.27</v>
      </c>
      <c r="E5">
        <v>0</v>
      </c>
      <c r="F5">
        <v>0</v>
      </c>
      <c r="G5">
        <f>SUM(Table1[[#This Row],[REVN]]*-1)</f>
        <v>12204</v>
      </c>
      <c r="H5">
        <f>Table1[[#This Row],[COER]]</f>
        <v>1293.27</v>
      </c>
    </row>
    <row r="6" spans="1:8" x14ac:dyDescent="0.25">
      <c r="B6" s="252">
        <v>21047</v>
      </c>
      <c r="C6">
        <v>-2750</v>
      </c>
      <c r="D6">
        <v>782.42</v>
      </c>
      <c r="E6">
        <v>0</v>
      </c>
      <c r="F6">
        <v>0</v>
      </c>
      <c r="G6">
        <f>SUM(Table1[[#This Row],[REVN]]*-1)</f>
        <v>2750</v>
      </c>
      <c r="H6">
        <f>Table1[[#This Row],[COER]]</f>
        <v>782.42</v>
      </c>
    </row>
    <row r="7" spans="1:8" x14ac:dyDescent="0.25">
      <c r="B7" s="252">
        <v>21048</v>
      </c>
      <c r="C7">
        <v>0</v>
      </c>
      <c r="D7">
        <v>0</v>
      </c>
      <c r="E7">
        <v>0</v>
      </c>
      <c r="F7">
        <v>0</v>
      </c>
      <c r="G7">
        <f>SUM(Table1[[#This Row],[REVN]]*-1)</f>
        <v>0</v>
      </c>
      <c r="H7">
        <f>Table1[[#This Row],[COER]]</f>
        <v>0</v>
      </c>
    </row>
    <row r="8" spans="1:8" x14ac:dyDescent="0.25">
      <c r="B8" s="252">
        <v>21053</v>
      </c>
      <c r="C8">
        <v>0</v>
      </c>
      <c r="D8">
        <v>0</v>
      </c>
      <c r="E8">
        <v>0</v>
      </c>
      <c r="F8">
        <v>0</v>
      </c>
      <c r="G8">
        <f>SUM(Table1[[#This Row],[REVN]]*-1)</f>
        <v>0</v>
      </c>
      <c r="H8">
        <f>Table1[[#This Row],[COER]]</f>
        <v>0</v>
      </c>
    </row>
    <row r="9" spans="1:8" x14ac:dyDescent="0.25">
      <c r="B9" s="252">
        <v>21056</v>
      </c>
      <c r="C9">
        <v>0</v>
      </c>
      <c r="D9">
        <v>0</v>
      </c>
      <c r="E9">
        <v>0</v>
      </c>
      <c r="F9">
        <v>0</v>
      </c>
      <c r="G9">
        <f>SUM(Table1[[#This Row],[REVN]]*-1)</f>
        <v>0</v>
      </c>
      <c r="H9">
        <f>Table1[[#This Row],[COER]]</f>
        <v>0</v>
      </c>
    </row>
    <row r="10" spans="1:8" x14ac:dyDescent="0.25">
      <c r="B10" s="252">
        <v>21057</v>
      </c>
      <c r="C10">
        <v>0</v>
      </c>
      <c r="D10">
        <v>0</v>
      </c>
      <c r="E10">
        <v>0</v>
      </c>
      <c r="F10">
        <v>0</v>
      </c>
      <c r="G10">
        <f>SUM(Table1[[#This Row],[REVN]]*-1)</f>
        <v>0</v>
      </c>
      <c r="H10">
        <f>Table1[[#This Row],[COER]]</f>
        <v>0</v>
      </c>
    </row>
    <row r="11" spans="1:8" x14ac:dyDescent="0.25">
      <c r="B11" s="252">
        <v>21060</v>
      </c>
      <c r="C11">
        <v>4652</v>
      </c>
      <c r="D11">
        <v>-951.62</v>
      </c>
      <c r="E11">
        <v>0</v>
      </c>
      <c r="F11">
        <v>0</v>
      </c>
      <c r="G11">
        <f>SUM(Table1[[#This Row],[REVN]]*-1)</f>
        <v>-4652</v>
      </c>
      <c r="H11">
        <f>Table1[[#This Row],[COER]]</f>
        <v>-951.62</v>
      </c>
    </row>
    <row r="12" spans="1:8" x14ac:dyDescent="0.25">
      <c r="B12" s="252">
        <v>21061</v>
      </c>
      <c r="C12">
        <v>0</v>
      </c>
      <c r="D12">
        <v>0</v>
      </c>
      <c r="E12">
        <v>0</v>
      </c>
      <c r="F12">
        <v>0</v>
      </c>
      <c r="G12">
        <f>SUM(Table1[[#This Row],[REVN]]*-1)</f>
        <v>0</v>
      </c>
      <c r="H12">
        <f>Table1[[#This Row],[COER]]</f>
        <v>0</v>
      </c>
    </row>
    <row r="13" spans="1:8" x14ac:dyDescent="0.25">
      <c r="B13" s="252">
        <v>21064</v>
      </c>
      <c r="C13">
        <v>0</v>
      </c>
      <c r="D13">
        <v>0</v>
      </c>
      <c r="E13">
        <v>0</v>
      </c>
      <c r="F13">
        <v>0</v>
      </c>
      <c r="G13">
        <f>SUM(Table1[[#This Row],[REVN]]*-1)</f>
        <v>0</v>
      </c>
      <c r="H13">
        <f>Table1[[#This Row],[COER]]</f>
        <v>0</v>
      </c>
    </row>
    <row r="14" spans="1:8" x14ac:dyDescent="0.25">
      <c r="B14" s="252">
        <v>21065</v>
      </c>
      <c r="C14">
        <v>-903</v>
      </c>
      <c r="D14">
        <v>959.37</v>
      </c>
      <c r="E14">
        <v>0</v>
      </c>
      <c r="F14">
        <v>0</v>
      </c>
      <c r="G14">
        <f>SUM(Table1[[#This Row],[REVN]]*-1)</f>
        <v>903</v>
      </c>
      <c r="H14">
        <f>Table1[[#This Row],[COER]]</f>
        <v>959.37</v>
      </c>
    </row>
    <row r="15" spans="1:8" x14ac:dyDescent="0.25">
      <c r="B15" s="252">
        <v>21067</v>
      </c>
      <c r="C15">
        <v>-129240.96000000001</v>
      </c>
      <c r="D15">
        <v>183712.32</v>
      </c>
      <c r="E15">
        <v>0</v>
      </c>
      <c r="F15">
        <v>0</v>
      </c>
      <c r="G15">
        <f>SUM(Table1[[#This Row],[REVN]]*-1)</f>
        <v>129240.96000000001</v>
      </c>
      <c r="H15">
        <f>Table1[[#This Row],[COER]]</f>
        <v>183712.32</v>
      </c>
    </row>
    <row r="16" spans="1:8" x14ac:dyDescent="0.25">
      <c r="B16" s="252">
        <v>21069</v>
      </c>
      <c r="C16">
        <v>0</v>
      </c>
      <c r="D16">
        <v>0</v>
      </c>
      <c r="E16">
        <v>0</v>
      </c>
      <c r="F16">
        <v>0</v>
      </c>
      <c r="G16">
        <f>SUM(Table1[[#This Row],[REVN]]*-1)</f>
        <v>0</v>
      </c>
      <c r="H16">
        <f>Table1[[#This Row],[COER]]</f>
        <v>0</v>
      </c>
    </row>
    <row r="17" spans="2:8" x14ac:dyDescent="0.25">
      <c r="B17" s="252">
        <v>21070</v>
      </c>
      <c r="C17">
        <v>11014.75</v>
      </c>
      <c r="D17">
        <v>29.27</v>
      </c>
      <c r="E17">
        <v>0</v>
      </c>
      <c r="F17">
        <v>0</v>
      </c>
      <c r="G17">
        <f>SUM(Table1[[#This Row],[REVN]]*-1)</f>
        <v>-11014.75</v>
      </c>
      <c r="H17">
        <f>Table1[[#This Row],[COER]]</f>
        <v>29.27</v>
      </c>
    </row>
    <row r="18" spans="2:8" x14ac:dyDescent="0.25">
      <c r="B18" s="252">
        <v>21071</v>
      </c>
      <c r="C18">
        <v>-20689.38</v>
      </c>
      <c r="D18">
        <v>14490.16</v>
      </c>
      <c r="E18">
        <v>0</v>
      </c>
      <c r="F18">
        <v>0</v>
      </c>
      <c r="G18">
        <f>SUM(Table1[[#This Row],[REVN]]*-1)</f>
        <v>20689.38</v>
      </c>
      <c r="H18">
        <f>Table1[[#This Row],[COER]]</f>
        <v>14490.16</v>
      </c>
    </row>
    <row r="19" spans="2:8" x14ac:dyDescent="0.25">
      <c r="B19" s="252">
        <v>21072</v>
      </c>
      <c r="C19">
        <v>0</v>
      </c>
      <c r="D19">
        <v>0</v>
      </c>
      <c r="E19">
        <v>0</v>
      </c>
      <c r="F19">
        <v>0</v>
      </c>
      <c r="G19">
        <f>SUM(Table1[[#This Row],[REVN]]*-1)</f>
        <v>0</v>
      </c>
      <c r="H19">
        <f>Table1[[#This Row],[COER]]</f>
        <v>0</v>
      </c>
    </row>
    <row r="20" spans="2:8" x14ac:dyDescent="0.25">
      <c r="B20" s="252">
        <v>21074</v>
      </c>
      <c r="C20">
        <v>0</v>
      </c>
      <c r="D20">
        <v>0</v>
      </c>
      <c r="E20">
        <v>0</v>
      </c>
      <c r="F20">
        <v>0</v>
      </c>
      <c r="G20">
        <f>SUM(Table1[[#This Row],[REVN]]*-1)</f>
        <v>0</v>
      </c>
      <c r="H20">
        <f>Table1[[#This Row],[COER]]</f>
        <v>0</v>
      </c>
    </row>
    <row r="21" spans="2:8" x14ac:dyDescent="0.25">
      <c r="B21" s="252">
        <v>21075</v>
      </c>
      <c r="C21">
        <v>-446145.75</v>
      </c>
      <c r="D21">
        <v>402796.02</v>
      </c>
      <c r="E21">
        <v>0</v>
      </c>
      <c r="F21">
        <v>0</v>
      </c>
      <c r="G21">
        <f>SUM(Table1[[#This Row],[REVN]]*-1)</f>
        <v>446145.75</v>
      </c>
      <c r="H21">
        <f>Table1[[#This Row],[COER]]</f>
        <v>402796.02</v>
      </c>
    </row>
    <row r="22" spans="2:8" x14ac:dyDescent="0.25">
      <c r="B22" s="252">
        <v>21077</v>
      </c>
      <c r="C22">
        <v>-107171.73</v>
      </c>
      <c r="D22">
        <v>118162.38</v>
      </c>
      <c r="E22">
        <v>0</v>
      </c>
      <c r="F22">
        <v>0</v>
      </c>
      <c r="G22">
        <f>SUM(Table1[[#This Row],[REVN]]*-1)</f>
        <v>107171.73</v>
      </c>
      <c r="H22">
        <f>Table1[[#This Row],[COER]]</f>
        <v>118162.38</v>
      </c>
    </row>
    <row r="23" spans="2:8" x14ac:dyDescent="0.25">
      <c r="B23" s="252">
        <v>21078</v>
      </c>
      <c r="C23">
        <v>0</v>
      </c>
      <c r="D23">
        <v>-205.54</v>
      </c>
      <c r="E23">
        <v>0</v>
      </c>
      <c r="F23">
        <v>0</v>
      </c>
      <c r="G23">
        <f>SUM(Table1[[#This Row],[REVN]]*-1)</f>
        <v>0</v>
      </c>
      <c r="H23">
        <f>Table1[[#This Row],[COER]]</f>
        <v>-205.54</v>
      </c>
    </row>
    <row r="24" spans="2:8" x14ac:dyDescent="0.25">
      <c r="B24" s="252">
        <v>21079</v>
      </c>
      <c r="C24">
        <v>0</v>
      </c>
      <c r="D24">
        <v>0</v>
      </c>
      <c r="E24">
        <v>0</v>
      </c>
      <c r="F24">
        <v>0</v>
      </c>
      <c r="G24">
        <f>SUM(Table1[[#This Row],[REVN]]*-1)</f>
        <v>0</v>
      </c>
      <c r="H24">
        <f>Table1[[#This Row],[COER]]</f>
        <v>0</v>
      </c>
    </row>
    <row r="25" spans="2:8" x14ac:dyDescent="0.25">
      <c r="B25" s="252">
        <v>21088</v>
      </c>
      <c r="C25">
        <v>0</v>
      </c>
      <c r="D25">
        <v>0</v>
      </c>
      <c r="E25">
        <v>0</v>
      </c>
      <c r="F25">
        <v>0</v>
      </c>
      <c r="G25">
        <f>SUM(Table1[[#This Row],[REVN]]*-1)</f>
        <v>0</v>
      </c>
      <c r="H25">
        <f>Table1[[#This Row],[COER]]</f>
        <v>0</v>
      </c>
    </row>
    <row r="26" spans="2:8" x14ac:dyDescent="0.25">
      <c r="B26" s="252">
        <v>21089</v>
      </c>
      <c r="C26">
        <v>0</v>
      </c>
      <c r="D26">
        <v>0</v>
      </c>
      <c r="E26">
        <v>0</v>
      </c>
      <c r="F26">
        <v>0</v>
      </c>
      <c r="G26">
        <f>SUM(Table1[[#This Row],[REVN]]*-1)</f>
        <v>0</v>
      </c>
      <c r="H26">
        <f>Table1[[#This Row],[COER]]</f>
        <v>0</v>
      </c>
    </row>
    <row r="27" spans="2:8" x14ac:dyDescent="0.25">
      <c r="B27" s="252">
        <v>21096</v>
      </c>
      <c r="C27">
        <v>0</v>
      </c>
      <c r="D27">
        <v>0</v>
      </c>
      <c r="E27">
        <v>0</v>
      </c>
      <c r="F27">
        <v>0</v>
      </c>
      <c r="G27">
        <f>SUM(Table1[[#This Row],[REVN]]*-1)</f>
        <v>0</v>
      </c>
      <c r="H27">
        <f>Table1[[#This Row],[COER]]</f>
        <v>0</v>
      </c>
    </row>
    <row r="28" spans="2:8" x14ac:dyDescent="0.25">
      <c r="B28" s="252">
        <v>21099</v>
      </c>
      <c r="C28">
        <v>0</v>
      </c>
      <c r="D28">
        <v>265.91000000000003</v>
      </c>
      <c r="E28">
        <v>0</v>
      </c>
      <c r="F28">
        <v>0</v>
      </c>
      <c r="G28">
        <f>SUM(Table1[[#This Row],[REVN]]*-1)</f>
        <v>0</v>
      </c>
      <c r="H28">
        <f>Table1[[#This Row],[COER]]</f>
        <v>265.91000000000003</v>
      </c>
    </row>
    <row r="29" spans="2:8" x14ac:dyDescent="0.25">
      <c r="B29" s="252">
        <v>21103</v>
      </c>
      <c r="C29">
        <v>0</v>
      </c>
      <c r="D29">
        <v>0</v>
      </c>
      <c r="E29">
        <v>0</v>
      </c>
      <c r="F29">
        <v>0</v>
      </c>
      <c r="G29">
        <f>SUM(Table1[[#This Row],[REVN]]*-1)</f>
        <v>0</v>
      </c>
      <c r="H29">
        <f>Table1[[#This Row],[COER]]</f>
        <v>0</v>
      </c>
    </row>
    <row r="30" spans="2:8" x14ac:dyDescent="0.25">
      <c r="B30" s="252">
        <v>21108</v>
      </c>
      <c r="C30">
        <v>0</v>
      </c>
      <c r="D30">
        <v>0</v>
      </c>
      <c r="E30">
        <v>0</v>
      </c>
      <c r="F30">
        <v>0</v>
      </c>
      <c r="G30">
        <f>SUM(Table1[[#This Row],[REVN]]*-1)</f>
        <v>0</v>
      </c>
      <c r="H30">
        <f>Table1[[#This Row],[COER]]</f>
        <v>0</v>
      </c>
    </row>
    <row r="31" spans="2:8" x14ac:dyDescent="0.25">
      <c r="B31" s="252">
        <v>21113</v>
      </c>
      <c r="C31">
        <v>0</v>
      </c>
      <c r="D31">
        <v>0</v>
      </c>
      <c r="E31">
        <v>0</v>
      </c>
      <c r="F31">
        <v>0</v>
      </c>
      <c r="G31">
        <f>SUM(Table1[[#This Row],[REVN]]*-1)</f>
        <v>0</v>
      </c>
      <c r="H31">
        <f>Table1[[#This Row],[COER]]</f>
        <v>0</v>
      </c>
    </row>
    <row r="32" spans="2:8" x14ac:dyDescent="0.25">
      <c r="B32" s="252">
        <v>21114</v>
      </c>
      <c r="C32">
        <v>-77425.2</v>
      </c>
      <c r="D32">
        <v>51498.28</v>
      </c>
      <c r="E32">
        <v>0</v>
      </c>
      <c r="F32">
        <v>0</v>
      </c>
      <c r="G32">
        <f>SUM(Table1[[#This Row],[REVN]]*-1)</f>
        <v>77425.2</v>
      </c>
      <c r="H32">
        <f>Table1[[#This Row],[COER]]</f>
        <v>51498.28</v>
      </c>
    </row>
    <row r="33" spans="2:8" x14ac:dyDescent="0.25">
      <c r="B33" s="252">
        <v>21115</v>
      </c>
      <c r="C33">
        <v>0</v>
      </c>
      <c r="D33">
        <v>0</v>
      </c>
      <c r="E33">
        <v>0</v>
      </c>
      <c r="F33">
        <v>0</v>
      </c>
      <c r="G33">
        <f>SUM(Table1[[#This Row],[REVN]]*-1)</f>
        <v>0</v>
      </c>
      <c r="H33">
        <f>Table1[[#This Row],[COER]]</f>
        <v>0</v>
      </c>
    </row>
    <row r="34" spans="2:8" x14ac:dyDescent="0.25">
      <c r="B34" s="252">
        <v>21121</v>
      </c>
      <c r="C34">
        <v>0</v>
      </c>
      <c r="D34">
        <v>0</v>
      </c>
      <c r="E34">
        <v>0</v>
      </c>
      <c r="F34">
        <v>0</v>
      </c>
      <c r="G34">
        <f>SUM(Table1[[#This Row],[REVN]]*-1)</f>
        <v>0</v>
      </c>
      <c r="H34">
        <f>Table1[[#This Row],[COER]]</f>
        <v>0</v>
      </c>
    </row>
    <row r="35" spans="2:8" x14ac:dyDescent="0.25">
      <c r="B35" s="252">
        <v>21123</v>
      </c>
      <c r="C35">
        <v>0</v>
      </c>
      <c r="D35">
        <v>630</v>
      </c>
      <c r="E35">
        <v>0</v>
      </c>
      <c r="F35">
        <v>0</v>
      </c>
      <c r="G35">
        <f>SUM(Table1[[#This Row],[REVN]]*-1)</f>
        <v>0</v>
      </c>
      <c r="H35">
        <f>Table1[[#This Row],[COER]]</f>
        <v>630</v>
      </c>
    </row>
    <row r="36" spans="2:8" x14ac:dyDescent="0.25">
      <c r="B36" s="252">
        <v>21124</v>
      </c>
      <c r="C36">
        <v>-56429.51</v>
      </c>
      <c r="D36">
        <v>50301.71</v>
      </c>
      <c r="E36">
        <v>0</v>
      </c>
      <c r="F36">
        <v>0</v>
      </c>
      <c r="G36">
        <f>SUM(Table1[[#This Row],[REVN]]*-1)</f>
        <v>56429.51</v>
      </c>
      <c r="H36">
        <f>Table1[[#This Row],[COER]]</f>
        <v>50301.71</v>
      </c>
    </row>
    <row r="37" spans="2:8" x14ac:dyDescent="0.25">
      <c r="B37" s="252">
        <v>21128</v>
      </c>
      <c r="C37">
        <v>0</v>
      </c>
      <c r="D37">
        <v>0</v>
      </c>
      <c r="E37">
        <v>0</v>
      </c>
      <c r="F37">
        <v>0</v>
      </c>
      <c r="G37">
        <f>SUM(Table1[[#This Row],[REVN]]*-1)</f>
        <v>0</v>
      </c>
      <c r="H37">
        <f>Table1[[#This Row],[COER]]</f>
        <v>0</v>
      </c>
    </row>
    <row r="38" spans="2:8" x14ac:dyDescent="0.25">
      <c r="B38" s="252">
        <v>21129</v>
      </c>
      <c r="C38">
        <v>0</v>
      </c>
      <c r="D38">
        <v>974.25</v>
      </c>
      <c r="E38">
        <v>0</v>
      </c>
      <c r="F38">
        <v>0</v>
      </c>
      <c r="G38">
        <f>SUM(Table1[[#This Row],[REVN]]*-1)</f>
        <v>0</v>
      </c>
      <c r="H38">
        <f>Table1[[#This Row],[COER]]</f>
        <v>974.25</v>
      </c>
    </row>
    <row r="39" spans="2:8" x14ac:dyDescent="0.25">
      <c r="B39" s="252">
        <v>21130</v>
      </c>
      <c r="C39">
        <v>-16585.189999999999</v>
      </c>
      <c r="D39">
        <v>14660.28</v>
      </c>
      <c r="E39">
        <v>0</v>
      </c>
      <c r="F39">
        <v>0</v>
      </c>
      <c r="G39">
        <f>SUM(Table1[[#This Row],[REVN]]*-1)</f>
        <v>16585.189999999999</v>
      </c>
      <c r="H39">
        <f>Table1[[#This Row],[COER]]</f>
        <v>14660.28</v>
      </c>
    </row>
    <row r="40" spans="2:8" x14ac:dyDescent="0.25">
      <c r="B40" s="252">
        <v>21131</v>
      </c>
      <c r="C40">
        <v>-20944.04</v>
      </c>
      <c r="D40">
        <v>27199.01</v>
      </c>
      <c r="E40">
        <v>0</v>
      </c>
      <c r="F40">
        <v>0</v>
      </c>
      <c r="G40">
        <f>SUM(Table1[[#This Row],[REVN]]*-1)</f>
        <v>20944.04</v>
      </c>
      <c r="H40">
        <f>Table1[[#This Row],[COER]]</f>
        <v>27199.01</v>
      </c>
    </row>
    <row r="41" spans="2:8" x14ac:dyDescent="0.25">
      <c r="B41" s="252">
        <v>21132</v>
      </c>
      <c r="C41">
        <v>0</v>
      </c>
      <c r="D41">
        <v>0</v>
      </c>
      <c r="E41">
        <v>0</v>
      </c>
      <c r="F41">
        <v>0</v>
      </c>
      <c r="G41">
        <f>SUM(Table1[[#This Row],[REVN]]*-1)</f>
        <v>0</v>
      </c>
      <c r="H41">
        <f>Table1[[#This Row],[COER]]</f>
        <v>0</v>
      </c>
    </row>
    <row r="42" spans="2:8" x14ac:dyDescent="0.25">
      <c r="B42" s="252">
        <v>21134</v>
      </c>
      <c r="C42">
        <v>0</v>
      </c>
      <c r="D42">
        <v>0</v>
      </c>
      <c r="E42">
        <v>0</v>
      </c>
      <c r="F42">
        <v>0</v>
      </c>
      <c r="G42">
        <f>SUM(Table1[[#This Row],[REVN]]*-1)</f>
        <v>0</v>
      </c>
      <c r="H42">
        <f>Table1[[#This Row],[COER]]</f>
        <v>0</v>
      </c>
    </row>
    <row r="43" spans="2:8" x14ac:dyDescent="0.25">
      <c r="B43" s="252">
        <v>21135</v>
      </c>
      <c r="C43">
        <v>0</v>
      </c>
      <c r="D43">
        <v>0</v>
      </c>
      <c r="E43">
        <v>0</v>
      </c>
      <c r="F43">
        <v>0</v>
      </c>
      <c r="G43">
        <f>SUM(Table1[[#This Row],[REVN]]*-1)</f>
        <v>0</v>
      </c>
      <c r="H43">
        <f>Table1[[#This Row],[COER]]</f>
        <v>0</v>
      </c>
    </row>
    <row r="44" spans="2:8" x14ac:dyDescent="0.25">
      <c r="B44" s="252">
        <v>21137</v>
      </c>
      <c r="C44">
        <v>-176306.83</v>
      </c>
      <c r="D44">
        <v>147225.73000000001</v>
      </c>
      <c r="E44">
        <v>0</v>
      </c>
      <c r="F44">
        <v>0</v>
      </c>
      <c r="G44">
        <f>SUM(Table1[[#This Row],[REVN]]*-1)</f>
        <v>176306.83</v>
      </c>
      <c r="H44">
        <f>Table1[[#This Row],[COER]]</f>
        <v>147225.73000000001</v>
      </c>
    </row>
    <row r="45" spans="2:8" x14ac:dyDescent="0.25">
      <c r="B45" s="252">
        <v>21143</v>
      </c>
      <c r="C45">
        <v>-791.22</v>
      </c>
      <c r="D45">
        <v>68755.09</v>
      </c>
      <c r="E45">
        <v>0</v>
      </c>
      <c r="F45">
        <v>0</v>
      </c>
      <c r="G45">
        <f>SUM(Table1[[#This Row],[REVN]]*-1)</f>
        <v>791.22</v>
      </c>
      <c r="H45">
        <f>Table1[[#This Row],[COER]]</f>
        <v>68755.09</v>
      </c>
    </row>
    <row r="46" spans="2:8" x14ac:dyDescent="0.25">
      <c r="B46" s="252">
        <v>21145</v>
      </c>
      <c r="C46">
        <v>0</v>
      </c>
      <c r="D46">
        <v>0</v>
      </c>
      <c r="E46">
        <v>0</v>
      </c>
      <c r="F46">
        <v>0</v>
      </c>
      <c r="G46">
        <f>SUM(Table1[[#This Row],[REVN]]*-1)</f>
        <v>0</v>
      </c>
      <c r="H46">
        <f>Table1[[#This Row],[COER]]</f>
        <v>0</v>
      </c>
    </row>
    <row r="47" spans="2:8" x14ac:dyDescent="0.25">
      <c r="B47" s="252">
        <v>21149</v>
      </c>
      <c r="C47">
        <v>-21489.79</v>
      </c>
      <c r="D47">
        <v>24053.09</v>
      </c>
      <c r="E47">
        <v>0</v>
      </c>
      <c r="F47">
        <v>0</v>
      </c>
      <c r="G47">
        <f>SUM(Table1[[#This Row],[REVN]]*-1)</f>
        <v>21489.79</v>
      </c>
      <c r="H47">
        <f>Table1[[#This Row],[COER]]</f>
        <v>24053.09</v>
      </c>
    </row>
    <row r="48" spans="2:8" x14ac:dyDescent="0.25">
      <c r="B48" s="252">
        <v>21152</v>
      </c>
      <c r="C48">
        <v>-142504.17000000001</v>
      </c>
      <c r="D48">
        <v>123537.37</v>
      </c>
      <c r="E48">
        <v>0</v>
      </c>
      <c r="F48">
        <v>0</v>
      </c>
      <c r="G48">
        <f>SUM(Table1[[#This Row],[REVN]]*-1)</f>
        <v>142504.17000000001</v>
      </c>
      <c r="H48">
        <f>Table1[[#This Row],[COER]]</f>
        <v>123537.37</v>
      </c>
    </row>
    <row r="49" spans="2:8" x14ac:dyDescent="0.25">
      <c r="B49" s="252">
        <v>21159</v>
      </c>
      <c r="C49">
        <v>0</v>
      </c>
      <c r="D49">
        <v>0</v>
      </c>
      <c r="E49">
        <v>0</v>
      </c>
      <c r="F49">
        <v>0</v>
      </c>
      <c r="G49">
        <f>SUM(Table1[[#This Row],[REVN]]*-1)</f>
        <v>0</v>
      </c>
      <c r="H49">
        <f>Table1[[#This Row],[COER]]</f>
        <v>0</v>
      </c>
    </row>
    <row r="50" spans="2:8" x14ac:dyDescent="0.25">
      <c r="B50" s="252">
        <v>21162</v>
      </c>
      <c r="C50">
        <v>0</v>
      </c>
      <c r="D50">
        <v>0</v>
      </c>
      <c r="E50">
        <v>0</v>
      </c>
      <c r="F50">
        <v>0</v>
      </c>
      <c r="G50">
        <f>SUM(Table1[[#This Row],[REVN]]*-1)</f>
        <v>0</v>
      </c>
      <c r="H50">
        <f>Table1[[#This Row],[COER]]</f>
        <v>0</v>
      </c>
    </row>
    <row r="51" spans="2:8" x14ac:dyDescent="0.25">
      <c r="B51" s="252">
        <v>21164</v>
      </c>
      <c r="C51">
        <v>-117076.53</v>
      </c>
      <c r="D51">
        <v>114528.55</v>
      </c>
      <c r="E51">
        <v>0</v>
      </c>
      <c r="F51">
        <v>0</v>
      </c>
      <c r="G51">
        <f>SUM(Table1[[#This Row],[REVN]]*-1)</f>
        <v>117076.53</v>
      </c>
      <c r="H51">
        <f>Table1[[#This Row],[COER]]</f>
        <v>114528.55</v>
      </c>
    </row>
    <row r="52" spans="2:8" x14ac:dyDescent="0.25">
      <c r="B52" s="252">
        <v>21165</v>
      </c>
      <c r="C52">
        <v>0</v>
      </c>
      <c r="D52">
        <v>-45923.16</v>
      </c>
      <c r="E52">
        <v>0</v>
      </c>
      <c r="F52">
        <v>0</v>
      </c>
      <c r="G52">
        <f>SUM(Table1[[#This Row],[REVN]]*-1)</f>
        <v>0</v>
      </c>
      <c r="H52">
        <f>Table1[[#This Row],[COER]]</f>
        <v>-45923.16</v>
      </c>
    </row>
    <row r="53" spans="2:8" x14ac:dyDescent="0.25">
      <c r="B53" s="252">
        <v>21170</v>
      </c>
      <c r="C53">
        <v>0</v>
      </c>
      <c r="D53">
        <v>353.05</v>
      </c>
      <c r="E53">
        <v>0</v>
      </c>
      <c r="F53">
        <v>0</v>
      </c>
      <c r="G53">
        <f>SUM(Table1[[#This Row],[REVN]]*-1)</f>
        <v>0</v>
      </c>
      <c r="H53">
        <f>Table1[[#This Row],[COER]]</f>
        <v>353.05</v>
      </c>
    </row>
    <row r="54" spans="2:8" x14ac:dyDescent="0.25">
      <c r="B54" s="252">
        <v>21171</v>
      </c>
      <c r="C54">
        <v>-10001</v>
      </c>
      <c r="D54">
        <v>9014.15</v>
      </c>
      <c r="E54">
        <v>0</v>
      </c>
      <c r="F54">
        <v>0</v>
      </c>
      <c r="G54">
        <f>SUM(Table1[[#This Row],[REVN]]*-1)</f>
        <v>10001</v>
      </c>
      <c r="H54">
        <f>Table1[[#This Row],[COER]]</f>
        <v>9014.15</v>
      </c>
    </row>
    <row r="55" spans="2:8" x14ac:dyDescent="0.25">
      <c r="B55" s="252">
        <v>21172</v>
      </c>
      <c r="C55">
        <v>-111078.47</v>
      </c>
      <c r="D55">
        <v>138495.51</v>
      </c>
      <c r="E55">
        <v>0</v>
      </c>
      <c r="F55">
        <v>0</v>
      </c>
      <c r="G55">
        <f>SUM(Table1[[#This Row],[REVN]]*-1)</f>
        <v>111078.47</v>
      </c>
      <c r="H55">
        <f>Table1[[#This Row],[COER]]</f>
        <v>138495.51</v>
      </c>
    </row>
    <row r="56" spans="2:8" x14ac:dyDescent="0.25">
      <c r="B56" s="252">
        <v>21173</v>
      </c>
      <c r="C56">
        <v>-5552.48</v>
      </c>
      <c r="D56">
        <v>10493.35</v>
      </c>
      <c r="E56">
        <v>0</v>
      </c>
      <c r="F56">
        <v>0</v>
      </c>
      <c r="G56">
        <f>SUM(Table1[[#This Row],[REVN]]*-1)</f>
        <v>5552.48</v>
      </c>
      <c r="H56">
        <f>Table1[[#This Row],[COER]]</f>
        <v>10493.35</v>
      </c>
    </row>
    <row r="57" spans="2:8" x14ac:dyDescent="0.25">
      <c r="B57" s="252">
        <v>21174</v>
      </c>
      <c r="C57">
        <v>0</v>
      </c>
      <c r="D57">
        <v>-106.14</v>
      </c>
      <c r="E57">
        <v>0</v>
      </c>
      <c r="F57">
        <v>0</v>
      </c>
      <c r="G57">
        <f>SUM(Table1[[#This Row],[REVN]]*-1)</f>
        <v>0</v>
      </c>
      <c r="H57">
        <f>Table1[[#This Row],[COER]]</f>
        <v>-106.14</v>
      </c>
    </row>
    <row r="58" spans="2:8" x14ac:dyDescent="0.25">
      <c r="B58" s="252">
        <v>21178</v>
      </c>
      <c r="C58">
        <v>-175370.22</v>
      </c>
      <c r="D58">
        <v>110893.91</v>
      </c>
      <c r="E58">
        <v>0</v>
      </c>
      <c r="F58">
        <v>0</v>
      </c>
      <c r="G58">
        <f>SUM(Table1[[#This Row],[REVN]]*-1)</f>
        <v>175370.22</v>
      </c>
      <c r="H58">
        <f>Table1[[#This Row],[COER]]</f>
        <v>110893.91</v>
      </c>
    </row>
    <row r="59" spans="2:8" x14ac:dyDescent="0.25">
      <c r="B59" s="252">
        <v>21187</v>
      </c>
      <c r="C59">
        <v>0</v>
      </c>
      <c r="D59">
        <v>0</v>
      </c>
      <c r="E59">
        <v>0</v>
      </c>
      <c r="F59">
        <v>0</v>
      </c>
      <c r="G59">
        <f>SUM(Table1[[#This Row],[REVN]]*-1)</f>
        <v>0</v>
      </c>
      <c r="H59">
        <f>Table1[[#This Row],[COER]]</f>
        <v>0</v>
      </c>
    </row>
    <row r="60" spans="2:8" x14ac:dyDescent="0.25">
      <c r="B60" s="252">
        <v>21188</v>
      </c>
      <c r="C60">
        <v>-454290.63</v>
      </c>
      <c r="D60">
        <v>389614.34</v>
      </c>
      <c r="E60">
        <v>0</v>
      </c>
      <c r="F60">
        <v>0</v>
      </c>
      <c r="G60">
        <f>SUM(Table1[[#This Row],[REVN]]*-1)</f>
        <v>454290.63</v>
      </c>
      <c r="H60">
        <f>Table1[[#This Row],[COER]]</f>
        <v>389614.34</v>
      </c>
    </row>
    <row r="61" spans="2:8" x14ac:dyDescent="0.25">
      <c r="B61" s="252">
        <v>21189</v>
      </c>
      <c r="C61">
        <v>-4990.7</v>
      </c>
      <c r="D61">
        <v>20406.490000000002</v>
      </c>
      <c r="E61">
        <v>0</v>
      </c>
      <c r="F61">
        <v>0</v>
      </c>
      <c r="G61">
        <f>SUM(Table1[[#This Row],[REVN]]*-1)</f>
        <v>4990.7</v>
      </c>
      <c r="H61">
        <f>Table1[[#This Row],[COER]]</f>
        <v>20406.490000000002</v>
      </c>
    </row>
    <row r="62" spans="2:8" x14ac:dyDescent="0.25">
      <c r="B62" s="252">
        <v>21191</v>
      </c>
      <c r="C62">
        <v>0</v>
      </c>
      <c r="D62">
        <v>0</v>
      </c>
      <c r="E62">
        <v>0</v>
      </c>
      <c r="F62">
        <v>0</v>
      </c>
      <c r="G62">
        <f>SUM(Table1[[#This Row],[REVN]]*-1)</f>
        <v>0</v>
      </c>
      <c r="H62">
        <f>Table1[[#This Row],[COER]]</f>
        <v>0</v>
      </c>
    </row>
    <row r="63" spans="2:8" x14ac:dyDescent="0.25">
      <c r="B63" s="252">
        <v>21196</v>
      </c>
      <c r="C63">
        <v>-1964.41</v>
      </c>
      <c r="D63">
        <v>2778.31</v>
      </c>
      <c r="E63">
        <v>0</v>
      </c>
      <c r="F63">
        <v>0</v>
      </c>
      <c r="G63">
        <f>SUM(Table1[[#This Row],[REVN]]*-1)</f>
        <v>1964.41</v>
      </c>
      <c r="H63">
        <f>Table1[[#This Row],[COER]]</f>
        <v>2778.31</v>
      </c>
    </row>
    <row r="64" spans="2:8" x14ac:dyDescent="0.25">
      <c r="B64" s="252">
        <v>21197</v>
      </c>
      <c r="C64">
        <v>-44700.07</v>
      </c>
      <c r="D64">
        <v>58929.53</v>
      </c>
      <c r="E64">
        <v>0</v>
      </c>
      <c r="F64">
        <v>0</v>
      </c>
      <c r="G64">
        <f>SUM(Table1[[#This Row],[REVN]]*-1)</f>
        <v>44700.07</v>
      </c>
      <c r="H64">
        <f>Table1[[#This Row],[COER]]</f>
        <v>58929.53</v>
      </c>
    </row>
    <row r="65" spans="2:8" x14ac:dyDescent="0.25">
      <c r="B65" s="252">
        <v>21200</v>
      </c>
      <c r="C65">
        <v>0</v>
      </c>
      <c r="D65">
        <v>0</v>
      </c>
      <c r="E65">
        <v>0</v>
      </c>
      <c r="F65">
        <v>0</v>
      </c>
      <c r="G65">
        <f>SUM(Table1[[#This Row],[REVN]]*-1)</f>
        <v>0</v>
      </c>
      <c r="H65">
        <f>Table1[[#This Row],[COER]]</f>
        <v>0</v>
      </c>
    </row>
    <row r="66" spans="2:8" x14ac:dyDescent="0.25">
      <c r="B66" s="252">
        <v>21202</v>
      </c>
      <c r="C66">
        <v>-13412.5</v>
      </c>
      <c r="D66">
        <v>14222.34</v>
      </c>
      <c r="E66">
        <v>0</v>
      </c>
      <c r="F66">
        <v>0</v>
      </c>
      <c r="G66">
        <f>SUM(Table1[[#This Row],[REVN]]*-1)</f>
        <v>13412.5</v>
      </c>
      <c r="H66">
        <f>Table1[[#This Row],[COER]]</f>
        <v>14222.34</v>
      </c>
    </row>
    <row r="67" spans="2:8" x14ac:dyDescent="0.25">
      <c r="B67" s="252">
        <v>21203</v>
      </c>
      <c r="C67">
        <v>-76505.11</v>
      </c>
      <c r="D67">
        <v>70354.679999999993</v>
      </c>
      <c r="E67">
        <v>0</v>
      </c>
      <c r="F67">
        <v>0</v>
      </c>
      <c r="G67">
        <f>SUM(Table1[[#This Row],[REVN]]*-1)</f>
        <v>76505.11</v>
      </c>
      <c r="H67">
        <f>Table1[[#This Row],[COER]]</f>
        <v>70354.679999999993</v>
      </c>
    </row>
    <row r="68" spans="2:8" x14ac:dyDescent="0.25">
      <c r="B68" s="252">
        <v>21208</v>
      </c>
      <c r="C68">
        <v>0</v>
      </c>
      <c r="D68">
        <v>0</v>
      </c>
      <c r="E68">
        <v>0</v>
      </c>
      <c r="F68">
        <v>0</v>
      </c>
      <c r="G68">
        <f>SUM(Table1[[#This Row],[REVN]]*-1)</f>
        <v>0</v>
      </c>
      <c r="H68">
        <f>Table1[[#This Row],[COER]]</f>
        <v>0</v>
      </c>
    </row>
    <row r="69" spans="2:8" x14ac:dyDescent="0.25">
      <c r="B69" s="252">
        <v>21210</v>
      </c>
      <c r="C69">
        <v>-117140.71</v>
      </c>
      <c r="D69">
        <v>92008.38</v>
      </c>
      <c r="E69">
        <v>0</v>
      </c>
      <c r="F69">
        <v>0</v>
      </c>
      <c r="G69">
        <f>SUM(Table1[[#This Row],[REVN]]*-1)</f>
        <v>117140.71</v>
      </c>
      <c r="H69">
        <f>Table1[[#This Row],[COER]]</f>
        <v>92008.38</v>
      </c>
    </row>
    <row r="70" spans="2:8" x14ac:dyDescent="0.25">
      <c r="B70" s="252">
        <v>21213</v>
      </c>
      <c r="C70">
        <v>0</v>
      </c>
      <c r="D70">
        <v>29915</v>
      </c>
      <c r="E70">
        <v>0</v>
      </c>
      <c r="F70">
        <v>0</v>
      </c>
      <c r="G70">
        <f>SUM(Table1[[#This Row],[REVN]]*-1)</f>
        <v>0</v>
      </c>
      <c r="H70">
        <f>Table1[[#This Row],[COER]]</f>
        <v>29915</v>
      </c>
    </row>
    <row r="71" spans="2:8" x14ac:dyDescent="0.25">
      <c r="B71" s="252">
        <v>21214</v>
      </c>
      <c r="C71">
        <v>-3639.6</v>
      </c>
      <c r="D71">
        <v>-10111.41</v>
      </c>
      <c r="E71">
        <v>0</v>
      </c>
      <c r="F71">
        <v>0</v>
      </c>
      <c r="G71">
        <f>SUM(Table1[[#This Row],[REVN]]*-1)</f>
        <v>3639.6</v>
      </c>
      <c r="H71">
        <f>Table1[[#This Row],[COER]]</f>
        <v>-10111.41</v>
      </c>
    </row>
    <row r="72" spans="2:8" x14ac:dyDescent="0.25">
      <c r="B72" s="252">
        <v>21220</v>
      </c>
      <c r="C72">
        <v>0</v>
      </c>
      <c r="D72">
        <v>0</v>
      </c>
      <c r="E72">
        <v>0</v>
      </c>
      <c r="F72">
        <v>0</v>
      </c>
      <c r="G72">
        <f>SUM(Table1[[#This Row],[REVN]]*-1)</f>
        <v>0</v>
      </c>
      <c r="H72">
        <f>Table1[[#This Row],[COER]]</f>
        <v>0</v>
      </c>
    </row>
    <row r="73" spans="2:8" x14ac:dyDescent="0.25">
      <c r="B73" s="252">
        <v>21221</v>
      </c>
      <c r="C73">
        <v>-11119.1</v>
      </c>
      <c r="D73">
        <v>7049.8</v>
      </c>
      <c r="E73">
        <v>0</v>
      </c>
      <c r="F73">
        <v>0</v>
      </c>
      <c r="G73">
        <f>SUM(Table1[[#This Row],[REVN]]*-1)</f>
        <v>11119.1</v>
      </c>
      <c r="H73">
        <f>Table1[[#This Row],[COER]]</f>
        <v>7049.8</v>
      </c>
    </row>
    <row r="74" spans="2:8" x14ac:dyDescent="0.25">
      <c r="B74" s="252">
        <v>21235</v>
      </c>
      <c r="C74">
        <v>0</v>
      </c>
      <c r="D74">
        <v>1963.7</v>
      </c>
      <c r="E74">
        <v>0</v>
      </c>
      <c r="F74">
        <v>0</v>
      </c>
      <c r="G74">
        <f>SUM(Table1[[#This Row],[REVN]]*-1)</f>
        <v>0</v>
      </c>
      <c r="H74">
        <f>Table1[[#This Row],[COER]]</f>
        <v>1963.7</v>
      </c>
    </row>
    <row r="75" spans="2:8" x14ac:dyDescent="0.25">
      <c r="B75" s="252">
        <v>21242</v>
      </c>
      <c r="C75">
        <v>0</v>
      </c>
      <c r="D75">
        <v>0</v>
      </c>
      <c r="E75">
        <v>0</v>
      </c>
      <c r="F75">
        <v>0</v>
      </c>
      <c r="G75">
        <f>SUM(Table1[[#This Row],[REVN]]*-1)</f>
        <v>0</v>
      </c>
      <c r="H75">
        <f>Table1[[#This Row],[COER]]</f>
        <v>0</v>
      </c>
    </row>
    <row r="76" spans="2:8" x14ac:dyDescent="0.25">
      <c r="B76" s="252">
        <v>21244</v>
      </c>
      <c r="C76">
        <v>0</v>
      </c>
      <c r="D76">
        <v>0</v>
      </c>
      <c r="E76">
        <v>0</v>
      </c>
      <c r="F76">
        <v>0</v>
      </c>
      <c r="G76">
        <f>SUM(Table1[[#This Row],[REVN]]*-1)</f>
        <v>0</v>
      </c>
      <c r="H76">
        <f>Table1[[#This Row],[COER]]</f>
        <v>0</v>
      </c>
    </row>
    <row r="77" spans="2:8" x14ac:dyDescent="0.25">
      <c r="B77" s="252">
        <v>21245</v>
      </c>
      <c r="C77">
        <v>-1097845.3999999999</v>
      </c>
      <c r="D77">
        <v>1029185.62</v>
      </c>
      <c r="E77">
        <v>0</v>
      </c>
      <c r="F77">
        <v>0</v>
      </c>
      <c r="G77">
        <f>SUM(Table1[[#This Row],[REVN]]*-1)</f>
        <v>1097845.3999999999</v>
      </c>
      <c r="H77">
        <f>Table1[[#This Row],[COER]]</f>
        <v>1029185.62</v>
      </c>
    </row>
    <row r="78" spans="2:8" x14ac:dyDescent="0.25">
      <c r="B78" s="252">
        <v>21247</v>
      </c>
      <c r="C78">
        <v>-41140.44</v>
      </c>
      <c r="D78">
        <v>38387.96</v>
      </c>
      <c r="E78">
        <v>0</v>
      </c>
      <c r="F78">
        <v>0</v>
      </c>
      <c r="G78">
        <f>SUM(Table1[[#This Row],[REVN]]*-1)</f>
        <v>41140.44</v>
      </c>
      <c r="H78">
        <f>Table1[[#This Row],[COER]]</f>
        <v>38387.96</v>
      </c>
    </row>
    <row r="79" spans="2:8" x14ac:dyDescent="0.25">
      <c r="B79" s="252">
        <v>21248</v>
      </c>
      <c r="C79">
        <v>0</v>
      </c>
      <c r="D79">
        <v>711</v>
      </c>
      <c r="E79">
        <v>0</v>
      </c>
      <c r="F79">
        <v>0</v>
      </c>
      <c r="G79">
        <f>SUM(Table1[[#This Row],[REVN]]*-1)</f>
        <v>0</v>
      </c>
      <c r="H79">
        <f>Table1[[#This Row],[COER]]</f>
        <v>711</v>
      </c>
    </row>
    <row r="80" spans="2:8" x14ac:dyDescent="0.25">
      <c r="B80" s="252">
        <v>21249</v>
      </c>
      <c r="C80">
        <v>0</v>
      </c>
      <c r="D80">
        <v>1860</v>
      </c>
      <c r="E80">
        <v>0</v>
      </c>
      <c r="F80">
        <v>0</v>
      </c>
      <c r="G80">
        <f>SUM(Table1[[#This Row],[REVN]]*-1)</f>
        <v>0</v>
      </c>
      <c r="H80">
        <f>Table1[[#This Row],[COER]]</f>
        <v>1860</v>
      </c>
    </row>
    <row r="81" spans="2:8" x14ac:dyDescent="0.25">
      <c r="B81" s="252">
        <v>21250</v>
      </c>
      <c r="C81">
        <v>-3336</v>
      </c>
      <c r="D81">
        <v>2974.03</v>
      </c>
      <c r="E81">
        <v>0</v>
      </c>
      <c r="F81">
        <v>0</v>
      </c>
      <c r="G81">
        <f>SUM(Table1[[#This Row],[REVN]]*-1)</f>
        <v>3336</v>
      </c>
      <c r="H81">
        <f>Table1[[#This Row],[COER]]</f>
        <v>2974.03</v>
      </c>
    </row>
    <row r="82" spans="2:8" x14ac:dyDescent="0.25">
      <c r="B82" s="252">
        <v>21255</v>
      </c>
      <c r="C82">
        <v>0</v>
      </c>
      <c r="D82">
        <v>0</v>
      </c>
      <c r="E82">
        <v>0</v>
      </c>
      <c r="F82">
        <v>0</v>
      </c>
      <c r="G82">
        <f>SUM(Table1[[#This Row],[REVN]]*-1)</f>
        <v>0</v>
      </c>
      <c r="H82">
        <f>Table1[[#This Row],[COER]]</f>
        <v>0</v>
      </c>
    </row>
    <row r="83" spans="2:8" x14ac:dyDescent="0.25">
      <c r="B83" s="252">
        <v>21258</v>
      </c>
      <c r="C83">
        <v>0</v>
      </c>
      <c r="D83">
        <v>483.33</v>
      </c>
      <c r="E83">
        <v>0</v>
      </c>
      <c r="F83">
        <v>0</v>
      </c>
      <c r="G83">
        <f>SUM(Table1[[#This Row],[REVN]]*-1)</f>
        <v>0</v>
      </c>
      <c r="H83">
        <f>Table1[[#This Row],[COER]]</f>
        <v>483.33</v>
      </c>
    </row>
    <row r="84" spans="2:8" x14ac:dyDescent="0.25">
      <c r="B84" s="252">
        <v>21261</v>
      </c>
      <c r="C84">
        <v>0</v>
      </c>
      <c r="D84">
        <v>0</v>
      </c>
      <c r="E84">
        <v>0</v>
      </c>
      <c r="F84">
        <v>0</v>
      </c>
      <c r="G84">
        <f>SUM(Table1[[#This Row],[REVN]]*-1)</f>
        <v>0</v>
      </c>
      <c r="H84">
        <f>Table1[[#This Row],[COER]]</f>
        <v>0</v>
      </c>
    </row>
    <row r="85" spans="2:8" x14ac:dyDescent="0.25">
      <c r="B85" s="252">
        <v>21262</v>
      </c>
      <c r="C85">
        <v>0</v>
      </c>
      <c r="D85">
        <v>0</v>
      </c>
      <c r="E85">
        <v>0</v>
      </c>
      <c r="F85">
        <v>0</v>
      </c>
      <c r="G85">
        <f>SUM(Table1[[#This Row],[REVN]]*-1)</f>
        <v>0</v>
      </c>
      <c r="H85">
        <f>Table1[[#This Row],[COER]]</f>
        <v>0</v>
      </c>
    </row>
    <row r="86" spans="2:8" x14ac:dyDescent="0.25">
      <c r="B86" s="252">
        <v>21265</v>
      </c>
      <c r="C86">
        <v>-4864.07</v>
      </c>
      <c r="D86">
        <v>2626.36</v>
      </c>
      <c r="E86">
        <v>0</v>
      </c>
      <c r="F86">
        <v>0</v>
      </c>
      <c r="G86">
        <f>SUM(Table1[[#This Row],[REVN]]*-1)</f>
        <v>4864.07</v>
      </c>
      <c r="H86">
        <f>Table1[[#This Row],[COER]]</f>
        <v>2626.36</v>
      </c>
    </row>
    <row r="87" spans="2:8" x14ac:dyDescent="0.25">
      <c r="B87" s="252">
        <v>21269</v>
      </c>
      <c r="C87">
        <v>0</v>
      </c>
      <c r="D87">
        <v>0</v>
      </c>
      <c r="E87">
        <v>0</v>
      </c>
      <c r="F87">
        <v>0</v>
      </c>
      <c r="G87">
        <f>SUM(Table1[[#This Row],[REVN]]*-1)</f>
        <v>0</v>
      </c>
      <c r="H87">
        <f>Table1[[#This Row],[COER]]</f>
        <v>0</v>
      </c>
    </row>
    <row r="88" spans="2:8" x14ac:dyDescent="0.25">
      <c r="B88" s="252">
        <v>21271</v>
      </c>
      <c r="C88">
        <v>0</v>
      </c>
      <c r="D88">
        <v>0</v>
      </c>
      <c r="E88">
        <v>0</v>
      </c>
      <c r="F88">
        <v>0</v>
      </c>
      <c r="G88">
        <f>SUM(Table1[[#This Row],[REVN]]*-1)</f>
        <v>0</v>
      </c>
      <c r="H88">
        <f>Table1[[#This Row],[COER]]</f>
        <v>0</v>
      </c>
    </row>
    <row r="89" spans="2:8" x14ac:dyDescent="0.25">
      <c r="B89" s="252">
        <v>21273</v>
      </c>
      <c r="C89">
        <v>-117449</v>
      </c>
      <c r="D89">
        <v>83084.39</v>
      </c>
      <c r="E89">
        <v>0</v>
      </c>
      <c r="F89">
        <v>0</v>
      </c>
      <c r="G89">
        <f>SUM(Table1[[#This Row],[REVN]]*-1)</f>
        <v>117449</v>
      </c>
      <c r="H89">
        <f>Table1[[#This Row],[COER]]</f>
        <v>83084.39</v>
      </c>
    </row>
    <row r="90" spans="2:8" x14ac:dyDescent="0.25">
      <c r="B90" s="252">
        <v>21276</v>
      </c>
      <c r="C90">
        <v>-11881.46</v>
      </c>
      <c r="D90">
        <v>10335.719999999999</v>
      </c>
      <c r="E90">
        <v>0</v>
      </c>
      <c r="F90">
        <v>0</v>
      </c>
      <c r="G90">
        <f>SUM(Table1[[#This Row],[REVN]]*-1)</f>
        <v>11881.46</v>
      </c>
      <c r="H90">
        <f>Table1[[#This Row],[COER]]</f>
        <v>10335.719999999999</v>
      </c>
    </row>
    <row r="91" spans="2:8" x14ac:dyDescent="0.25">
      <c r="B91" s="252">
        <v>21277</v>
      </c>
      <c r="C91">
        <v>0</v>
      </c>
      <c r="D91">
        <v>0</v>
      </c>
      <c r="E91">
        <v>0</v>
      </c>
      <c r="F91">
        <v>0</v>
      </c>
      <c r="G91">
        <f>SUM(Table1[[#This Row],[REVN]]*-1)</f>
        <v>0</v>
      </c>
      <c r="H91">
        <f>Table1[[#This Row],[COER]]</f>
        <v>0</v>
      </c>
    </row>
    <row r="92" spans="2:8" x14ac:dyDescent="0.25">
      <c r="B92" s="252">
        <v>21279</v>
      </c>
      <c r="C92">
        <v>0</v>
      </c>
      <c r="D92">
        <v>0</v>
      </c>
      <c r="E92">
        <v>0</v>
      </c>
      <c r="F92">
        <v>0</v>
      </c>
      <c r="G92">
        <f>SUM(Table1[[#This Row],[REVN]]*-1)</f>
        <v>0</v>
      </c>
      <c r="H92">
        <f>Table1[[#This Row],[COER]]</f>
        <v>0</v>
      </c>
    </row>
    <row r="93" spans="2:8" x14ac:dyDescent="0.25">
      <c r="B93" s="252">
        <v>21280</v>
      </c>
      <c r="C93">
        <v>-82709.94</v>
      </c>
      <c r="D93">
        <v>177509.71</v>
      </c>
      <c r="E93">
        <v>0</v>
      </c>
      <c r="F93">
        <v>0</v>
      </c>
      <c r="G93">
        <f>SUM(Table1[[#This Row],[REVN]]*-1)</f>
        <v>82709.94</v>
      </c>
      <c r="H93">
        <f>Table1[[#This Row],[COER]]</f>
        <v>177509.71</v>
      </c>
    </row>
    <row r="94" spans="2:8" x14ac:dyDescent="0.25">
      <c r="B94" s="252">
        <v>21281</v>
      </c>
      <c r="C94">
        <v>0</v>
      </c>
      <c r="D94">
        <v>0</v>
      </c>
      <c r="E94">
        <v>0</v>
      </c>
      <c r="F94">
        <v>0</v>
      </c>
      <c r="G94">
        <f>SUM(Table1[[#This Row],[REVN]]*-1)</f>
        <v>0</v>
      </c>
      <c r="H94">
        <f>Table1[[#This Row],[COER]]</f>
        <v>0</v>
      </c>
    </row>
    <row r="95" spans="2:8" x14ac:dyDescent="0.25">
      <c r="B95" s="252">
        <v>21282</v>
      </c>
      <c r="C95">
        <v>0</v>
      </c>
      <c r="D95">
        <v>0</v>
      </c>
      <c r="E95">
        <v>0</v>
      </c>
      <c r="F95">
        <v>0</v>
      </c>
      <c r="G95">
        <f>SUM(Table1[[#This Row],[REVN]]*-1)</f>
        <v>0</v>
      </c>
      <c r="H95">
        <f>Table1[[#This Row],[COER]]</f>
        <v>0</v>
      </c>
    </row>
    <row r="96" spans="2:8" x14ac:dyDescent="0.25">
      <c r="B96" s="252">
        <v>21283</v>
      </c>
      <c r="C96">
        <v>0</v>
      </c>
      <c r="D96">
        <v>0</v>
      </c>
      <c r="E96">
        <v>0</v>
      </c>
      <c r="F96">
        <v>0</v>
      </c>
      <c r="G96">
        <f>SUM(Table1[[#This Row],[REVN]]*-1)</f>
        <v>0</v>
      </c>
      <c r="H96">
        <f>Table1[[#This Row],[COER]]</f>
        <v>0</v>
      </c>
    </row>
    <row r="97" spans="2:8" x14ac:dyDescent="0.25">
      <c r="B97" s="252">
        <v>21286</v>
      </c>
      <c r="C97">
        <v>0</v>
      </c>
      <c r="D97">
        <v>0</v>
      </c>
      <c r="E97">
        <v>0</v>
      </c>
      <c r="F97">
        <v>0</v>
      </c>
      <c r="G97">
        <f>SUM(Table1[[#This Row],[REVN]]*-1)</f>
        <v>0</v>
      </c>
      <c r="H97">
        <f>Table1[[#This Row],[COER]]</f>
        <v>0</v>
      </c>
    </row>
    <row r="98" spans="2:8" x14ac:dyDescent="0.25">
      <c r="B98" s="252">
        <v>21287</v>
      </c>
      <c r="C98">
        <v>0</v>
      </c>
      <c r="D98">
        <v>0</v>
      </c>
      <c r="E98">
        <v>0</v>
      </c>
      <c r="F98">
        <v>0</v>
      </c>
      <c r="G98">
        <f>SUM(Table1[[#This Row],[REVN]]*-1)</f>
        <v>0</v>
      </c>
      <c r="H98">
        <f>Table1[[#This Row],[COER]]</f>
        <v>0</v>
      </c>
    </row>
    <row r="99" spans="2:8" x14ac:dyDescent="0.25">
      <c r="B99" s="252">
        <v>21288</v>
      </c>
      <c r="C99">
        <v>0</v>
      </c>
      <c r="D99">
        <v>0</v>
      </c>
      <c r="E99">
        <v>0</v>
      </c>
      <c r="F99">
        <v>0</v>
      </c>
      <c r="G99">
        <f>SUM(Table1[[#This Row],[REVN]]*-1)</f>
        <v>0</v>
      </c>
      <c r="H99">
        <f>Table1[[#This Row],[COER]]</f>
        <v>0</v>
      </c>
    </row>
    <row r="100" spans="2:8" x14ac:dyDescent="0.25">
      <c r="B100" s="252">
        <v>21289</v>
      </c>
      <c r="C100">
        <v>0</v>
      </c>
      <c r="D100">
        <v>3333.45</v>
      </c>
      <c r="E100">
        <v>0</v>
      </c>
      <c r="F100">
        <v>0</v>
      </c>
      <c r="G100">
        <f>SUM(Table1[[#This Row],[REVN]]*-1)</f>
        <v>0</v>
      </c>
      <c r="H100">
        <f>Table1[[#This Row],[COER]]</f>
        <v>3333.45</v>
      </c>
    </row>
    <row r="101" spans="2:8" x14ac:dyDescent="0.25">
      <c r="B101" s="252">
        <v>21290</v>
      </c>
      <c r="C101">
        <v>0</v>
      </c>
      <c r="D101">
        <v>607.92999999999995</v>
      </c>
      <c r="E101">
        <v>0</v>
      </c>
      <c r="F101">
        <v>0</v>
      </c>
      <c r="G101">
        <f>SUM(Table1[[#This Row],[REVN]]*-1)</f>
        <v>0</v>
      </c>
      <c r="H101">
        <f>Table1[[#This Row],[COER]]</f>
        <v>607.92999999999995</v>
      </c>
    </row>
    <row r="102" spans="2:8" x14ac:dyDescent="0.25">
      <c r="B102" s="252">
        <v>21300</v>
      </c>
      <c r="C102">
        <v>-146685.94</v>
      </c>
      <c r="D102">
        <v>151894.35999999999</v>
      </c>
      <c r="E102">
        <v>0</v>
      </c>
      <c r="F102">
        <v>0</v>
      </c>
      <c r="G102">
        <f>SUM(Table1[[#This Row],[REVN]]*-1)</f>
        <v>146685.94</v>
      </c>
      <c r="H102">
        <f>Table1[[#This Row],[COER]]</f>
        <v>151894.35999999999</v>
      </c>
    </row>
    <row r="103" spans="2:8" x14ac:dyDescent="0.25">
      <c r="B103" s="252">
        <v>21301</v>
      </c>
      <c r="C103">
        <v>-41057.08</v>
      </c>
      <c r="D103">
        <v>36749.82</v>
      </c>
      <c r="E103">
        <v>0</v>
      </c>
      <c r="F103">
        <v>0</v>
      </c>
      <c r="G103">
        <f>SUM(Table1[[#This Row],[REVN]]*-1)</f>
        <v>41057.08</v>
      </c>
      <c r="H103">
        <f>Table1[[#This Row],[COER]]</f>
        <v>36749.82</v>
      </c>
    </row>
    <row r="104" spans="2:8" x14ac:dyDescent="0.25">
      <c r="B104" s="252">
        <v>21302</v>
      </c>
      <c r="C104">
        <v>0</v>
      </c>
      <c r="D104">
        <v>0</v>
      </c>
      <c r="E104">
        <v>0</v>
      </c>
      <c r="F104">
        <v>0</v>
      </c>
      <c r="G104">
        <f>SUM(Table1[[#This Row],[REVN]]*-1)</f>
        <v>0</v>
      </c>
      <c r="H104">
        <f>Table1[[#This Row],[COER]]</f>
        <v>0</v>
      </c>
    </row>
    <row r="105" spans="2:8" x14ac:dyDescent="0.25">
      <c r="B105" s="252">
        <v>21303</v>
      </c>
      <c r="C105">
        <v>0</v>
      </c>
      <c r="D105">
        <v>0</v>
      </c>
      <c r="E105">
        <v>0</v>
      </c>
      <c r="F105">
        <v>0</v>
      </c>
      <c r="G105">
        <f>SUM(Table1[[#This Row],[REVN]]*-1)</f>
        <v>0</v>
      </c>
      <c r="H105">
        <f>Table1[[#This Row],[COER]]</f>
        <v>0</v>
      </c>
    </row>
    <row r="106" spans="2:8" x14ac:dyDescent="0.25">
      <c r="B106" s="252">
        <v>21304</v>
      </c>
      <c r="C106">
        <v>0</v>
      </c>
      <c r="D106">
        <v>0</v>
      </c>
      <c r="E106">
        <v>0</v>
      </c>
      <c r="F106">
        <v>0</v>
      </c>
      <c r="G106">
        <f>SUM(Table1[[#This Row],[REVN]]*-1)</f>
        <v>0</v>
      </c>
      <c r="H106">
        <f>Table1[[#This Row],[COER]]</f>
        <v>0</v>
      </c>
    </row>
    <row r="107" spans="2:8" x14ac:dyDescent="0.25">
      <c r="B107" s="252">
        <v>21306</v>
      </c>
      <c r="C107">
        <v>0</v>
      </c>
      <c r="D107">
        <v>0</v>
      </c>
      <c r="E107">
        <v>0</v>
      </c>
      <c r="F107">
        <v>0</v>
      </c>
      <c r="G107">
        <f>SUM(Table1[[#This Row],[REVN]]*-1)</f>
        <v>0</v>
      </c>
      <c r="H107">
        <f>Table1[[#This Row],[COER]]</f>
        <v>0</v>
      </c>
    </row>
    <row r="108" spans="2:8" x14ac:dyDescent="0.25">
      <c r="B108" s="252">
        <v>21307</v>
      </c>
      <c r="C108">
        <v>0</v>
      </c>
      <c r="D108">
        <v>0</v>
      </c>
      <c r="E108">
        <v>0</v>
      </c>
      <c r="F108">
        <v>0</v>
      </c>
      <c r="G108">
        <f>SUM(Table1[[#This Row],[REVN]]*-1)</f>
        <v>0</v>
      </c>
      <c r="H108">
        <f>Table1[[#This Row],[COER]]</f>
        <v>0</v>
      </c>
    </row>
    <row r="109" spans="2:8" x14ac:dyDescent="0.25">
      <c r="B109" s="252">
        <v>21309</v>
      </c>
      <c r="C109">
        <v>0</v>
      </c>
      <c r="D109">
        <v>145.94999999999999</v>
      </c>
      <c r="E109">
        <v>0</v>
      </c>
      <c r="F109">
        <v>0</v>
      </c>
      <c r="G109">
        <f>SUM(Table1[[#This Row],[REVN]]*-1)</f>
        <v>0</v>
      </c>
      <c r="H109">
        <f>Table1[[#This Row],[COER]]</f>
        <v>145.94999999999999</v>
      </c>
    </row>
    <row r="110" spans="2:8" x14ac:dyDescent="0.25">
      <c r="B110" s="252">
        <v>21310</v>
      </c>
      <c r="C110">
        <v>-208669.69</v>
      </c>
      <c r="D110">
        <v>151348.5</v>
      </c>
      <c r="E110">
        <v>0</v>
      </c>
      <c r="F110">
        <v>0</v>
      </c>
      <c r="G110">
        <f>SUM(Table1[[#This Row],[REVN]]*-1)</f>
        <v>208669.69</v>
      </c>
      <c r="H110">
        <f>Table1[[#This Row],[COER]]</f>
        <v>151348.5</v>
      </c>
    </row>
    <row r="111" spans="2:8" x14ac:dyDescent="0.25">
      <c r="B111" s="252">
        <v>21311</v>
      </c>
      <c r="C111">
        <v>0</v>
      </c>
      <c r="D111">
        <v>0</v>
      </c>
      <c r="E111">
        <v>0</v>
      </c>
      <c r="F111">
        <v>0</v>
      </c>
      <c r="G111">
        <f>SUM(Table1[[#This Row],[REVN]]*-1)</f>
        <v>0</v>
      </c>
      <c r="H111">
        <f>Table1[[#This Row],[COER]]</f>
        <v>0</v>
      </c>
    </row>
    <row r="112" spans="2:8" x14ac:dyDescent="0.25">
      <c r="B112" s="252">
        <v>21313</v>
      </c>
      <c r="C112">
        <v>0</v>
      </c>
      <c r="D112">
        <v>0</v>
      </c>
      <c r="E112">
        <v>0</v>
      </c>
      <c r="F112">
        <v>0</v>
      </c>
      <c r="G112">
        <f>SUM(Table1[[#This Row],[REVN]]*-1)</f>
        <v>0</v>
      </c>
      <c r="H112">
        <f>Table1[[#This Row],[COER]]</f>
        <v>0</v>
      </c>
    </row>
    <row r="113" spans="2:8" x14ac:dyDescent="0.25">
      <c r="B113" s="252">
        <v>21315</v>
      </c>
      <c r="C113">
        <v>0</v>
      </c>
      <c r="D113">
        <v>4561.0600000000004</v>
      </c>
      <c r="E113">
        <v>0</v>
      </c>
      <c r="F113">
        <v>0</v>
      </c>
      <c r="G113">
        <f>SUM(Table1[[#This Row],[REVN]]*-1)</f>
        <v>0</v>
      </c>
      <c r="H113">
        <f>Table1[[#This Row],[COER]]</f>
        <v>4561.0600000000004</v>
      </c>
    </row>
    <row r="114" spans="2:8" x14ac:dyDescent="0.25">
      <c r="B114" s="252">
        <v>21332</v>
      </c>
      <c r="C114">
        <v>0</v>
      </c>
      <c r="D114">
        <v>0</v>
      </c>
      <c r="E114">
        <v>0</v>
      </c>
      <c r="F114">
        <v>0</v>
      </c>
      <c r="G114">
        <f>SUM(Table1[[#This Row],[REVN]]*-1)</f>
        <v>0</v>
      </c>
      <c r="H114">
        <f>Table1[[#This Row],[COER]]</f>
        <v>0</v>
      </c>
    </row>
    <row r="115" spans="2:8" x14ac:dyDescent="0.25">
      <c r="B115" s="252">
        <v>21359</v>
      </c>
      <c r="C115">
        <v>0</v>
      </c>
      <c r="D115">
        <v>0</v>
      </c>
      <c r="E115">
        <v>0</v>
      </c>
      <c r="F115">
        <v>0</v>
      </c>
      <c r="G115">
        <f>SUM(Table1[[#This Row],[REVN]]*-1)</f>
        <v>0</v>
      </c>
      <c r="H115">
        <f>Table1[[#This Row],[COER]]</f>
        <v>0</v>
      </c>
    </row>
    <row r="116" spans="2:8" x14ac:dyDescent="0.25">
      <c r="B116" s="252">
        <v>21360</v>
      </c>
      <c r="C116">
        <v>0</v>
      </c>
      <c r="D116">
        <v>0</v>
      </c>
      <c r="E116">
        <v>0</v>
      </c>
      <c r="F116">
        <v>0</v>
      </c>
      <c r="G116">
        <f>SUM(Table1[[#This Row],[REVN]]*-1)</f>
        <v>0</v>
      </c>
      <c r="H116">
        <f>Table1[[#This Row],[COER]]</f>
        <v>0</v>
      </c>
    </row>
    <row r="117" spans="2:8" x14ac:dyDescent="0.25">
      <c r="B117" s="252">
        <v>21364</v>
      </c>
      <c r="C117">
        <v>0</v>
      </c>
      <c r="D117">
        <v>0</v>
      </c>
      <c r="E117">
        <v>0</v>
      </c>
      <c r="F117">
        <v>0</v>
      </c>
      <c r="G117">
        <f>SUM(Table1[[#This Row],[REVN]]*-1)</f>
        <v>0</v>
      </c>
      <c r="H117">
        <f>Table1[[#This Row],[COER]]</f>
        <v>0</v>
      </c>
    </row>
    <row r="118" spans="2:8" x14ac:dyDescent="0.25">
      <c r="B118" s="252">
        <v>21375</v>
      </c>
      <c r="C118">
        <v>-3408.13</v>
      </c>
      <c r="D118">
        <v>2208.36</v>
      </c>
      <c r="E118">
        <v>0</v>
      </c>
      <c r="F118">
        <v>0</v>
      </c>
      <c r="G118">
        <f>SUM(Table1[[#This Row],[REVN]]*-1)</f>
        <v>3408.13</v>
      </c>
      <c r="H118">
        <f>Table1[[#This Row],[COER]]</f>
        <v>2208.36</v>
      </c>
    </row>
    <row r="119" spans="2:8" x14ac:dyDescent="0.25">
      <c r="B119" s="252">
        <v>21381</v>
      </c>
      <c r="C119">
        <v>0</v>
      </c>
      <c r="D119">
        <v>0</v>
      </c>
      <c r="E119">
        <v>0</v>
      </c>
      <c r="F119">
        <v>0</v>
      </c>
      <c r="G119">
        <f>SUM(Table1[[#This Row],[REVN]]*-1)</f>
        <v>0</v>
      </c>
      <c r="H119">
        <f>Table1[[#This Row],[COER]]</f>
        <v>0</v>
      </c>
    </row>
    <row r="120" spans="2:8" x14ac:dyDescent="0.25">
      <c r="B120" s="252">
        <v>21387</v>
      </c>
      <c r="C120">
        <v>0</v>
      </c>
      <c r="D120">
        <v>0</v>
      </c>
      <c r="E120">
        <v>0</v>
      </c>
      <c r="F120">
        <v>0</v>
      </c>
      <c r="G120">
        <f>SUM(Table1[[#This Row],[REVN]]*-1)</f>
        <v>0</v>
      </c>
      <c r="H120">
        <f>Table1[[#This Row],[COER]]</f>
        <v>0</v>
      </c>
    </row>
    <row r="121" spans="2:8" x14ac:dyDescent="0.25">
      <c r="B121" s="252">
        <v>21388</v>
      </c>
      <c r="C121">
        <v>0</v>
      </c>
      <c r="D121">
        <v>0</v>
      </c>
      <c r="E121">
        <v>0</v>
      </c>
      <c r="F121">
        <v>0</v>
      </c>
      <c r="G121">
        <f>SUM(Table1[[#This Row],[REVN]]*-1)</f>
        <v>0</v>
      </c>
      <c r="H121">
        <f>Table1[[#This Row],[COER]]</f>
        <v>0</v>
      </c>
    </row>
    <row r="122" spans="2:8" x14ac:dyDescent="0.25">
      <c r="B122" s="252">
        <v>21391</v>
      </c>
      <c r="C122">
        <v>0</v>
      </c>
      <c r="D122">
        <v>0</v>
      </c>
      <c r="E122">
        <v>0</v>
      </c>
      <c r="F122">
        <v>0</v>
      </c>
      <c r="G122">
        <f>SUM(Table1[[#This Row],[REVN]]*-1)</f>
        <v>0</v>
      </c>
      <c r="H122">
        <f>Table1[[#This Row],[COER]]</f>
        <v>0</v>
      </c>
    </row>
    <row r="123" spans="2:8" x14ac:dyDescent="0.25">
      <c r="B123" s="252">
        <v>21395</v>
      </c>
      <c r="C123">
        <v>0</v>
      </c>
      <c r="D123">
        <v>0</v>
      </c>
      <c r="E123">
        <v>0</v>
      </c>
      <c r="F123">
        <v>0</v>
      </c>
      <c r="G123">
        <f>SUM(Table1[[#This Row],[REVN]]*-1)</f>
        <v>0</v>
      </c>
      <c r="H123">
        <f>Table1[[#This Row],[COER]]</f>
        <v>0</v>
      </c>
    </row>
    <row r="124" spans="2:8" x14ac:dyDescent="0.25">
      <c r="B124" s="252">
        <v>21398</v>
      </c>
      <c r="C124">
        <v>-12000</v>
      </c>
      <c r="D124">
        <v>17256.38</v>
      </c>
      <c r="E124">
        <v>0</v>
      </c>
      <c r="F124">
        <v>0</v>
      </c>
      <c r="G124">
        <f>SUM(Table1[[#This Row],[REVN]]*-1)</f>
        <v>12000</v>
      </c>
      <c r="H124">
        <f>Table1[[#This Row],[COER]]</f>
        <v>17256.38</v>
      </c>
    </row>
    <row r="125" spans="2:8" x14ac:dyDescent="0.25">
      <c r="B125" s="252">
        <v>21402</v>
      </c>
      <c r="C125">
        <v>-63056.03</v>
      </c>
      <c r="D125">
        <v>58873.919999999998</v>
      </c>
      <c r="E125">
        <v>0</v>
      </c>
      <c r="F125">
        <v>0</v>
      </c>
      <c r="G125">
        <f>SUM(Table1[[#This Row],[REVN]]*-1)</f>
        <v>63056.03</v>
      </c>
      <c r="H125">
        <f>Table1[[#This Row],[COER]]</f>
        <v>58873.919999999998</v>
      </c>
    </row>
    <row r="126" spans="2:8" x14ac:dyDescent="0.25">
      <c r="B126" s="252">
        <v>21407</v>
      </c>
      <c r="C126">
        <v>-115227</v>
      </c>
      <c r="D126">
        <v>134086.39999999999</v>
      </c>
      <c r="E126">
        <v>0</v>
      </c>
      <c r="F126">
        <v>0</v>
      </c>
      <c r="G126">
        <f>SUM(Table1[[#This Row],[REVN]]*-1)</f>
        <v>115227</v>
      </c>
      <c r="H126">
        <f>Table1[[#This Row],[COER]]</f>
        <v>134086.39999999999</v>
      </c>
    </row>
    <row r="127" spans="2:8" x14ac:dyDescent="0.25">
      <c r="B127" s="252">
        <v>21412</v>
      </c>
      <c r="C127">
        <v>0</v>
      </c>
      <c r="D127">
        <v>0</v>
      </c>
      <c r="E127">
        <v>0</v>
      </c>
      <c r="F127">
        <v>0</v>
      </c>
      <c r="G127">
        <f>SUM(Table1[[#This Row],[REVN]]*-1)</f>
        <v>0</v>
      </c>
      <c r="H127">
        <f>Table1[[#This Row],[COER]]</f>
        <v>0</v>
      </c>
    </row>
    <row r="128" spans="2:8" x14ac:dyDescent="0.25">
      <c r="B128" s="252">
        <v>21415</v>
      </c>
      <c r="C128">
        <v>-307</v>
      </c>
      <c r="D128">
        <v>402.9</v>
      </c>
      <c r="E128">
        <v>0</v>
      </c>
      <c r="F128">
        <v>0</v>
      </c>
      <c r="G128">
        <f>SUM(Table1[[#This Row],[REVN]]*-1)</f>
        <v>307</v>
      </c>
      <c r="H128">
        <f>Table1[[#This Row],[COER]]</f>
        <v>402.9</v>
      </c>
    </row>
    <row r="129" spans="2:8" x14ac:dyDescent="0.25">
      <c r="B129" s="252">
        <v>21419</v>
      </c>
      <c r="C129">
        <v>0</v>
      </c>
      <c r="D129">
        <v>0</v>
      </c>
      <c r="E129">
        <v>0</v>
      </c>
      <c r="F129">
        <v>0</v>
      </c>
      <c r="G129">
        <f>SUM(Table1[[#This Row],[REVN]]*-1)</f>
        <v>0</v>
      </c>
      <c r="H129">
        <f>Table1[[#This Row],[COER]]</f>
        <v>0</v>
      </c>
    </row>
    <row r="130" spans="2:8" x14ac:dyDescent="0.25">
      <c r="B130" s="252">
        <v>21424</v>
      </c>
      <c r="C130">
        <v>0</v>
      </c>
      <c r="D130">
        <v>0</v>
      </c>
      <c r="E130">
        <v>0</v>
      </c>
      <c r="F130">
        <v>0</v>
      </c>
      <c r="G130">
        <f>SUM(Table1[[#This Row],[REVN]]*-1)</f>
        <v>0</v>
      </c>
      <c r="H130">
        <f>Table1[[#This Row],[COER]]</f>
        <v>0</v>
      </c>
    </row>
    <row r="131" spans="2:8" x14ac:dyDescent="0.25">
      <c r="B131" s="252">
        <v>21431</v>
      </c>
      <c r="C131">
        <v>0</v>
      </c>
      <c r="D131">
        <v>0</v>
      </c>
      <c r="E131">
        <v>0</v>
      </c>
      <c r="F131">
        <v>0</v>
      </c>
      <c r="G131">
        <f>SUM(Table1[[#This Row],[REVN]]*-1)</f>
        <v>0</v>
      </c>
      <c r="H131">
        <f>Table1[[#This Row],[COER]]</f>
        <v>0</v>
      </c>
    </row>
    <row r="132" spans="2:8" x14ac:dyDescent="0.25">
      <c r="B132" s="252">
        <v>21432</v>
      </c>
      <c r="C132">
        <v>0</v>
      </c>
      <c r="D132">
        <v>0</v>
      </c>
      <c r="E132">
        <v>0</v>
      </c>
      <c r="F132">
        <v>0</v>
      </c>
      <c r="G132">
        <f>SUM(Table1[[#This Row],[REVN]]*-1)</f>
        <v>0</v>
      </c>
      <c r="H132">
        <f>Table1[[#This Row],[COER]]</f>
        <v>0</v>
      </c>
    </row>
    <row r="133" spans="2:8" x14ac:dyDescent="0.25">
      <c r="B133" s="252">
        <v>21433</v>
      </c>
      <c r="C133">
        <v>0</v>
      </c>
      <c r="D133">
        <v>0</v>
      </c>
      <c r="E133">
        <v>0</v>
      </c>
      <c r="F133">
        <v>0</v>
      </c>
      <c r="G133">
        <f>SUM(Table1[[#This Row],[REVN]]*-1)</f>
        <v>0</v>
      </c>
      <c r="H133">
        <f>Table1[[#This Row],[COER]]</f>
        <v>0</v>
      </c>
    </row>
    <row r="134" spans="2:8" x14ac:dyDescent="0.25">
      <c r="B134" s="252">
        <v>21440</v>
      </c>
      <c r="C134">
        <v>0</v>
      </c>
      <c r="D134">
        <v>0</v>
      </c>
      <c r="E134">
        <v>0</v>
      </c>
      <c r="F134">
        <v>0</v>
      </c>
      <c r="G134">
        <f>SUM(Table1[[#This Row],[REVN]]*-1)</f>
        <v>0</v>
      </c>
      <c r="H134">
        <f>Table1[[#This Row],[COER]]</f>
        <v>0</v>
      </c>
    </row>
    <row r="135" spans="2:8" x14ac:dyDescent="0.25">
      <c r="B135" s="252">
        <v>21444</v>
      </c>
      <c r="C135">
        <v>0</v>
      </c>
      <c r="D135">
        <v>0</v>
      </c>
      <c r="E135">
        <v>0</v>
      </c>
      <c r="F135">
        <v>0</v>
      </c>
      <c r="G135">
        <f>SUM(Table1[[#This Row],[REVN]]*-1)</f>
        <v>0</v>
      </c>
      <c r="H135">
        <f>Table1[[#This Row],[COER]]</f>
        <v>0</v>
      </c>
    </row>
    <row r="136" spans="2:8" x14ac:dyDescent="0.25">
      <c r="B136" s="252">
        <v>21450</v>
      </c>
      <c r="C136">
        <v>0</v>
      </c>
      <c r="D136">
        <v>3452.26</v>
      </c>
      <c r="E136">
        <v>0</v>
      </c>
      <c r="F136">
        <v>0</v>
      </c>
      <c r="G136">
        <f>SUM(Table1[[#This Row],[REVN]]*-1)</f>
        <v>0</v>
      </c>
      <c r="H136">
        <f>Table1[[#This Row],[COER]]</f>
        <v>3452.26</v>
      </c>
    </row>
    <row r="137" spans="2:8" x14ac:dyDescent="0.25">
      <c r="B137" s="252">
        <v>21453</v>
      </c>
      <c r="C137">
        <v>-49551.14</v>
      </c>
      <c r="D137">
        <v>32192.47</v>
      </c>
      <c r="E137">
        <v>0</v>
      </c>
      <c r="F137">
        <v>0</v>
      </c>
      <c r="G137">
        <f>SUM(Table1[[#This Row],[REVN]]*-1)</f>
        <v>49551.14</v>
      </c>
      <c r="H137">
        <f>Table1[[#This Row],[COER]]</f>
        <v>32192.47</v>
      </c>
    </row>
    <row r="138" spans="2:8" x14ac:dyDescent="0.25">
      <c r="B138" s="252">
        <v>21454</v>
      </c>
      <c r="C138">
        <v>0</v>
      </c>
      <c r="D138">
        <v>0</v>
      </c>
      <c r="E138">
        <v>0</v>
      </c>
      <c r="F138">
        <v>0</v>
      </c>
      <c r="G138">
        <f>SUM(Table1[[#This Row],[REVN]]*-1)</f>
        <v>0</v>
      </c>
      <c r="H138">
        <f>Table1[[#This Row],[COER]]</f>
        <v>0</v>
      </c>
    </row>
    <row r="139" spans="2:8" x14ac:dyDescent="0.25">
      <c r="B139" s="252">
        <v>21458</v>
      </c>
      <c r="C139">
        <v>0</v>
      </c>
      <c r="D139">
        <v>0</v>
      </c>
      <c r="E139">
        <v>0</v>
      </c>
      <c r="F139">
        <v>0</v>
      </c>
      <c r="G139">
        <f>SUM(Table1[[#This Row],[REVN]]*-1)</f>
        <v>0</v>
      </c>
      <c r="H139">
        <f>Table1[[#This Row],[COER]]</f>
        <v>0</v>
      </c>
    </row>
    <row r="140" spans="2:8" x14ac:dyDescent="0.25">
      <c r="B140" s="252">
        <v>21460</v>
      </c>
      <c r="C140">
        <v>0</v>
      </c>
      <c r="D140">
        <v>0</v>
      </c>
      <c r="E140">
        <v>0</v>
      </c>
      <c r="F140">
        <v>0</v>
      </c>
      <c r="G140">
        <f>SUM(Table1[[#This Row],[REVN]]*-1)</f>
        <v>0</v>
      </c>
      <c r="H140">
        <f>Table1[[#This Row],[COER]]</f>
        <v>0</v>
      </c>
    </row>
    <row r="141" spans="2:8" x14ac:dyDescent="0.25">
      <c r="B141" s="252">
        <v>21462</v>
      </c>
      <c r="C141">
        <v>0</v>
      </c>
      <c r="D141">
        <v>0</v>
      </c>
      <c r="E141">
        <v>0</v>
      </c>
      <c r="F141">
        <v>0</v>
      </c>
      <c r="G141">
        <f>SUM(Table1[[#This Row],[REVN]]*-1)</f>
        <v>0</v>
      </c>
      <c r="H141">
        <f>Table1[[#This Row],[COER]]</f>
        <v>0</v>
      </c>
    </row>
    <row r="142" spans="2:8" x14ac:dyDescent="0.25">
      <c r="B142" s="252">
        <v>21463</v>
      </c>
      <c r="C142">
        <v>0</v>
      </c>
      <c r="D142">
        <v>0</v>
      </c>
      <c r="E142">
        <v>0</v>
      </c>
      <c r="F142">
        <v>0</v>
      </c>
      <c r="G142">
        <f>SUM(Table1[[#This Row],[REVN]]*-1)</f>
        <v>0</v>
      </c>
      <c r="H142">
        <f>Table1[[#This Row],[COER]]</f>
        <v>0</v>
      </c>
    </row>
    <row r="143" spans="2:8" x14ac:dyDescent="0.25">
      <c r="B143" s="252">
        <v>21465</v>
      </c>
      <c r="C143">
        <v>0</v>
      </c>
      <c r="D143">
        <v>0</v>
      </c>
      <c r="E143">
        <v>0</v>
      </c>
      <c r="F143">
        <v>0</v>
      </c>
      <c r="G143">
        <f>SUM(Table1[[#This Row],[REVN]]*-1)</f>
        <v>0</v>
      </c>
      <c r="H143">
        <f>Table1[[#This Row],[COER]]</f>
        <v>0</v>
      </c>
    </row>
    <row r="144" spans="2:8" x14ac:dyDescent="0.25">
      <c r="B144" s="252">
        <v>21471</v>
      </c>
      <c r="C144">
        <v>0</v>
      </c>
      <c r="D144">
        <v>0</v>
      </c>
      <c r="E144">
        <v>0</v>
      </c>
      <c r="F144">
        <v>0</v>
      </c>
      <c r="G144">
        <f>SUM(Table1[[#This Row],[REVN]]*-1)</f>
        <v>0</v>
      </c>
      <c r="H144">
        <f>Table1[[#This Row],[COER]]</f>
        <v>0</v>
      </c>
    </row>
    <row r="145" spans="2:8" x14ac:dyDescent="0.25">
      <c r="B145" s="252">
        <v>21473</v>
      </c>
      <c r="C145">
        <v>120000</v>
      </c>
      <c r="D145">
        <v>-57690</v>
      </c>
      <c r="E145">
        <v>0</v>
      </c>
      <c r="F145">
        <v>0</v>
      </c>
      <c r="G145">
        <f>SUM(Table1[[#This Row],[REVN]]*-1)</f>
        <v>-120000</v>
      </c>
      <c r="H145">
        <f>Table1[[#This Row],[COER]]</f>
        <v>-57690</v>
      </c>
    </row>
    <row r="146" spans="2:8" x14ac:dyDescent="0.25">
      <c r="B146" s="252">
        <v>21483</v>
      </c>
      <c r="C146">
        <v>4000</v>
      </c>
      <c r="D146">
        <v>-818.24</v>
      </c>
      <c r="E146">
        <v>0</v>
      </c>
      <c r="F146">
        <v>0</v>
      </c>
      <c r="G146">
        <f>SUM(Table1[[#This Row],[REVN]]*-1)</f>
        <v>-4000</v>
      </c>
      <c r="H146">
        <f>Table1[[#This Row],[COER]]</f>
        <v>-818.24</v>
      </c>
    </row>
    <row r="147" spans="2:8" x14ac:dyDescent="0.25">
      <c r="B147" s="252">
        <v>21484</v>
      </c>
      <c r="C147">
        <v>-1232277</v>
      </c>
      <c r="D147">
        <v>644247.16</v>
      </c>
      <c r="E147">
        <v>0</v>
      </c>
      <c r="F147">
        <v>0</v>
      </c>
      <c r="G147">
        <f>SUM(Table1[[#This Row],[REVN]]*-1)</f>
        <v>1232277</v>
      </c>
      <c r="H147">
        <f>Table1[[#This Row],[COER]]</f>
        <v>644247.16</v>
      </c>
    </row>
    <row r="148" spans="2:8" x14ac:dyDescent="0.25">
      <c r="B148" s="252">
        <v>21486</v>
      </c>
      <c r="C148">
        <v>-33586.35</v>
      </c>
      <c r="D148">
        <v>51122.25</v>
      </c>
      <c r="E148">
        <v>0</v>
      </c>
      <c r="F148">
        <v>0</v>
      </c>
      <c r="G148">
        <f>SUM(Table1[[#This Row],[REVN]]*-1)</f>
        <v>33586.35</v>
      </c>
      <c r="H148">
        <f>Table1[[#This Row],[COER]]</f>
        <v>51122.25</v>
      </c>
    </row>
    <row r="149" spans="2:8" x14ac:dyDescent="0.25">
      <c r="B149" s="252">
        <v>21488</v>
      </c>
      <c r="C149">
        <v>0</v>
      </c>
      <c r="D149">
        <v>0</v>
      </c>
      <c r="E149">
        <v>0</v>
      </c>
      <c r="F149">
        <v>0</v>
      </c>
      <c r="G149">
        <f>SUM(Table1[[#This Row],[REVN]]*-1)</f>
        <v>0</v>
      </c>
      <c r="H149">
        <f>Table1[[#This Row],[COER]]</f>
        <v>0</v>
      </c>
    </row>
    <row r="150" spans="2:8" x14ac:dyDescent="0.25">
      <c r="B150" s="252">
        <v>21490</v>
      </c>
      <c r="C150">
        <v>0</v>
      </c>
      <c r="D150">
        <v>1076.21</v>
      </c>
      <c r="E150">
        <v>0</v>
      </c>
      <c r="F150">
        <v>0</v>
      </c>
      <c r="G150">
        <f>SUM(Table1[[#This Row],[REVN]]*-1)</f>
        <v>0</v>
      </c>
      <c r="H150">
        <f>Table1[[#This Row],[COER]]</f>
        <v>1076.21</v>
      </c>
    </row>
    <row r="151" spans="2:8" x14ac:dyDescent="0.25">
      <c r="B151" s="252">
        <v>21491</v>
      </c>
      <c r="C151">
        <v>-29950.73</v>
      </c>
      <c r="D151">
        <v>10488.41</v>
      </c>
      <c r="E151">
        <v>0</v>
      </c>
      <c r="F151">
        <v>0</v>
      </c>
      <c r="G151">
        <f>SUM(Table1[[#This Row],[REVN]]*-1)</f>
        <v>29950.73</v>
      </c>
      <c r="H151">
        <f>Table1[[#This Row],[COER]]</f>
        <v>10488.41</v>
      </c>
    </row>
    <row r="152" spans="2:8" x14ac:dyDescent="0.25">
      <c r="B152" s="252">
        <v>21493</v>
      </c>
      <c r="C152">
        <v>0</v>
      </c>
      <c r="D152">
        <v>0</v>
      </c>
      <c r="E152">
        <v>0</v>
      </c>
      <c r="F152">
        <v>0</v>
      </c>
      <c r="G152">
        <f>SUM(Table1[[#This Row],[REVN]]*-1)</f>
        <v>0</v>
      </c>
      <c r="H152">
        <f>Table1[[#This Row],[COER]]</f>
        <v>0</v>
      </c>
    </row>
    <row r="153" spans="2:8" x14ac:dyDescent="0.25">
      <c r="B153" s="252">
        <v>21494</v>
      </c>
      <c r="C153">
        <v>-63634.1</v>
      </c>
      <c r="D153">
        <v>28569.1</v>
      </c>
      <c r="E153">
        <v>0</v>
      </c>
      <c r="F153">
        <v>0</v>
      </c>
      <c r="G153">
        <f>SUM(Table1[[#This Row],[REVN]]*-1)</f>
        <v>63634.1</v>
      </c>
      <c r="H153">
        <f>Table1[[#This Row],[COER]]</f>
        <v>28569.1</v>
      </c>
    </row>
    <row r="154" spans="2:8" x14ac:dyDescent="0.25">
      <c r="B154" s="252">
        <v>21496</v>
      </c>
      <c r="C154">
        <v>-30785</v>
      </c>
      <c r="D154">
        <v>41746.53</v>
      </c>
      <c r="E154">
        <v>0</v>
      </c>
      <c r="F154">
        <v>0</v>
      </c>
      <c r="G154">
        <f>SUM(Table1[[#This Row],[REVN]]*-1)</f>
        <v>30785</v>
      </c>
      <c r="H154">
        <f>Table1[[#This Row],[COER]]</f>
        <v>41746.53</v>
      </c>
    </row>
    <row r="155" spans="2:8" x14ac:dyDescent="0.25">
      <c r="B155" s="252">
        <v>21498</v>
      </c>
      <c r="C155">
        <v>-424520.01</v>
      </c>
      <c r="D155">
        <v>273100.48</v>
      </c>
      <c r="E155">
        <v>0</v>
      </c>
      <c r="F155">
        <v>0</v>
      </c>
      <c r="G155">
        <f>SUM(Table1[[#This Row],[REVN]]*-1)</f>
        <v>424520.01</v>
      </c>
      <c r="H155">
        <f>Table1[[#This Row],[COER]]</f>
        <v>273100.48</v>
      </c>
    </row>
    <row r="156" spans="2:8" x14ac:dyDescent="0.25">
      <c r="B156" s="252">
        <v>21500</v>
      </c>
      <c r="C156">
        <v>0</v>
      </c>
      <c r="D156">
        <v>0</v>
      </c>
      <c r="E156">
        <v>0</v>
      </c>
      <c r="F156">
        <v>0</v>
      </c>
      <c r="G156">
        <f>SUM(Table1[[#This Row],[REVN]]*-1)</f>
        <v>0</v>
      </c>
      <c r="H156">
        <f>Table1[[#This Row],[COER]]</f>
        <v>0</v>
      </c>
    </row>
    <row r="157" spans="2:8" x14ac:dyDescent="0.25">
      <c r="B157" s="252">
        <v>21501</v>
      </c>
      <c r="C157">
        <v>0</v>
      </c>
      <c r="D157">
        <v>0</v>
      </c>
      <c r="E157">
        <v>0</v>
      </c>
      <c r="F157">
        <v>0</v>
      </c>
      <c r="G157">
        <f>SUM(Table1[[#This Row],[REVN]]*-1)</f>
        <v>0</v>
      </c>
      <c r="H157">
        <f>Table1[[#This Row],[COER]]</f>
        <v>0</v>
      </c>
    </row>
    <row r="158" spans="2:8" x14ac:dyDescent="0.25">
      <c r="B158" s="252">
        <v>21502</v>
      </c>
      <c r="C158">
        <v>0</v>
      </c>
      <c r="D158">
        <v>0</v>
      </c>
      <c r="E158">
        <v>0</v>
      </c>
      <c r="F158">
        <v>0</v>
      </c>
      <c r="G158">
        <f>SUM(Table1[[#This Row],[REVN]]*-1)</f>
        <v>0</v>
      </c>
      <c r="H158">
        <f>Table1[[#This Row],[COER]]</f>
        <v>0</v>
      </c>
    </row>
    <row r="159" spans="2:8" x14ac:dyDescent="0.25">
      <c r="B159" s="252">
        <v>21503</v>
      </c>
      <c r="C159">
        <v>0</v>
      </c>
      <c r="D159">
        <v>0</v>
      </c>
      <c r="E159">
        <v>0</v>
      </c>
      <c r="F159">
        <v>0</v>
      </c>
      <c r="G159">
        <f>SUM(Table1[[#This Row],[REVN]]*-1)</f>
        <v>0</v>
      </c>
      <c r="H159">
        <f>Table1[[#This Row],[COER]]</f>
        <v>0</v>
      </c>
    </row>
    <row r="160" spans="2:8" x14ac:dyDescent="0.25">
      <c r="B160" s="252">
        <v>21506</v>
      </c>
      <c r="C160">
        <v>0</v>
      </c>
      <c r="D160">
        <v>0</v>
      </c>
      <c r="E160">
        <v>0</v>
      </c>
      <c r="F160">
        <v>0</v>
      </c>
      <c r="G160">
        <f>SUM(Table1[[#This Row],[REVN]]*-1)</f>
        <v>0</v>
      </c>
      <c r="H160">
        <f>Table1[[#This Row],[COER]]</f>
        <v>0</v>
      </c>
    </row>
    <row r="161" spans="2:8" x14ac:dyDescent="0.25">
      <c r="B161" s="252">
        <v>21507</v>
      </c>
      <c r="C161">
        <v>0</v>
      </c>
      <c r="D161">
        <v>0</v>
      </c>
      <c r="E161">
        <v>0</v>
      </c>
      <c r="F161">
        <v>0</v>
      </c>
      <c r="G161">
        <f>SUM(Table1[[#This Row],[REVN]]*-1)</f>
        <v>0</v>
      </c>
      <c r="H161">
        <f>Table1[[#This Row],[COER]]</f>
        <v>0</v>
      </c>
    </row>
    <row r="162" spans="2:8" x14ac:dyDescent="0.25">
      <c r="B162" s="252">
        <v>21508</v>
      </c>
      <c r="C162">
        <v>0</v>
      </c>
      <c r="D162">
        <v>0</v>
      </c>
      <c r="E162">
        <v>0</v>
      </c>
      <c r="F162">
        <v>0</v>
      </c>
      <c r="G162">
        <f>SUM(Table1[[#This Row],[REVN]]*-1)</f>
        <v>0</v>
      </c>
      <c r="H162">
        <f>Table1[[#This Row],[COER]]</f>
        <v>0</v>
      </c>
    </row>
    <row r="163" spans="2:8" x14ac:dyDescent="0.25">
      <c r="B163" s="252">
        <v>21509</v>
      </c>
      <c r="C163">
        <v>0</v>
      </c>
      <c r="D163">
        <v>0</v>
      </c>
      <c r="E163">
        <v>0</v>
      </c>
      <c r="F163">
        <v>0</v>
      </c>
      <c r="G163">
        <f>SUM(Table1[[#This Row],[REVN]]*-1)</f>
        <v>0</v>
      </c>
      <c r="H163">
        <f>Table1[[#This Row],[COER]]</f>
        <v>0</v>
      </c>
    </row>
    <row r="164" spans="2:8" x14ac:dyDescent="0.25">
      <c r="B164" s="252">
        <v>21510</v>
      </c>
      <c r="C164">
        <v>-3929.2</v>
      </c>
      <c r="D164">
        <v>2699.81</v>
      </c>
      <c r="E164">
        <v>0</v>
      </c>
      <c r="F164">
        <v>0</v>
      </c>
      <c r="G164">
        <f>SUM(Table1[[#This Row],[REVN]]*-1)</f>
        <v>3929.2</v>
      </c>
      <c r="H164">
        <f>Table1[[#This Row],[COER]]</f>
        <v>2699.81</v>
      </c>
    </row>
    <row r="165" spans="2:8" x14ac:dyDescent="0.25">
      <c r="B165" s="252">
        <v>21513</v>
      </c>
      <c r="C165">
        <v>0</v>
      </c>
      <c r="D165">
        <v>0</v>
      </c>
      <c r="E165">
        <v>0</v>
      </c>
      <c r="F165">
        <v>0</v>
      </c>
      <c r="G165">
        <f>SUM(Table1[[#This Row],[REVN]]*-1)</f>
        <v>0</v>
      </c>
      <c r="H165">
        <f>Table1[[#This Row],[COER]]</f>
        <v>0</v>
      </c>
    </row>
    <row r="166" spans="2:8" x14ac:dyDescent="0.25">
      <c r="B166" s="252">
        <v>21514</v>
      </c>
      <c r="C166">
        <v>0</v>
      </c>
      <c r="D166">
        <v>0</v>
      </c>
      <c r="E166">
        <v>0</v>
      </c>
      <c r="F166">
        <v>0</v>
      </c>
      <c r="G166">
        <f>SUM(Table1[[#This Row],[REVN]]*-1)</f>
        <v>0</v>
      </c>
      <c r="H166">
        <f>Table1[[#This Row],[COER]]</f>
        <v>0</v>
      </c>
    </row>
    <row r="167" spans="2:8" x14ac:dyDescent="0.25">
      <c r="B167" s="252">
        <v>21518</v>
      </c>
      <c r="C167">
        <v>-5071.26</v>
      </c>
      <c r="D167">
        <v>8461.92</v>
      </c>
      <c r="E167">
        <v>0</v>
      </c>
      <c r="F167">
        <v>0</v>
      </c>
      <c r="G167">
        <f>SUM(Table1[[#This Row],[REVN]]*-1)</f>
        <v>5071.26</v>
      </c>
      <c r="H167">
        <f>Table1[[#This Row],[COER]]</f>
        <v>8461.92</v>
      </c>
    </row>
    <row r="168" spans="2:8" x14ac:dyDescent="0.25">
      <c r="B168" s="252">
        <v>21526</v>
      </c>
      <c r="C168">
        <v>0</v>
      </c>
      <c r="D168">
        <v>0</v>
      </c>
      <c r="E168">
        <v>0</v>
      </c>
      <c r="F168">
        <v>0</v>
      </c>
      <c r="G168">
        <f>SUM(Table1[[#This Row],[REVN]]*-1)</f>
        <v>0</v>
      </c>
      <c r="H168">
        <f>Table1[[#This Row],[COER]]</f>
        <v>0</v>
      </c>
    </row>
    <row r="169" spans="2:8" x14ac:dyDescent="0.25">
      <c r="B169" s="252">
        <v>21527</v>
      </c>
      <c r="C169">
        <v>-6642.49</v>
      </c>
      <c r="D169">
        <v>5583.19</v>
      </c>
      <c r="E169">
        <v>0</v>
      </c>
      <c r="F169">
        <v>0</v>
      </c>
      <c r="G169">
        <f>SUM(Table1[[#This Row],[REVN]]*-1)</f>
        <v>6642.49</v>
      </c>
      <c r="H169">
        <f>Table1[[#This Row],[COER]]</f>
        <v>5583.19</v>
      </c>
    </row>
    <row r="170" spans="2:8" x14ac:dyDescent="0.25">
      <c r="B170" s="252">
        <v>21529</v>
      </c>
      <c r="C170">
        <v>-10124.34</v>
      </c>
      <c r="D170">
        <v>10718.75</v>
      </c>
      <c r="E170">
        <v>0</v>
      </c>
      <c r="F170">
        <v>0</v>
      </c>
      <c r="G170">
        <f>SUM(Table1[[#This Row],[REVN]]*-1)</f>
        <v>10124.34</v>
      </c>
      <c r="H170">
        <f>Table1[[#This Row],[COER]]</f>
        <v>10718.75</v>
      </c>
    </row>
    <row r="171" spans="2:8" x14ac:dyDescent="0.25">
      <c r="B171" s="252">
        <v>21531</v>
      </c>
      <c r="C171">
        <v>-16846</v>
      </c>
      <c r="D171">
        <v>9474.1</v>
      </c>
      <c r="E171">
        <v>0</v>
      </c>
      <c r="F171">
        <v>0</v>
      </c>
      <c r="G171">
        <f>SUM(Table1[[#This Row],[REVN]]*-1)</f>
        <v>16846</v>
      </c>
      <c r="H171">
        <f>Table1[[#This Row],[COER]]</f>
        <v>9474.1</v>
      </c>
    </row>
    <row r="172" spans="2:8" x14ac:dyDescent="0.25">
      <c r="B172" s="252">
        <v>21533</v>
      </c>
      <c r="C172">
        <v>0</v>
      </c>
      <c r="D172">
        <v>138.78</v>
      </c>
      <c r="E172">
        <v>0</v>
      </c>
      <c r="F172">
        <v>0</v>
      </c>
      <c r="G172">
        <f>SUM(Table1[[#This Row],[REVN]]*-1)</f>
        <v>0</v>
      </c>
      <c r="H172">
        <f>Table1[[#This Row],[COER]]</f>
        <v>138.78</v>
      </c>
    </row>
    <row r="173" spans="2:8" x14ac:dyDescent="0.25">
      <c r="B173" s="252">
        <v>21536</v>
      </c>
      <c r="C173">
        <v>0</v>
      </c>
      <c r="D173">
        <v>0</v>
      </c>
      <c r="E173">
        <v>0</v>
      </c>
      <c r="F173">
        <v>0</v>
      </c>
      <c r="G173">
        <f>SUM(Table1[[#This Row],[REVN]]*-1)</f>
        <v>0</v>
      </c>
      <c r="H173">
        <f>Table1[[#This Row],[COER]]</f>
        <v>0</v>
      </c>
    </row>
    <row r="174" spans="2:8" x14ac:dyDescent="0.25">
      <c r="B174" s="252">
        <v>21541</v>
      </c>
      <c r="C174">
        <v>-27255.42</v>
      </c>
      <c r="D174">
        <v>63345.37</v>
      </c>
      <c r="E174">
        <v>0</v>
      </c>
      <c r="F174">
        <v>0</v>
      </c>
      <c r="G174">
        <f>SUM(Table1[[#This Row],[REVN]]*-1)</f>
        <v>27255.42</v>
      </c>
      <c r="H174">
        <f>Table1[[#This Row],[COER]]</f>
        <v>63345.37</v>
      </c>
    </row>
    <row r="175" spans="2:8" x14ac:dyDescent="0.25">
      <c r="B175" s="252">
        <v>21544</v>
      </c>
      <c r="C175">
        <v>-15895</v>
      </c>
      <c r="D175">
        <v>2728.29</v>
      </c>
      <c r="E175">
        <v>0</v>
      </c>
      <c r="F175">
        <v>0</v>
      </c>
      <c r="G175">
        <f>SUM(Table1[[#This Row],[REVN]]*-1)</f>
        <v>15895</v>
      </c>
      <c r="H175">
        <f>Table1[[#This Row],[COER]]</f>
        <v>2728.29</v>
      </c>
    </row>
    <row r="176" spans="2:8" x14ac:dyDescent="0.25">
      <c r="B176" s="252">
        <v>21545</v>
      </c>
      <c r="C176">
        <v>0</v>
      </c>
      <c r="D176">
        <v>0</v>
      </c>
      <c r="E176">
        <v>0</v>
      </c>
      <c r="F176">
        <v>0</v>
      </c>
      <c r="G176">
        <f>SUM(Table1[[#This Row],[REVN]]*-1)</f>
        <v>0</v>
      </c>
      <c r="H176">
        <f>Table1[[#This Row],[COER]]</f>
        <v>0</v>
      </c>
    </row>
    <row r="177" spans="2:8" x14ac:dyDescent="0.25">
      <c r="B177" s="252">
        <v>21548</v>
      </c>
      <c r="C177">
        <v>0</v>
      </c>
      <c r="D177">
        <v>0</v>
      </c>
      <c r="E177">
        <v>0</v>
      </c>
      <c r="F177">
        <v>0</v>
      </c>
      <c r="G177">
        <f>SUM(Table1[[#This Row],[REVN]]*-1)</f>
        <v>0</v>
      </c>
      <c r="H177">
        <f>Table1[[#This Row],[COER]]</f>
        <v>0</v>
      </c>
    </row>
    <row r="178" spans="2:8" x14ac:dyDescent="0.25">
      <c r="B178" s="252">
        <v>21549</v>
      </c>
      <c r="C178">
        <v>-33790.28</v>
      </c>
      <c r="D178">
        <v>113165.04</v>
      </c>
      <c r="E178">
        <v>0</v>
      </c>
      <c r="F178">
        <v>0</v>
      </c>
      <c r="G178">
        <f>SUM(Table1[[#This Row],[REVN]]*-1)</f>
        <v>33790.28</v>
      </c>
      <c r="H178">
        <f>Table1[[#This Row],[COER]]</f>
        <v>113165.04</v>
      </c>
    </row>
    <row r="179" spans="2:8" x14ac:dyDescent="0.25">
      <c r="B179" s="252">
        <v>21550</v>
      </c>
      <c r="C179">
        <v>0</v>
      </c>
      <c r="D179">
        <v>0</v>
      </c>
      <c r="E179">
        <v>0</v>
      </c>
      <c r="F179">
        <v>0</v>
      </c>
      <c r="G179">
        <f>SUM(Table1[[#This Row],[REVN]]*-1)</f>
        <v>0</v>
      </c>
      <c r="H179">
        <f>Table1[[#This Row],[COER]]</f>
        <v>0</v>
      </c>
    </row>
    <row r="180" spans="2:8" x14ac:dyDescent="0.25">
      <c r="B180" s="252">
        <v>21552</v>
      </c>
      <c r="C180">
        <v>120006</v>
      </c>
      <c r="D180">
        <v>-19051.900000000001</v>
      </c>
      <c r="E180">
        <v>0</v>
      </c>
      <c r="F180">
        <v>0</v>
      </c>
      <c r="G180">
        <f>SUM(Table1[[#This Row],[REVN]]*-1)</f>
        <v>-120006</v>
      </c>
      <c r="H180">
        <f>Table1[[#This Row],[COER]]</f>
        <v>-19051.900000000001</v>
      </c>
    </row>
    <row r="181" spans="2:8" x14ac:dyDescent="0.25">
      <c r="B181" s="252">
        <v>21554</v>
      </c>
      <c r="C181">
        <v>-4750</v>
      </c>
      <c r="D181">
        <v>708.56</v>
      </c>
      <c r="E181">
        <v>0</v>
      </c>
      <c r="F181">
        <v>0</v>
      </c>
      <c r="G181">
        <f>SUM(Table1[[#This Row],[REVN]]*-1)</f>
        <v>4750</v>
      </c>
      <c r="H181">
        <f>Table1[[#This Row],[COER]]</f>
        <v>708.56</v>
      </c>
    </row>
    <row r="182" spans="2:8" x14ac:dyDescent="0.25">
      <c r="B182" s="252">
        <v>21555</v>
      </c>
      <c r="C182">
        <v>-75477.7</v>
      </c>
      <c r="D182">
        <v>30325.93</v>
      </c>
      <c r="E182">
        <v>0</v>
      </c>
      <c r="F182">
        <v>0</v>
      </c>
      <c r="G182">
        <f>SUM(Table1[[#This Row],[REVN]]*-1)</f>
        <v>75477.7</v>
      </c>
      <c r="H182">
        <f>Table1[[#This Row],[COER]]</f>
        <v>30325.93</v>
      </c>
    </row>
    <row r="183" spans="2:8" x14ac:dyDescent="0.25">
      <c r="B183" s="252">
        <v>21556</v>
      </c>
      <c r="C183">
        <v>-16040</v>
      </c>
      <c r="D183">
        <v>24699.62</v>
      </c>
      <c r="E183">
        <v>0</v>
      </c>
      <c r="F183">
        <v>0</v>
      </c>
      <c r="G183">
        <f>SUM(Table1[[#This Row],[REVN]]*-1)</f>
        <v>16040</v>
      </c>
      <c r="H183">
        <f>Table1[[#This Row],[COER]]</f>
        <v>24699.62</v>
      </c>
    </row>
    <row r="184" spans="2:8" x14ac:dyDescent="0.25">
      <c r="B184" s="252">
        <v>21557</v>
      </c>
      <c r="C184">
        <v>0</v>
      </c>
      <c r="D184">
        <v>114.24</v>
      </c>
      <c r="E184">
        <v>0</v>
      </c>
      <c r="F184">
        <v>0</v>
      </c>
      <c r="G184">
        <f>SUM(Table1[[#This Row],[REVN]]*-1)</f>
        <v>0</v>
      </c>
      <c r="H184">
        <f>Table1[[#This Row],[COER]]</f>
        <v>114.24</v>
      </c>
    </row>
    <row r="185" spans="2:8" x14ac:dyDescent="0.25">
      <c r="B185" s="252">
        <v>21558</v>
      </c>
      <c r="C185">
        <v>-388420.07</v>
      </c>
      <c r="D185">
        <v>245523.52</v>
      </c>
      <c r="E185">
        <v>0</v>
      </c>
      <c r="F185">
        <v>0</v>
      </c>
      <c r="G185">
        <f>SUM(Table1[[#This Row],[REVN]]*-1)</f>
        <v>388420.07</v>
      </c>
      <c r="H185">
        <f>Table1[[#This Row],[COER]]</f>
        <v>245523.52</v>
      </c>
    </row>
    <row r="186" spans="2:8" x14ac:dyDescent="0.25">
      <c r="B186" s="252">
        <v>21559</v>
      </c>
      <c r="C186">
        <v>0</v>
      </c>
      <c r="D186">
        <v>0</v>
      </c>
      <c r="E186">
        <v>0</v>
      </c>
      <c r="F186">
        <v>0</v>
      </c>
      <c r="G186">
        <f>SUM(Table1[[#This Row],[REVN]]*-1)</f>
        <v>0</v>
      </c>
      <c r="H186">
        <f>Table1[[#This Row],[COER]]</f>
        <v>0</v>
      </c>
    </row>
    <row r="187" spans="2:8" x14ac:dyDescent="0.25">
      <c r="B187" s="252">
        <v>21561</v>
      </c>
      <c r="C187">
        <v>0</v>
      </c>
      <c r="D187">
        <v>0</v>
      </c>
      <c r="E187">
        <v>0</v>
      </c>
      <c r="F187">
        <v>0</v>
      </c>
      <c r="G187">
        <f>SUM(Table1[[#This Row],[REVN]]*-1)</f>
        <v>0</v>
      </c>
      <c r="H187">
        <f>Table1[[#This Row],[COER]]</f>
        <v>0</v>
      </c>
    </row>
    <row r="188" spans="2:8" x14ac:dyDescent="0.25">
      <c r="B188" s="252">
        <v>21565</v>
      </c>
      <c r="C188">
        <v>0</v>
      </c>
      <c r="D188">
        <v>0</v>
      </c>
      <c r="E188">
        <v>0</v>
      </c>
      <c r="F188">
        <v>0</v>
      </c>
      <c r="G188">
        <f>SUM(Table1[[#This Row],[REVN]]*-1)</f>
        <v>0</v>
      </c>
      <c r="H188">
        <f>Table1[[#This Row],[COER]]</f>
        <v>0</v>
      </c>
    </row>
    <row r="189" spans="2:8" x14ac:dyDescent="0.25">
      <c r="B189" s="252">
        <v>21569</v>
      </c>
      <c r="C189">
        <v>0</v>
      </c>
      <c r="D189">
        <v>0</v>
      </c>
      <c r="E189">
        <v>0</v>
      </c>
      <c r="F189">
        <v>0</v>
      </c>
      <c r="G189">
        <f>SUM(Table1[[#This Row],[REVN]]*-1)</f>
        <v>0</v>
      </c>
      <c r="H189">
        <f>Table1[[#This Row],[COER]]</f>
        <v>0</v>
      </c>
    </row>
    <row r="190" spans="2:8" x14ac:dyDescent="0.25">
      <c r="B190" s="252">
        <v>21571</v>
      </c>
      <c r="C190">
        <v>0</v>
      </c>
      <c r="D190">
        <v>9721.1200000000008</v>
      </c>
      <c r="E190">
        <v>0</v>
      </c>
      <c r="F190">
        <v>0</v>
      </c>
      <c r="G190">
        <f>SUM(Table1[[#This Row],[REVN]]*-1)</f>
        <v>0</v>
      </c>
      <c r="H190">
        <f>Table1[[#This Row],[COER]]</f>
        <v>9721.1200000000008</v>
      </c>
    </row>
    <row r="191" spans="2:8" x14ac:dyDescent="0.25">
      <c r="B191" s="252">
        <v>21572</v>
      </c>
      <c r="C191">
        <v>-17400</v>
      </c>
      <c r="D191">
        <v>25559.73</v>
      </c>
      <c r="E191">
        <v>0</v>
      </c>
      <c r="F191">
        <v>0</v>
      </c>
      <c r="G191">
        <f>SUM(Table1[[#This Row],[REVN]]*-1)</f>
        <v>17400</v>
      </c>
      <c r="H191">
        <f>Table1[[#This Row],[COER]]</f>
        <v>25559.73</v>
      </c>
    </row>
    <row r="192" spans="2:8" x14ac:dyDescent="0.25">
      <c r="B192" s="252">
        <v>21575</v>
      </c>
      <c r="C192">
        <v>-98156.88</v>
      </c>
      <c r="D192">
        <v>38663.199999999997</v>
      </c>
      <c r="E192">
        <v>0</v>
      </c>
      <c r="F192">
        <v>0</v>
      </c>
      <c r="G192">
        <f>SUM(Table1[[#This Row],[REVN]]*-1)</f>
        <v>98156.88</v>
      </c>
      <c r="H192">
        <f>Table1[[#This Row],[COER]]</f>
        <v>38663.199999999997</v>
      </c>
    </row>
    <row r="193" spans="2:8" x14ac:dyDescent="0.25">
      <c r="B193" s="252">
        <v>21579</v>
      </c>
      <c r="C193">
        <v>0</v>
      </c>
      <c r="D193">
        <v>0</v>
      </c>
      <c r="E193">
        <v>0</v>
      </c>
      <c r="F193">
        <v>0</v>
      </c>
      <c r="G193">
        <f>SUM(Table1[[#This Row],[REVN]]*-1)</f>
        <v>0</v>
      </c>
      <c r="H193">
        <f>Table1[[#This Row],[COER]]</f>
        <v>0</v>
      </c>
    </row>
    <row r="194" spans="2:8" x14ac:dyDescent="0.25">
      <c r="B194" s="252">
        <v>21581</v>
      </c>
      <c r="C194">
        <v>-4260.6000000000004</v>
      </c>
      <c r="D194">
        <v>2097.41</v>
      </c>
      <c r="E194">
        <v>0</v>
      </c>
      <c r="F194">
        <v>0</v>
      </c>
      <c r="G194">
        <f>SUM(Table1[[#This Row],[REVN]]*-1)</f>
        <v>4260.6000000000004</v>
      </c>
      <c r="H194">
        <f>Table1[[#This Row],[COER]]</f>
        <v>2097.41</v>
      </c>
    </row>
    <row r="195" spans="2:8" x14ac:dyDescent="0.25">
      <c r="B195" s="252">
        <v>21583</v>
      </c>
      <c r="C195">
        <v>-457705.09</v>
      </c>
      <c r="D195">
        <v>389998.22</v>
      </c>
      <c r="E195">
        <v>0</v>
      </c>
      <c r="F195">
        <v>0</v>
      </c>
      <c r="G195">
        <f>SUM(Table1[[#This Row],[REVN]]*-1)</f>
        <v>457705.09</v>
      </c>
      <c r="H195">
        <f>Table1[[#This Row],[COER]]</f>
        <v>389998.22</v>
      </c>
    </row>
    <row r="196" spans="2:8" x14ac:dyDescent="0.25">
      <c r="B196" s="252">
        <v>21586</v>
      </c>
      <c r="C196">
        <v>0</v>
      </c>
      <c r="D196">
        <v>0</v>
      </c>
      <c r="E196">
        <v>0</v>
      </c>
      <c r="F196">
        <v>0</v>
      </c>
      <c r="G196">
        <f>SUM(Table1[[#This Row],[REVN]]*-1)</f>
        <v>0</v>
      </c>
      <c r="H196">
        <f>Table1[[#This Row],[COER]]</f>
        <v>0</v>
      </c>
    </row>
    <row r="197" spans="2:8" x14ac:dyDescent="0.25">
      <c r="B197" s="252">
        <v>21594</v>
      </c>
      <c r="C197">
        <v>-629.5</v>
      </c>
      <c r="D197">
        <v>3330.89</v>
      </c>
      <c r="E197">
        <v>0</v>
      </c>
      <c r="F197">
        <v>0</v>
      </c>
      <c r="G197">
        <f>SUM(Table1[[#This Row],[REVN]]*-1)</f>
        <v>629.5</v>
      </c>
      <c r="H197">
        <f>Table1[[#This Row],[COER]]</f>
        <v>3330.89</v>
      </c>
    </row>
    <row r="198" spans="2:8" x14ac:dyDescent="0.25">
      <c r="B198" s="252">
        <v>21595</v>
      </c>
      <c r="C198">
        <v>-159793.5</v>
      </c>
      <c r="D198">
        <v>129416.27</v>
      </c>
      <c r="E198">
        <v>0</v>
      </c>
      <c r="F198">
        <v>0</v>
      </c>
      <c r="G198">
        <f>SUM(Table1[[#This Row],[REVN]]*-1)</f>
        <v>159793.5</v>
      </c>
      <c r="H198">
        <f>Table1[[#This Row],[COER]]</f>
        <v>129416.27</v>
      </c>
    </row>
    <row r="199" spans="2:8" x14ac:dyDescent="0.25">
      <c r="B199" s="252">
        <v>21596</v>
      </c>
      <c r="C199">
        <v>-112305.60000000001</v>
      </c>
      <c r="D199">
        <v>192086.72</v>
      </c>
      <c r="E199">
        <v>0</v>
      </c>
      <c r="F199">
        <v>0</v>
      </c>
      <c r="G199">
        <f>SUM(Table1[[#This Row],[REVN]]*-1)</f>
        <v>112305.60000000001</v>
      </c>
      <c r="H199">
        <f>Table1[[#This Row],[COER]]</f>
        <v>192086.72</v>
      </c>
    </row>
    <row r="200" spans="2:8" x14ac:dyDescent="0.25">
      <c r="B200" s="252">
        <v>21597</v>
      </c>
      <c r="C200">
        <v>0</v>
      </c>
      <c r="D200">
        <v>261.25</v>
      </c>
      <c r="E200">
        <v>0</v>
      </c>
      <c r="F200">
        <v>0</v>
      </c>
      <c r="G200">
        <f>SUM(Table1[[#This Row],[REVN]]*-1)</f>
        <v>0</v>
      </c>
      <c r="H200">
        <f>Table1[[#This Row],[COER]]</f>
        <v>261.25</v>
      </c>
    </row>
    <row r="201" spans="2:8" x14ac:dyDescent="0.25">
      <c r="B201" s="252">
        <v>21604</v>
      </c>
      <c r="C201">
        <v>-3863.63</v>
      </c>
      <c r="D201">
        <v>7077.73</v>
      </c>
      <c r="E201">
        <v>0</v>
      </c>
      <c r="F201">
        <v>0</v>
      </c>
      <c r="G201">
        <f>SUM(Table1[[#This Row],[REVN]]*-1)</f>
        <v>3863.63</v>
      </c>
      <c r="H201">
        <f>Table1[[#This Row],[COER]]</f>
        <v>7077.73</v>
      </c>
    </row>
    <row r="202" spans="2:8" x14ac:dyDescent="0.25">
      <c r="B202" s="252">
        <v>21612</v>
      </c>
      <c r="C202">
        <v>-34630.800000000003</v>
      </c>
      <c r="D202">
        <v>4130.76</v>
      </c>
      <c r="E202">
        <v>0</v>
      </c>
      <c r="F202">
        <v>0</v>
      </c>
      <c r="G202">
        <f>SUM(Table1[[#This Row],[REVN]]*-1)</f>
        <v>34630.800000000003</v>
      </c>
      <c r="H202">
        <f>Table1[[#This Row],[COER]]</f>
        <v>4130.76</v>
      </c>
    </row>
    <row r="203" spans="2:8" x14ac:dyDescent="0.25">
      <c r="B203" s="252">
        <v>21614</v>
      </c>
      <c r="C203">
        <v>-366825.98</v>
      </c>
      <c r="D203">
        <v>362268.66</v>
      </c>
      <c r="E203">
        <v>0</v>
      </c>
      <c r="F203">
        <v>0</v>
      </c>
      <c r="G203">
        <f>SUM(Table1[[#This Row],[REVN]]*-1)</f>
        <v>366825.98</v>
      </c>
      <c r="H203">
        <f>Table1[[#This Row],[COER]]</f>
        <v>362268.66</v>
      </c>
    </row>
    <row r="204" spans="2:8" x14ac:dyDescent="0.25">
      <c r="B204" s="252">
        <v>21618</v>
      </c>
      <c r="C204">
        <v>0</v>
      </c>
      <c r="D204">
        <v>0</v>
      </c>
      <c r="E204">
        <v>0</v>
      </c>
      <c r="F204">
        <v>0</v>
      </c>
      <c r="G204">
        <f>SUM(Table1[[#This Row],[REVN]]*-1)</f>
        <v>0</v>
      </c>
      <c r="H204">
        <f>Table1[[#This Row],[COER]]</f>
        <v>0</v>
      </c>
    </row>
    <row r="205" spans="2:8" x14ac:dyDescent="0.25">
      <c r="B205" s="252">
        <v>21619</v>
      </c>
      <c r="C205">
        <v>0</v>
      </c>
      <c r="D205">
        <v>0</v>
      </c>
      <c r="E205">
        <v>0</v>
      </c>
      <c r="F205">
        <v>0</v>
      </c>
      <c r="G205">
        <f>SUM(Table1[[#This Row],[REVN]]*-1)</f>
        <v>0</v>
      </c>
      <c r="H205">
        <f>Table1[[#This Row],[COER]]</f>
        <v>0</v>
      </c>
    </row>
    <row r="206" spans="2:8" x14ac:dyDescent="0.25">
      <c r="B206" s="252">
        <v>21620</v>
      </c>
      <c r="C206">
        <v>-175623.75</v>
      </c>
      <c r="D206">
        <v>109676.75</v>
      </c>
      <c r="E206">
        <v>0</v>
      </c>
      <c r="F206">
        <v>0</v>
      </c>
      <c r="G206">
        <f>SUM(Table1[[#This Row],[REVN]]*-1)</f>
        <v>175623.75</v>
      </c>
      <c r="H206">
        <f>Table1[[#This Row],[COER]]</f>
        <v>109676.75</v>
      </c>
    </row>
    <row r="207" spans="2:8" x14ac:dyDescent="0.25">
      <c r="B207" s="252">
        <v>21621</v>
      </c>
      <c r="C207">
        <v>-392386.74</v>
      </c>
      <c r="D207">
        <v>533273.68000000005</v>
      </c>
      <c r="E207">
        <v>0</v>
      </c>
      <c r="F207">
        <v>0</v>
      </c>
      <c r="G207">
        <f>SUM(Table1[[#This Row],[REVN]]*-1)</f>
        <v>392386.74</v>
      </c>
      <c r="H207">
        <f>Table1[[#This Row],[COER]]</f>
        <v>533273.68000000005</v>
      </c>
    </row>
    <row r="208" spans="2:8" x14ac:dyDescent="0.25">
      <c r="B208" s="252">
        <v>21622</v>
      </c>
      <c r="C208">
        <v>0</v>
      </c>
      <c r="D208">
        <v>0</v>
      </c>
      <c r="E208">
        <v>0</v>
      </c>
      <c r="F208">
        <v>0</v>
      </c>
      <c r="G208">
        <f>SUM(Table1[[#This Row],[REVN]]*-1)</f>
        <v>0</v>
      </c>
      <c r="H208">
        <f>Table1[[#This Row],[COER]]</f>
        <v>0</v>
      </c>
    </row>
    <row r="209" spans="2:8" x14ac:dyDescent="0.25">
      <c r="B209" s="252">
        <v>21623</v>
      </c>
      <c r="C209">
        <v>0</v>
      </c>
      <c r="D209">
        <v>0</v>
      </c>
      <c r="E209">
        <v>0</v>
      </c>
      <c r="F209">
        <v>0</v>
      </c>
      <c r="G209">
        <f>SUM(Table1[[#This Row],[REVN]]*-1)</f>
        <v>0</v>
      </c>
      <c r="H209">
        <f>Table1[[#This Row],[COER]]</f>
        <v>0</v>
      </c>
    </row>
    <row r="210" spans="2:8" x14ac:dyDescent="0.25">
      <c r="B210" s="252">
        <v>21624</v>
      </c>
      <c r="C210">
        <v>-147078.07999999999</v>
      </c>
      <c r="D210">
        <v>143435.20000000001</v>
      </c>
      <c r="E210">
        <v>0</v>
      </c>
      <c r="F210">
        <v>0</v>
      </c>
      <c r="G210">
        <f>SUM(Table1[[#This Row],[REVN]]*-1)</f>
        <v>147078.07999999999</v>
      </c>
      <c r="H210">
        <f>Table1[[#This Row],[COER]]</f>
        <v>143435.20000000001</v>
      </c>
    </row>
    <row r="211" spans="2:8" x14ac:dyDescent="0.25">
      <c r="B211" s="252">
        <v>21628</v>
      </c>
      <c r="C211">
        <v>-2694</v>
      </c>
      <c r="D211">
        <v>330.3</v>
      </c>
      <c r="E211">
        <v>0</v>
      </c>
      <c r="F211">
        <v>0</v>
      </c>
      <c r="G211">
        <f>SUM(Table1[[#This Row],[REVN]]*-1)</f>
        <v>2694</v>
      </c>
      <c r="H211">
        <f>Table1[[#This Row],[COER]]</f>
        <v>330.3</v>
      </c>
    </row>
    <row r="212" spans="2:8" x14ac:dyDescent="0.25">
      <c r="B212" s="252">
        <v>21630</v>
      </c>
      <c r="C212">
        <v>-14600.4</v>
      </c>
      <c r="D212">
        <v>11738.37</v>
      </c>
      <c r="E212">
        <v>0</v>
      </c>
      <c r="F212">
        <v>0</v>
      </c>
      <c r="G212">
        <f>SUM(Table1[[#This Row],[REVN]]*-1)</f>
        <v>14600.4</v>
      </c>
      <c r="H212">
        <f>Table1[[#This Row],[COER]]</f>
        <v>11738.37</v>
      </c>
    </row>
    <row r="213" spans="2:8" x14ac:dyDescent="0.25">
      <c r="B213" s="252">
        <v>21635</v>
      </c>
      <c r="C213">
        <v>-9255.64</v>
      </c>
      <c r="D213">
        <v>8758.7000000000007</v>
      </c>
      <c r="E213">
        <v>0</v>
      </c>
      <c r="F213">
        <v>0</v>
      </c>
      <c r="G213">
        <f>SUM(Table1[[#This Row],[REVN]]*-1)</f>
        <v>9255.64</v>
      </c>
      <c r="H213">
        <f>Table1[[#This Row],[COER]]</f>
        <v>8758.7000000000007</v>
      </c>
    </row>
    <row r="214" spans="2:8" x14ac:dyDescent="0.25">
      <c r="B214" s="252">
        <v>21637</v>
      </c>
      <c r="C214">
        <v>0</v>
      </c>
      <c r="D214">
        <v>0</v>
      </c>
      <c r="E214">
        <v>0</v>
      </c>
      <c r="F214">
        <v>0</v>
      </c>
      <c r="G214">
        <f>SUM(Table1[[#This Row],[REVN]]*-1)</f>
        <v>0</v>
      </c>
      <c r="H214">
        <f>Table1[[#This Row],[COER]]</f>
        <v>0</v>
      </c>
    </row>
    <row r="215" spans="2:8" x14ac:dyDescent="0.25">
      <c r="B215" s="252">
        <v>21638</v>
      </c>
      <c r="C215">
        <v>0</v>
      </c>
      <c r="D215">
        <v>-308.68</v>
      </c>
      <c r="E215">
        <v>0</v>
      </c>
      <c r="F215">
        <v>0</v>
      </c>
      <c r="G215">
        <f>SUM(Table1[[#This Row],[REVN]]*-1)</f>
        <v>0</v>
      </c>
      <c r="H215">
        <f>Table1[[#This Row],[COER]]</f>
        <v>-308.68</v>
      </c>
    </row>
    <row r="216" spans="2:8" x14ac:dyDescent="0.25">
      <c r="B216" s="252">
        <v>21641</v>
      </c>
      <c r="C216">
        <v>-43082.54</v>
      </c>
      <c r="D216">
        <v>28534.91</v>
      </c>
      <c r="E216">
        <v>0</v>
      </c>
      <c r="F216">
        <v>0</v>
      </c>
      <c r="G216">
        <f>SUM(Table1[[#This Row],[REVN]]*-1)</f>
        <v>43082.54</v>
      </c>
      <c r="H216">
        <f>Table1[[#This Row],[COER]]</f>
        <v>28534.91</v>
      </c>
    </row>
    <row r="217" spans="2:8" x14ac:dyDescent="0.25">
      <c r="B217" s="252">
        <v>21642</v>
      </c>
      <c r="C217">
        <v>0</v>
      </c>
      <c r="D217">
        <v>0</v>
      </c>
      <c r="E217">
        <v>0</v>
      </c>
      <c r="F217">
        <v>0</v>
      </c>
      <c r="G217">
        <f>SUM(Table1[[#This Row],[REVN]]*-1)</f>
        <v>0</v>
      </c>
      <c r="H217">
        <f>Table1[[#This Row],[COER]]</f>
        <v>0</v>
      </c>
    </row>
    <row r="218" spans="2:8" x14ac:dyDescent="0.25">
      <c r="B218" s="252">
        <v>21643</v>
      </c>
      <c r="C218">
        <v>-1</v>
      </c>
      <c r="D218">
        <v>4894.2700000000004</v>
      </c>
      <c r="E218">
        <v>0</v>
      </c>
      <c r="F218">
        <v>0</v>
      </c>
      <c r="G218">
        <f>SUM(Table1[[#This Row],[REVN]]*-1)</f>
        <v>1</v>
      </c>
      <c r="H218">
        <f>Table1[[#This Row],[COER]]</f>
        <v>4894.2700000000004</v>
      </c>
    </row>
    <row r="219" spans="2:8" x14ac:dyDescent="0.25">
      <c r="B219" s="252">
        <v>21648</v>
      </c>
      <c r="C219">
        <v>0</v>
      </c>
      <c r="D219">
        <v>3198.39</v>
      </c>
      <c r="E219">
        <v>0</v>
      </c>
      <c r="F219">
        <v>0</v>
      </c>
      <c r="G219">
        <f>SUM(Table1[[#This Row],[REVN]]*-1)</f>
        <v>0</v>
      </c>
      <c r="H219">
        <f>Table1[[#This Row],[COER]]</f>
        <v>3198.39</v>
      </c>
    </row>
    <row r="220" spans="2:8" x14ac:dyDescent="0.25">
      <c r="B220" s="252">
        <v>21651</v>
      </c>
      <c r="C220">
        <v>-25914.38</v>
      </c>
      <c r="D220">
        <v>21140.400000000001</v>
      </c>
      <c r="E220">
        <v>0</v>
      </c>
      <c r="F220">
        <v>0</v>
      </c>
      <c r="G220">
        <f>SUM(Table1[[#This Row],[REVN]]*-1)</f>
        <v>25914.38</v>
      </c>
      <c r="H220">
        <f>Table1[[#This Row],[COER]]</f>
        <v>21140.400000000001</v>
      </c>
    </row>
    <row r="221" spans="2:8" x14ac:dyDescent="0.25">
      <c r="B221" s="252">
        <v>21654</v>
      </c>
      <c r="C221">
        <v>-354229.47</v>
      </c>
      <c r="D221">
        <v>199269.3</v>
      </c>
      <c r="E221">
        <v>0</v>
      </c>
      <c r="F221">
        <v>0</v>
      </c>
      <c r="G221">
        <f>SUM(Table1[[#This Row],[REVN]]*-1)</f>
        <v>354229.47</v>
      </c>
      <c r="H221">
        <f>Table1[[#This Row],[COER]]</f>
        <v>199269.3</v>
      </c>
    </row>
    <row r="222" spans="2:8" x14ac:dyDescent="0.25">
      <c r="B222" s="252">
        <v>21655</v>
      </c>
      <c r="C222">
        <v>-2049</v>
      </c>
      <c r="D222">
        <v>158.44</v>
      </c>
      <c r="E222">
        <v>0</v>
      </c>
      <c r="F222">
        <v>0</v>
      </c>
      <c r="G222">
        <f>SUM(Table1[[#This Row],[REVN]]*-1)</f>
        <v>2049</v>
      </c>
      <c r="H222">
        <f>Table1[[#This Row],[COER]]</f>
        <v>158.44</v>
      </c>
    </row>
    <row r="223" spans="2:8" x14ac:dyDescent="0.25">
      <c r="B223" s="252">
        <v>21660</v>
      </c>
      <c r="C223">
        <v>0</v>
      </c>
      <c r="D223">
        <v>0</v>
      </c>
      <c r="E223">
        <v>0</v>
      </c>
      <c r="F223">
        <v>0</v>
      </c>
      <c r="G223">
        <f>SUM(Table1[[#This Row],[REVN]]*-1)</f>
        <v>0</v>
      </c>
      <c r="H223">
        <f>Table1[[#This Row],[COER]]</f>
        <v>0</v>
      </c>
    </row>
    <row r="224" spans="2:8" x14ac:dyDescent="0.25">
      <c r="B224" s="252">
        <v>21665</v>
      </c>
      <c r="C224">
        <v>0</v>
      </c>
      <c r="D224">
        <v>0</v>
      </c>
      <c r="E224">
        <v>0</v>
      </c>
      <c r="F224">
        <v>0</v>
      </c>
      <c r="G224">
        <f>SUM(Table1[[#This Row],[REVN]]*-1)</f>
        <v>0</v>
      </c>
      <c r="H224">
        <f>Table1[[#This Row],[COER]]</f>
        <v>0</v>
      </c>
    </row>
    <row r="225" spans="2:8" x14ac:dyDescent="0.25">
      <c r="B225" s="252">
        <v>21666</v>
      </c>
      <c r="C225">
        <v>-865935.83</v>
      </c>
      <c r="D225">
        <v>856676.49</v>
      </c>
      <c r="E225">
        <v>0</v>
      </c>
      <c r="F225">
        <v>0</v>
      </c>
      <c r="G225">
        <f>SUM(Table1[[#This Row],[REVN]]*-1)</f>
        <v>865935.83</v>
      </c>
      <c r="H225">
        <f>Table1[[#This Row],[COER]]</f>
        <v>856676.49</v>
      </c>
    </row>
    <row r="226" spans="2:8" x14ac:dyDescent="0.25">
      <c r="B226" s="252">
        <v>21668</v>
      </c>
      <c r="C226">
        <v>-585736.53</v>
      </c>
      <c r="D226">
        <v>355695.67</v>
      </c>
      <c r="E226">
        <v>0</v>
      </c>
      <c r="F226">
        <v>0</v>
      </c>
      <c r="G226">
        <f>SUM(Table1[[#This Row],[REVN]]*-1)</f>
        <v>585736.53</v>
      </c>
      <c r="H226">
        <f>Table1[[#This Row],[COER]]</f>
        <v>355695.67</v>
      </c>
    </row>
    <row r="227" spans="2:8" x14ac:dyDescent="0.25">
      <c r="B227" s="252">
        <v>21670</v>
      </c>
      <c r="C227">
        <v>0</v>
      </c>
      <c r="D227">
        <v>0</v>
      </c>
      <c r="E227">
        <v>0</v>
      </c>
      <c r="F227">
        <v>0</v>
      </c>
      <c r="G227">
        <f>SUM(Table1[[#This Row],[REVN]]*-1)</f>
        <v>0</v>
      </c>
      <c r="H227">
        <f>Table1[[#This Row],[COER]]</f>
        <v>0</v>
      </c>
    </row>
    <row r="228" spans="2:8" x14ac:dyDescent="0.25">
      <c r="B228" s="252">
        <v>21672</v>
      </c>
      <c r="C228">
        <v>-45666</v>
      </c>
      <c r="D228">
        <v>38955.29</v>
      </c>
      <c r="E228">
        <v>0</v>
      </c>
      <c r="F228">
        <v>0</v>
      </c>
      <c r="G228">
        <f>SUM(Table1[[#This Row],[REVN]]*-1)</f>
        <v>45666</v>
      </c>
      <c r="H228">
        <f>Table1[[#This Row],[COER]]</f>
        <v>38955.29</v>
      </c>
    </row>
    <row r="229" spans="2:8" x14ac:dyDescent="0.25">
      <c r="B229" s="252">
        <v>21673</v>
      </c>
      <c r="C229">
        <v>0</v>
      </c>
      <c r="D229">
        <v>0</v>
      </c>
      <c r="E229">
        <v>0</v>
      </c>
      <c r="F229">
        <v>0</v>
      </c>
      <c r="G229">
        <f>SUM(Table1[[#This Row],[REVN]]*-1)</f>
        <v>0</v>
      </c>
      <c r="H229">
        <f>Table1[[#This Row],[COER]]</f>
        <v>0</v>
      </c>
    </row>
    <row r="230" spans="2:8" x14ac:dyDescent="0.25">
      <c r="B230" s="252">
        <v>21674</v>
      </c>
      <c r="C230">
        <v>-9492</v>
      </c>
      <c r="D230">
        <v>1929.23</v>
      </c>
      <c r="E230">
        <v>0</v>
      </c>
      <c r="F230">
        <v>0</v>
      </c>
      <c r="G230">
        <f>SUM(Table1[[#This Row],[REVN]]*-1)</f>
        <v>9492</v>
      </c>
      <c r="H230">
        <f>Table1[[#This Row],[COER]]</f>
        <v>1929.23</v>
      </c>
    </row>
    <row r="231" spans="2:8" x14ac:dyDescent="0.25">
      <c r="B231" s="252">
        <v>21676</v>
      </c>
      <c r="C231">
        <v>0</v>
      </c>
      <c r="D231">
        <v>0</v>
      </c>
      <c r="E231">
        <v>0</v>
      </c>
      <c r="F231">
        <v>0</v>
      </c>
      <c r="G231">
        <f>SUM(Table1[[#This Row],[REVN]]*-1)</f>
        <v>0</v>
      </c>
      <c r="H231">
        <f>Table1[[#This Row],[COER]]</f>
        <v>0</v>
      </c>
    </row>
    <row r="232" spans="2:8" x14ac:dyDescent="0.25">
      <c r="B232" s="252">
        <v>21677</v>
      </c>
      <c r="C232">
        <v>-231120.22</v>
      </c>
      <c r="D232">
        <v>168665.32</v>
      </c>
      <c r="E232">
        <v>0</v>
      </c>
      <c r="F232">
        <v>0</v>
      </c>
      <c r="G232">
        <f>SUM(Table1[[#This Row],[REVN]]*-1)</f>
        <v>231120.22</v>
      </c>
      <c r="H232">
        <f>Table1[[#This Row],[COER]]</f>
        <v>168665.32</v>
      </c>
    </row>
    <row r="233" spans="2:8" x14ac:dyDescent="0.25">
      <c r="B233" s="252">
        <v>21680</v>
      </c>
      <c r="C233">
        <v>0</v>
      </c>
      <c r="D233">
        <v>0</v>
      </c>
      <c r="E233">
        <v>0</v>
      </c>
      <c r="F233">
        <v>0</v>
      </c>
      <c r="G233">
        <f>SUM(Table1[[#This Row],[REVN]]*-1)</f>
        <v>0</v>
      </c>
      <c r="H233">
        <f>Table1[[#This Row],[COER]]</f>
        <v>0</v>
      </c>
    </row>
    <row r="234" spans="2:8" x14ac:dyDescent="0.25">
      <c r="B234" s="252">
        <v>21686</v>
      </c>
      <c r="C234">
        <v>-48623.25</v>
      </c>
      <c r="D234">
        <v>33940.57</v>
      </c>
      <c r="E234">
        <v>0</v>
      </c>
      <c r="F234">
        <v>0</v>
      </c>
      <c r="G234">
        <f>SUM(Table1[[#This Row],[REVN]]*-1)</f>
        <v>48623.25</v>
      </c>
      <c r="H234">
        <f>Table1[[#This Row],[COER]]</f>
        <v>33940.57</v>
      </c>
    </row>
    <row r="235" spans="2:8" x14ac:dyDescent="0.25">
      <c r="B235" s="252">
        <v>21687</v>
      </c>
      <c r="C235">
        <v>0</v>
      </c>
      <c r="D235">
        <v>0</v>
      </c>
      <c r="E235">
        <v>0</v>
      </c>
      <c r="F235">
        <v>0</v>
      </c>
      <c r="G235">
        <f>SUM(Table1[[#This Row],[REVN]]*-1)</f>
        <v>0</v>
      </c>
      <c r="H235">
        <f>Table1[[#This Row],[COER]]</f>
        <v>0</v>
      </c>
    </row>
    <row r="236" spans="2:8" x14ac:dyDescent="0.25">
      <c r="B236" s="252">
        <v>21849</v>
      </c>
      <c r="C236">
        <v>0</v>
      </c>
      <c r="D236">
        <v>480.05</v>
      </c>
      <c r="E236">
        <v>0</v>
      </c>
      <c r="F236">
        <v>0</v>
      </c>
      <c r="G236">
        <f>SUM(Table1[[#This Row],[REVN]]*-1)</f>
        <v>0</v>
      </c>
      <c r="H236">
        <f>Table1[[#This Row],[COER]]</f>
        <v>480.05</v>
      </c>
    </row>
    <row r="237" spans="2:8" x14ac:dyDescent="0.25">
      <c r="B237" s="252">
        <v>21850</v>
      </c>
      <c r="C237">
        <v>-109075.21</v>
      </c>
      <c r="D237">
        <v>703.54</v>
      </c>
      <c r="E237">
        <v>0</v>
      </c>
      <c r="F237">
        <v>0</v>
      </c>
      <c r="G237">
        <f>SUM(Table1[[#This Row],[REVN]]*-1)</f>
        <v>109075.21</v>
      </c>
      <c r="H237">
        <f>Table1[[#This Row],[COER]]</f>
        <v>703.54</v>
      </c>
    </row>
    <row r="238" spans="2:8" x14ac:dyDescent="0.25">
      <c r="B238" s="252">
        <v>21875</v>
      </c>
      <c r="C238">
        <v>0</v>
      </c>
      <c r="D238">
        <v>0</v>
      </c>
      <c r="E238">
        <v>0</v>
      </c>
      <c r="F238">
        <v>0</v>
      </c>
      <c r="G238">
        <f>SUM(Table1[[#This Row],[REVN]]*-1)</f>
        <v>0</v>
      </c>
      <c r="H238">
        <f>Table1[[#This Row],[COER]]</f>
        <v>0</v>
      </c>
    </row>
    <row r="239" spans="2:8" x14ac:dyDescent="0.25">
      <c r="B239" s="252">
        <v>21878</v>
      </c>
      <c r="C239">
        <v>0</v>
      </c>
      <c r="D239">
        <v>64176</v>
      </c>
      <c r="E239">
        <v>0</v>
      </c>
      <c r="F239">
        <v>0</v>
      </c>
      <c r="G239">
        <f>SUM(Table1[[#This Row],[REVN]]*-1)</f>
        <v>0</v>
      </c>
      <c r="H239">
        <f>Table1[[#This Row],[COER]]</f>
        <v>64176</v>
      </c>
    </row>
    <row r="240" spans="2:8" x14ac:dyDescent="0.25">
      <c r="B240" s="252">
        <v>21879</v>
      </c>
      <c r="C240">
        <v>0</v>
      </c>
      <c r="D240">
        <v>0</v>
      </c>
      <c r="E240">
        <v>0</v>
      </c>
      <c r="F240">
        <v>0</v>
      </c>
      <c r="G240">
        <f>SUM(Table1[[#This Row],[REVN]]*-1)</f>
        <v>0</v>
      </c>
      <c r="H240">
        <f>Table1[[#This Row],[COER]]</f>
        <v>0</v>
      </c>
    </row>
    <row r="241" spans="2:8" x14ac:dyDescent="0.25">
      <c r="B241" s="252">
        <v>21880</v>
      </c>
      <c r="C241">
        <v>-11207.68</v>
      </c>
      <c r="D241">
        <v>23847.3</v>
      </c>
      <c r="E241">
        <v>0</v>
      </c>
      <c r="F241">
        <v>0</v>
      </c>
      <c r="G241">
        <f>SUM(Table1[[#This Row],[REVN]]*-1)</f>
        <v>11207.68</v>
      </c>
      <c r="H241">
        <f>Table1[[#This Row],[COER]]</f>
        <v>23847.3</v>
      </c>
    </row>
    <row r="242" spans="2:8" x14ac:dyDescent="0.25">
      <c r="B242" s="252">
        <v>21881</v>
      </c>
      <c r="C242">
        <v>-10337.66</v>
      </c>
      <c r="D242">
        <v>37066.53</v>
      </c>
      <c r="E242">
        <v>0</v>
      </c>
      <c r="F242">
        <v>0</v>
      </c>
      <c r="G242">
        <f>SUM(Table1[[#This Row],[REVN]]*-1)</f>
        <v>10337.66</v>
      </c>
      <c r="H242">
        <f>Table1[[#This Row],[COER]]</f>
        <v>37066.53</v>
      </c>
    </row>
    <row r="243" spans="2:8" x14ac:dyDescent="0.25">
      <c r="B243" s="252">
        <v>21882</v>
      </c>
      <c r="C243">
        <v>0</v>
      </c>
      <c r="D243">
        <v>0</v>
      </c>
      <c r="E243">
        <v>0</v>
      </c>
      <c r="F243">
        <v>0</v>
      </c>
      <c r="G243">
        <f>SUM(Table1[[#This Row],[REVN]]*-1)</f>
        <v>0</v>
      </c>
      <c r="H243">
        <f>Table1[[#This Row],[COER]]</f>
        <v>0</v>
      </c>
    </row>
    <row r="244" spans="2:8" x14ac:dyDescent="0.25">
      <c r="B244" s="252">
        <v>21883</v>
      </c>
      <c r="C244">
        <v>0</v>
      </c>
      <c r="D244">
        <v>573.12</v>
      </c>
      <c r="E244">
        <v>0</v>
      </c>
      <c r="F244">
        <v>0</v>
      </c>
      <c r="G244">
        <f>SUM(Table1[[#This Row],[REVN]]*-1)</f>
        <v>0</v>
      </c>
      <c r="H244">
        <f>Table1[[#This Row],[COER]]</f>
        <v>573.12</v>
      </c>
    </row>
    <row r="245" spans="2:8" x14ac:dyDescent="0.25">
      <c r="B245" s="252">
        <v>21884</v>
      </c>
      <c r="C245">
        <v>-13024.21</v>
      </c>
      <c r="D245">
        <v>19009.95</v>
      </c>
      <c r="E245">
        <v>0</v>
      </c>
      <c r="F245">
        <v>0</v>
      </c>
      <c r="G245">
        <f>SUM(Table1[[#This Row],[REVN]]*-1)</f>
        <v>13024.21</v>
      </c>
      <c r="H245">
        <f>Table1[[#This Row],[COER]]</f>
        <v>19009.95</v>
      </c>
    </row>
    <row r="246" spans="2:8" x14ac:dyDescent="0.25">
      <c r="B246" s="252">
        <v>21885</v>
      </c>
      <c r="C246">
        <v>-20266.669999999998</v>
      </c>
      <c r="D246">
        <v>28903.39</v>
      </c>
      <c r="E246">
        <v>0</v>
      </c>
      <c r="F246">
        <v>0</v>
      </c>
      <c r="G246">
        <f>SUM(Table1[[#This Row],[REVN]]*-1)</f>
        <v>20266.669999999998</v>
      </c>
      <c r="H246">
        <f>Table1[[#This Row],[COER]]</f>
        <v>28903.39</v>
      </c>
    </row>
    <row r="247" spans="2:8" x14ac:dyDescent="0.25">
      <c r="B247" s="252">
        <v>21886</v>
      </c>
      <c r="C247">
        <v>-20572.400000000001</v>
      </c>
      <c r="D247">
        <v>32207.78</v>
      </c>
      <c r="E247">
        <v>0</v>
      </c>
      <c r="F247">
        <v>0</v>
      </c>
      <c r="G247">
        <f>SUM(Table1[[#This Row],[REVN]]*-1)</f>
        <v>20572.400000000001</v>
      </c>
      <c r="H247">
        <f>Table1[[#This Row],[COER]]</f>
        <v>32207.78</v>
      </c>
    </row>
    <row r="248" spans="2:8" x14ac:dyDescent="0.25">
      <c r="B248" s="252">
        <v>21887</v>
      </c>
      <c r="C248">
        <v>-5672.79</v>
      </c>
      <c r="D248">
        <v>8034.29</v>
      </c>
      <c r="E248">
        <v>0</v>
      </c>
      <c r="F248">
        <v>0</v>
      </c>
      <c r="G248">
        <f>SUM(Table1[[#This Row],[REVN]]*-1)</f>
        <v>5672.79</v>
      </c>
      <c r="H248">
        <f>Table1[[#This Row],[COER]]</f>
        <v>8034.29</v>
      </c>
    </row>
    <row r="249" spans="2:8" x14ac:dyDescent="0.25">
      <c r="B249" s="252">
        <v>21888</v>
      </c>
      <c r="C249">
        <v>0</v>
      </c>
      <c r="D249">
        <v>0</v>
      </c>
      <c r="E249">
        <v>0</v>
      </c>
      <c r="F249">
        <v>0</v>
      </c>
      <c r="G249">
        <f>SUM(Table1[[#This Row],[REVN]]*-1)</f>
        <v>0</v>
      </c>
      <c r="H249">
        <f>Table1[[#This Row],[COER]]</f>
        <v>0</v>
      </c>
    </row>
    <row r="250" spans="2:8" x14ac:dyDescent="0.25">
      <c r="B250" s="252">
        <v>21889</v>
      </c>
      <c r="C250">
        <v>0</v>
      </c>
      <c r="D250">
        <v>22935.18</v>
      </c>
      <c r="E250">
        <v>0</v>
      </c>
      <c r="F250">
        <v>0</v>
      </c>
      <c r="G250">
        <f>SUM(Table1[[#This Row],[REVN]]*-1)</f>
        <v>0</v>
      </c>
      <c r="H250">
        <f>Table1[[#This Row],[COER]]</f>
        <v>22935.18</v>
      </c>
    </row>
    <row r="251" spans="2:8" x14ac:dyDescent="0.25">
      <c r="B251" s="252">
        <v>21892</v>
      </c>
      <c r="C251">
        <v>0</v>
      </c>
      <c r="D251">
        <v>11.87</v>
      </c>
      <c r="E251">
        <v>0</v>
      </c>
      <c r="F251">
        <v>0</v>
      </c>
      <c r="G251">
        <f>SUM(Table1[[#This Row],[REVN]]*-1)</f>
        <v>0</v>
      </c>
      <c r="H251">
        <f>Table1[[#This Row],[COER]]</f>
        <v>11.87</v>
      </c>
    </row>
    <row r="252" spans="2:8" x14ac:dyDescent="0.25">
      <c r="B252" s="252">
        <v>21893</v>
      </c>
      <c r="C252">
        <v>0</v>
      </c>
      <c r="D252">
        <v>986.46</v>
      </c>
      <c r="E252">
        <v>0</v>
      </c>
      <c r="F252">
        <v>0</v>
      </c>
      <c r="G252">
        <f>SUM(Table1[[#This Row],[REVN]]*-1)</f>
        <v>0</v>
      </c>
      <c r="H252">
        <f>Table1[[#This Row],[COER]]</f>
        <v>986.46</v>
      </c>
    </row>
    <row r="253" spans="2:8" x14ac:dyDescent="0.25">
      <c r="B253" s="252">
        <v>21895</v>
      </c>
      <c r="C253">
        <v>-72445.31</v>
      </c>
      <c r="D253">
        <v>57830.85</v>
      </c>
      <c r="E253">
        <v>0</v>
      </c>
      <c r="F253">
        <v>0</v>
      </c>
      <c r="G253">
        <f>SUM(Table1[[#This Row],[REVN]]*-1)</f>
        <v>72445.31</v>
      </c>
      <c r="H253">
        <f>Table1[[#This Row],[COER]]</f>
        <v>57830.85</v>
      </c>
    </row>
    <row r="254" spans="2:8" x14ac:dyDescent="0.25">
      <c r="B254" s="252">
        <v>21897</v>
      </c>
      <c r="C254">
        <v>-41329.019999999997</v>
      </c>
      <c r="D254">
        <v>48446.5</v>
      </c>
      <c r="E254">
        <v>0</v>
      </c>
      <c r="F254">
        <v>0</v>
      </c>
      <c r="G254">
        <f>SUM(Table1[[#This Row],[REVN]]*-1)</f>
        <v>41329.019999999997</v>
      </c>
      <c r="H254">
        <f>Table1[[#This Row],[COER]]</f>
        <v>48446.5</v>
      </c>
    </row>
    <row r="255" spans="2:8" x14ac:dyDescent="0.25">
      <c r="B255" s="252">
        <v>21898</v>
      </c>
      <c r="C255">
        <v>0</v>
      </c>
      <c r="D255">
        <v>0</v>
      </c>
      <c r="E255">
        <v>0</v>
      </c>
      <c r="F255">
        <v>0</v>
      </c>
      <c r="G255">
        <f>SUM(Table1[[#This Row],[REVN]]*-1)</f>
        <v>0</v>
      </c>
      <c r="H255">
        <f>Table1[[#This Row],[COER]]</f>
        <v>0</v>
      </c>
    </row>
    <row r="256" spans="2:8" x14ac:dyDescent="0.25">
      <c r="B256" s="252">
        <v>21899</v>
      </c>
      <c r="C256">
        <v>0</v>
      </c>
      <c r="D256">
        <v>0</v>
      </c>
      <c r="E256">
        <v>0</v>
      </c>
      <c r="F256">
        <v>0</v>
      </c>
      <c r="G256">
        <f>SUM(Table1[[#This Row],[REVN]]*-1)</f>
        <v>0</v>
      </c>
      <c r="H256">
        <f>Table1[[#This Row],[COER]]</f>
        <v>0</v>
      </c>
    </row>
    <row r="257" spans="2:8" x14ac:dyDescent="0.25">
      <c r="B257" s="252">
        <v>21902</v>
      </c>
      <c r="C257">
        <v>0</v>
      </c>
      <c r="D257">
        <v>0</v>
      </c>
      <c r="E257">
        <v>0</v>
      </c>
      <c r="F257">
        <v>0</v>
      </c>
      <c r="G257">
        <f>SUM(Table1[[#This Row],[REVN]]*-1)</f>
        <v>0</v>
      </c>
      <c r="H257">
        <f>Table1[[#This Row],[COER]]</f>
        <v>0</v>
      </c>
    </row>
    <row r="258" spans="2:8" x14ac:dyDescent="0.25">
      <c r="B258" s="252">
        <v>21903</v>
      </c>
      <c r="C258">
        <v>-2120</v>
      </c>
      <c r="D258">
        <v>1558.65</v>
      </c>
      <c r="E258">
        <v>0</v>
      </c>
      <c r="F258">
        <v>0</v>
      </c>
      <c r="G258">
        <f>SUM(Table1[[#This Row],[REVN]]*-1)</f>
        <v>2120</v>
      </c>
      <c r="H258">
        <f>Table1[[#This Row],[COER]]</f>
        <v>1558.65</v>
      </c>
    </row>
    <row r="259" spans="2:8" x14ac:dyDescent="0.25">
      <c r="B259" s="252">
        <v>21904</v>
      </c>
      <c r="C259">
        <v>0</v>
      </c>
      <c r="D259">
        <v>0</v>
      </c>
      <c r="E259">
        <v>0</v>
      </c>
      <c r="F259">
        <v>0</v>
      </c>
      <c r="G259">
        <f>SUM(Table1[[#This Row],[REVN]]*-1)</f>
        <v>0</v>
      </c>
      <c r="H259">
        <f>Table1[[#This Row],[COER]]</f>
        <v>0</v>
      </c>
    </row>
    <row r="260" spans="2:8" x14ac:dyDescent="0.25">
      <c r="B260" s="252">
        <v>21906</v>
      </c>
      <c r="C260">
        <v>0</v>
      </c>
      <c r="D260">
        <v>0</v>
      </c>
      <c r="E260">
        <v>0</v>
      </c>
      <c r="F260">
        <v>0</v>
      </c>
      <c r="G260">
        <f>SUM(Table1[[#This Row],[REVN]]*-1)</f>
        <v>0</v>
      </c>
      <c r="H260">
        <f>Table1[[#This Row],[COER]]</f>
        <v>0</v>
      </c>
    </row>
    <row r="261" spans="2:8" x14ac:dyDescent="0.25">
      <c r="B261" s="252">
        <v>21920</v>
      </c>
      <c r="C261">
        <v>0</v>
      </c>
      <c r="D261">
        <v>0</v>
      </c>
      <c r="E261">
        <v>0</v>
      </c>
      <c r="F261">
        <v>0</v>
      </c>
      <c r="G261">
        <f>SUM(Table1[[#This Row],[REVN]]*-1)</f>
        <v>0</v>
      </c>
      <c r="H261">
        <f>Table1[[#This Row],[COER]]</f>
        <v>0</v>
      </c>
    </row>
    <row r="262" spans="2:8" x14ac:dyDescent="0.25">
      <c r="B262" s="252">
        <v>21921</v>
      </c>
      <c r="C262">
        <v>0</v>
      </c>
      <c r="D262">
        <v>0</v>
      </c>
      <c r="E262">
        <v>0</v>
      </c>
      <c r="F262">
        <v>0</v>
      </c>
      <c r="G262">
        <f>SUM(Table1[[#This Row],[REVN]]*-1)</f>
        <v>0</v>
      </c>
      <c r="H262">
        <f>Table1[[#This Row],[COER]]</f>
        <v>0</v>
      </c>
    </row>
    <row r="263" spans="2:8" x14ac:dyDescent="0.25">
      <c r="B263" s="252">
        <v>21922</v>
      </c>
      <c r="C263">
        <v>-44607.78</v>
      </c>
      <c r="D263">
        <v>29107.599999999999</v>
      </c>
      <c r="E263">
        <v>0</v>
      </c>
      <c r="F263">
        <v>0</v>
      </c>
      <c r="G263">
        <f>SUM(Table1[[#This Row],[REVN]]*-1)</f>
        <v>44607.78</v>
      </c>
      <c r="H263">
        <f>Table1[[#This Row],[COER]]</f>
        <v>29107.599999999999</v>
      </c>
    </row>
    <row r="264" spans="2:8" x14ac:dyDescent="0.25">
      <c r="B264" s="252">
        <v>21938</v>
      </c>
      <c r="C264">
        <v>0</v>
      </c>
      <c r="D264">
        <v>0</v>
      </c>
      <c r="E264">
        <v>0</v>
      </c>
      <c r="F264">
        <v>0</v>
      </c>
      <c r="G264">
        <f>SUM(Table1[[#This Row],[REVN]]*-1)</f>
        <v>0</v>
      </c>
      <c r="H264">
        <f>Table1[[#This Row],[COER]]</f>
        <v>0</v>
      </c>
    </row>
    <row r="265" spans="2:8" x14ac:dyDescent="0.25">
      <c r="B265" s="252">
        <v>21945</v>
      </c>
      <c r="C265">
        <v>-7794.24</v>
      </c>
      <c r="D265">
        <v>1594.39</v>
      </c>
      <c r="E265">
        <v>0</v>
      </c>
      <c r="F265">
        <v>0</v>
      </c>
      <c r="G265">
        <f>SUM(Table1[[#This Row],[REVN]]*-1)</f>
        <v>7794.24</v>
      </c>
      <c r="H265">
        <f>Table1[[#This Row],[COER]]</f>
        <v>1594.39</v>
      </c>
    </row>
    <row r="266" spans="2:8" x14ac:dyDescent="0.25">
      <c r="B266" s="252">
        <v>21946</v>
      </c>
      <c r="C266">
        <v>0</v>
      </c>
      <c r="D266">
        <v>-305.45</v>
      </c>
      <c r="E266">
        <v>0</v>
      </c>
      <c r="F266">
        <v>0</v>
      </c>
      <c r="G266">
        <f>SUM(Table1[[#This Row],[REVN]]*-1)</f>
        <v>0</v>
      </c>
      <c r="H266">
        <f>Table1[[#This Row],[COER]]</f>
        <v>-305.45</v>
      </c>
    </row>
    <row r="267" spans="2:8" x14ac:dyDescent="0.25">
      <c r="B267" s="252">
        <v>21948</v>
      </c>
      <c r="C267">
        <v>-24787.759999999998</v>
      </c>
      <c r="D267">
        <v>2823.31</v>
      </c>
      <c r="E267">
        <v>0</v>
      </c>
      <c r="F267">
        <v>0</v>
      </c>
      <c r="G267">
        <f>SUM(Table1[[#This Row],[REVN]]*-1)</f>
        <v>24787.759999999998</v>
      </c>
      <c r="H267">
        <f>Table1[[#This Row],[COER]]</f>
        <v>2823.31</v>
      </c>
    </row>
    <row r="268" spans="2:8" x14ac:dyDescent="0.25">
      <c r="B268" s="252">
        <v>21949</v>
      </c>
      <c r="C268">
        <v>-2798</v>
      </c>
      <c r="D268">
        <v>9725.14</v>
      </c>
      <c r="E268">
        <v>0</v>
      </c>
      <c r="F268">
        <v>0</v>
      </c>
      <c r="G268">
        <f>SUM(Table1[[#This Row],[REVN]]*-1)</f>
        <v>2798</v>
      </c>
      <c r="H268">
        <f>Table1[[#This Row],[COER]]</f>
        <v>9725.14</v>
      </c>
    </row>
    <row r="269" spans="2:8" x14ac:dyDescent="0.25">
      <c r="B269" s="252">
        <v>21951</v>
      </c>
      <c r="C269">
        <v>0</v>
      </c>
      <c r="D269">
        <v>0</v>
      </c>
      <c r="E269">
        <v>0</v>
      </c>
      <c r="F269">
        <v>0</v>
      </c>
      <c r="G269">
        <f>SUM(Table1[[#This Row],[REVN]]*-1)</f>
        <v>0</v>
      </c>
      <c r="H269">
        <f>Table1[[#This Row],[COER]]</f>
        <v>0</v>
      </c>
    </row>
    <row r="270" spans="2:8" x14ac:dyDescent="0.25">
      <c r="B270" s="252">
        <v>21953</v>
      </c>
      <c r="C270">
        <v>-18175</v>
      </c>
      <c r="D270">
        <v>8209.09</v>
      </c>
      <c r="E270">
        <v>0</v>
      </c>
      <c r="F270">
        <v>0</v>
      </c>
      <c r="G270">
        <f>SUM(Table1[[#This Row],[REVN]]*-1)</f>
        <v>18175</v>
      </c>
      <c r="H270">
        <f>Table1[[#This Row],[COER]]</f>
        <v>8209.09</v>
      </c>
    </row>
    <row r="271" spans="2:8" x14ac:dyDescent="0.25">
      <c r="B271" s="252">
        <v>21954</v>
      </c>
      <c r="C271">
        <v>0</v>
      </c>
      <c r="D271">
        <v>0</v>
      </c>
      <c r="E271">
        <v>0</v>
      </c>
      <c r="F271">
        <v>0</v>
      </c>
      <c r="G271">
        <f>SUM(Table1[[#This Row],[REVN]]*-1)</f>
        <v>0</v>
      </c>
      <c r="H271">
        <f>Table1[[#This Row],[COER]]</f>
        <v>0</v>
      </c>
    </row>
    <row r="272" spans="2:8" x14ac:dyDescent="0.25">
      <c r="B272" s="252">
        <v>21957</v>
      </c>
      <c r="C272">
        <v>0</v>
      </c>
      <c r="D272">
        <v>0</v>
      </c>
      <c r="E272">
        <v>0</v>
      </c>
      <c r="F272">
        <v>0</v>
      </c>
      <c r="G272">
        <f>SUM(Table1[[#This Row],[REVN]]*-1)</f>
        <v>0</v>
      </c>
      <c r="H272">
        <f>Table1[[#This Row],[COER]]</f>
        <v>0</v>
      </c>
    </row>
    <row r="273" spans="2:8" x14ac:dyDescent="0.25">
      <c r="B273" s="252">
        <v>21958</v>
      </c>
      <c r="C273">
        <v>0</v>
      </c>
      <c r="D273">
        <v>175</v>
      </c>
      <c r="E273">
        <v>0</v>
      </c>
      <c r="F273">
        <v>0</v>
      </c>
      <c r="G273">
        <f>SUM(Table1[[#This Row],[REVN]]*-1)</f>
        <v>0</v>
      </c>
      <c r="H273">
        <f>Table1[[#This Row],[COER]]</f>
        <v>175</v>
      </c>
    </row>
    <row r="274" spans="2:8" x14ac:dyDescent="0.25">
      <c r="B274" s="252">
        <v>21963</v>
      </c>
      <c r="C274">
        <v>0</v>
      </c>
      <c r="D274">
        <v>0</v>
      </c>
      <c r="E274">
        <v>0</v>
      </c>
      <c r="F274">
        <v>0</v>
      </c>
      <c r="G274">
        <f>SUM(Table1[[#This Row],[REVN]]*-1)</f>
        <v>0</v>
      </c>
      <c r="H274">
        <f>Table1[[#This Row],[COER]]</f>
        <v>0</v>
      </c>
    </row>
    <row r="275" spans="2:8" x14ac:dyDescent="0.25">
      <c r="B275" s="252">
        <v>21969</v>
      </c>
      <c r="C275">
        <v>-26838.48</v>
      </c>
      <c r="D275">
        <v>12765.87</v>
      </c>
      <c r="E275">
        <v>0</v>
      </c>
      <c r="F275">
        <v>0</v>
      </c>
      <c r="G275">
        <f>SUM(Table1[[#This Row],[REVN]]*-1)</f>
        <v>26838.48</v>
      </c>
      <c r="H275">
        <f>Table1[[#This Row],[COER]]</f>
        <v>12765.87</v>
      </c>
    </row>
    <row r="276" spans="2:8" x14ac:dyDescent="0.25">
      <c r="B276" s="252">
        <v>21987</v>
      </c>
      <c r="C276">
        <v>-57469.35</v>
      </c>
      <c r="D276">
        <v>60781.35</v>
      </c>
      <c r="E276">
        <v>0</v>
      </c>
      <c r="F276">
        <v>0</v>
      </c>
      <c r="G276">
        <f>SUM(Table1[[#This Row],[REVN]]*-1)</f>
        <v>57469.35</v>
      </c>
      <c r="H276">
        <f>Table1[[#This Row],[COER]]</f>
        <v>60781.35</v>
      </c>
    </row>
    <row r="277" spans="2:8" x14ac:dyDescent="0.25">
      <c r="B277" s="252">
        <v>21988</v>
      </c>
      <c r="C277">
        <v>-1970</v>
      </c>
      <c r="D277">
        <v>2983.62</v>
      </c>
      <c r="E277">
        <v>0</v>
      </c>
      <c r="F277">
        <v>0</v>
      </c>
      <c r="G277">
        <f>SUM(Table1[[#This Row],[REVN]]*-1)</f>
        <v>1970</v>
      </c>
      <c r="H277">
        <f>Table1[[#This Row],[COER]]</f>
        <v>2983.62</v>
      </c>
    </row>
    <row r="278" spans="2:8" x14ac:dyDescent="0.25">
      <c r="B278" s="252">
        <v>21989</v>
      </c>
      <c r="C278">
        <v>0</v>
      </c>
      <c r="D278">
        <v>0</v>
      </c>
      <c r="E278">
        <v>0</v>
      </c>
      <c r="F278">
        <v>0</v>
      </c>
      <c r="G278">
        <f>SUM(Table1[[#This Row],[REVN]]*-1)</f>
        <v>0</v>
      </c>
      <c r="H278">
        <f>Table1[[#This Row],[COER]]</f>
        <v>0</v>
      </c>
    </row>
    <row r="279" spans="2:8" x14ac:dyDescent="0.25">
      <c r="B279" s="252">
        <v>21996</v>
      </c>
      <c r="C279">
        <v>0</v>
      </c>
      <c r="D279">
        <v>548.77</v>
      </c>
      <c r="E279">
        <v>0</v>
      </c>
      <c r="F279">
        <v>0</v>
      </c>
      <c r="G279">
        <f>SUM(Table1[[#This Row],[REVN]]*-1)</f>
        <v>0</v>
      </c>
      <c r="H279">
        <f>Table1[[#This Row],[COER]]</f>
        <v>548.77</v>
      </c>
    </row>
    <row r="280" spans="2:8" x14ac:dyDescent="0.25">
      <c r="B280" s="252">
        <v>22000</v>
      </c>
      <c r="C280">
        <v>0</v>
      </c>
      <c r="D280">
        <v>0</v>
      </c>
      <c r="E280">
        <v>0</v>
      </c>
      <c r="F280">
        <v>0</v>
      </c>
      <c r="G280">
        <f>SUM(Table1[[#This Row],[REVN]]*-1)</f>
        <v>0</v>
      </c>
      <c r="H280">
        <f>Table1[[#This Row],[COER]]</f>
        <v>0</v>
      </c>
    </row>
    <row r="281" spans="2:8" x14ac:dyDescent="0.25">
      <c r="B281" s="252">
        <v>22001</v>
      </c>
      <c r="C281">
        <v>0</v>
      </c>
      <c r="D281">
        <v>432.68</v>
      </c>
      <c r="E281">
        <v>0</v>
      </c>
      <c r="F281">
        <v>0</v>
      </c>
      <c r="G281">
        <f>SUM(Table1[[#This Row],[REVN]]*-1)</f>
        <v>0</v>
      </c>
      <c r="H281">
        <f>Table1[[#This Row],[COER]]</f>
        <v>432.68</v>
      </c>
    </row>
    <row r="282" spans="2:8" x14ac:dyDescent="0.25">
      <c r="B282" s="252">
        <v>22002</v>
      </c>
      <c r="C282">
        <v>-194446</v>
      </c>
      <c r="D282">
        <v>139034.16</v>
      </c>
      <c r="E282">
        <v>0</v>
      </c>
      <c r="F282">
        <v>0</v>
      </c>
      <c r="G282">
        <f>SUM(Table1[[#This Row],[REVN]]*-1)</f>
        <v>194446</v>
      </c>
      <c r="H282">
        <f>Table1[[#This Row],[COER]]</f>
        <v>139034.16</v>
      </c>
    </row>
    <row r="283" spans="2:8" x14ac:dyDescent="0.25">
      <c r="B283" s="252">
        <v>22003</v>
      </c>
      <c r="C283">
        <v>29717.56</v>
      </c>
      <c r="D283">
        <v>6756.45</v>
      </c>
      <c r="E283">
        <v>0</v>
      </c>
      <c r="F283">
        <v>0</v>
      </c>
      <c r="G283">
        <f>SUM(Table1[[#This Row],[REVN]]*-1)</f>
        <v>-29717.56</v>
      </c>
      <c r="H283">
        <f>Table1[[#This Row],[COER]]</f>
        <v>6756.45</v>
      </c>
    </row>
    <row r="284" spans="2:8" x14ac:dyDescent="0.25">
      <c r="B284" s="252">
        <v>22008</v>
      </c>
      <c r="C284">
        <v>-86853.78</v>
      </c>
      <c r="D284">
        <v>61812.59</v>
      </c>
      <c r="E284">
        <v>0</v>
      </c>
      <c r="F284">
        <v>0</v>
      </c>
      <c r="G284">
        <f>SUM(Table1[[#This Row],[REVN]]*-1)</f>
        <v>86853.78</v>
      </c>
      <c r="H284">
        <f>Table1[[#This Row],[COER]]</f>
        <v>61812.59</v>
      </c>
    </row>
    <row r="285" spans="2:8" x14ac:dyDescent="0.25">
      <c r="B285" s="252">
        <v>22016</v>
      </c>
      <c r="C285">
        <v>0</v>
      </c>
      <c r="D285">
        <v>1308.43</v>
      </c>
      <c r="E285">
        <v>0</v>
      </c>
      <c r="F285">
        <v>0</v>
      </c>
      <c r="G285">
        <f>SUM(Table1[[#This Row],[REVN]]*-1)</f>
        <v>0</v>
      </c>
      <c r="H285">
        <f>Table1[[#This Row],[COER]]</f>
        <v>1308.43</v>
      </c>
    </row>
    <row r="286" spans="2:8" x14ac:dyDescent="0.25">
      <c r="B286" s="252">
        <v>22017</v>
      </c>
      <c r="C286">
        <v>22916</v>
      </c>
      <c r="D286">
        <v>-15419.64</v>
      </c>
      <c r="E286">
        <v>0</v>
      </c>
      <c r="F286">
        <v>0</v>
      </c>
      <c r="G286">
        <f>SUM(Table1[[#This Row],[REVN]]*-1)</f>
        <v>-22916</v>
      </c>
      <c r="H286">
        <f>Table1[[#This Row],[COER]]</f>
        <v>-15419.64</v>
      </c>
    </row>
    <row r="287" spans="2:8" x14ac:dyDescent="0.25">
      <c r="B287" s="252">
        <v>22025</v>
      </c>
      <c r="C287">
        <v>0</v>
      </c>
      <c r="D287">
        <v>0</v>
      </c>
      <c r="E287">
        <v>0</v>
      </c>
      <c r="F287">
        <v>0</v>
      </c>
      <c r="G287">
        <f>SUM(Table1[[#This Row],[REVN]]*-1)</f>
        <v>0</v>
      </c>
      <c r="H287">
        <f>Table1[[#This Row],[COER]]</f>
        <v>0</v>
      </c>
    </row>
    <row r="288" spans="2:8" x14ac:dyDescent="0.25">
      <c r="B288" s="252">
        <v>22048</v>
      </c>
      <c r="C288">
        <v>0</v>
      </c>
      <c r="D288">
        <v>0</v>
      </c>
      <c r="E288">
        <v>0</v>
      </c>
      <c r="F288">
        <v>0</v>
      </c>
      <c r="G288">
        <f>SUM(Table1[[#This Row],[REVN]]*-1)</f>
        <v>0</v>
      </c>
      <c r="H288">
        <f>Table1[[#This Row],[COER]]</f>
        <v>0</v>
      </c>
    </row>
    <row r="289" spans="2:8" x14ac:dyDescent="0.25">
      <c r="B289" s="252">
        <v>22056</v>
      </c>
      <c r="C289">
        <v>-8840</v>
      </c>
      <c r="D289">
        <v>10291.629999999999</v>
      </c>
      <c r="E289">
        <v>0</v>
      </c>
      <c r="F289">
        <v>0</v>
      </c>
      <c r="G289">
        <f>SUM(Table1[[#This Row],[REVN]]*-1)</f>
        <v>8840</v>
      </c>
      <c r="H289">
        <f>Table1[[#This Row],[COER]]</f>
        <v>10291.629999999999</v>
      </c>
    </row>
    <row r="290" spans="2:8" x14ac:dyDescent="0.25">
      <c r="B290" s="252">
        <v>22062</v>
      </c>
      <c r="C290">
        <v>0</v>
      </c>
      <c r="D290">
        <v>0</v>
      </c>
      <c r="E290">
        <v>0</v>
      </c>
      <c r="F290">
        <v>0</v>
      </c>
      <c r="G290">
        <f>SUM(Table1[[#This Row],[REVN]]*-1)</f>
        <v>0</v>
      </c>
      <c r="H290">
        <f>Table1[[#This Row],[COER]]</f>
        <v>0</v>
      </c>
    </row>
    <row r="291" spans="2:8" x14ac:dyDescent="0.25">
      <c r="B291" s="252">
        <v>22069</v>
      </c>
      <c r="C291">
        <v>0</v>
      </c>
      <c r="D291">
        <v>0</v>
      </c>
      <c r="E291">
        <v>0</v>
      </c>
      <c r="F291">
        <v>0</v>
      </c>
      <c r="G291">
        <f>SUM(Table1[[#This Row],[REVN]]*-1)</f>
        <v>0</v>
      </c>
      <c r="H291">
        <f>Table1[[#This Row],[COER]]</f>
        <v>0</v>
      </c>
    </row>
    <row r="292" spans="2:8" x14ac:dyDescent="0.25">
      <c r="B292" s="252">
        <v>22072</v>
      </c>
      <c r="C292">
        <v>0</v>
      </c>
      <c r="D292">
        <v>0</v>
      </c>
      <c r="E292">
        <v>0</v>
      </c>
      <c r="F292">
        <v>0</v>
      </c>
      <c r="G292">
        <f>SUM(Table1[[#This Row],[REVN]]*-1)</f>
        <v>0</v>
      </c>
      <c r="H292">
        <f>Table1[[#This Row],[COER]]</f>
        <v>0</v>
      </c>
    </row>
    <row r="293" spans="2:8" x14ac:dyDescent="0.25">
      <c r="B293" s="252">
        <v>22075</v>
      </c>
      <c r="C293">
        <v>-15386.7</v>
      </c>
      <c r="D293">
        <v>14518.87</v>
      </c>
      <c r="E293">
        <v>0</v>
      </c>
      <c r="F293">
        <v>0</v>
      </c>
      <c r="G293">
        <f>SUM(Table1[[#This Row],[REVN]]*-1)</f>
        <v>15386.7</v>
      </c>
      <c r="H293">
        <f>Table1[[#This Row],[COER]]</f>
        <v>14518.87</v>
      </c>
    </row>
    <row r="294" spans="2:8" x14ac:dyDescent="0.25">
      <c r="B294" s="252">
        <v>22076</v>
      </c>
      <c r="C294">
        <v>-206709.24</v>
      </c>
      <c r="D294">
        <v>139300.81</v>
      </c>
      <c r="E294">
        <v>0</v>
      </c>
      <c r="F294">
        <v>0</v>
      </c>
      <c r="G294">
        <f>SUM(Table1[[#This Row],[REVN]]*-1)</f>
        <v>206709.24</v>
      </c>
      <c r="H294">
        <f>Table1[[#This Row],[COER]]</f>
        <v>139300.81</v>
      </c>
    </row>
    <row r="295" spans="2:8" x14ac:dyDescent="0.25">
      <c r="B295" s="252">
        <v>22077</v>
      </c>
      <c r="C295">
        <v>0</v>
      </c>
      <c r="D295">
        <v>4066.83</v>
      </c>
      <c r="E295">
        <v>0</v>
      </c>
      <c r="F295">
        <v>0</v>
      </c>
      <c r="G295">
        <f>SUM(Table1[[#This Row],[REVN]]*-1)</f>
        <v>0</v>
      </c>
      <c r="H295">
        <f>Table1[[#This Row],[COER]]</f>
        <v>4066.83</v>
      </c>
    </row>
    <row r="296" spans="2:8" x14ac:dyDescent="0.25">
      <c r="B296" s="252">
        <v>22080</v>
      </c>
      <c r="C296">
        <v>0</v>
      </c>
      <c r="D296">
        <v>0</v>
      </c>
      <c r="E296">
        <v>0</v>
      </c>
      <c r="F296">
        <v>0</v>
      </c>
      <c r="G296">
        <f>SUM(Table1[[#This Row],[REVN]]*-1)</f>
        <v>0</v>
      </c>
      <c r="H296">
        <f>Table1[[#This Row],[COER]]</f>
        <v>0</v>
      </c>
    </row>
    <row r="297" spans="2:8" x14ac:dyDescent="0.25">
      <c r="B297" s="252">
        <v>22098</v>
      </c>
      <c r="C297">
        <v>0</v>
      </c>
      <c r="D297">
        <v>-450</v>
      </c>
      <c r="E297">
        <v>0</v>
      </c>
      <c r="F297">
        <v>0</v>
      </c>
      <c r="G297">
        <f>SUM(Table1[[#This Row],[REVN]]*-1)</f>
        <v>0</v>
      </c>
      <c r="H297">
        <f>Table1[[#This Row],[COER]]</f>
        <v>-450</v>
      </c>
    </row>
    <row r="298" spans="2:8" x14ac:dyDescent="0.25">
      <c r="B298" s="252">
        <v>22102</v>
      </c>
      <c r="C298">
        <v>0</v>
      </c>
      <c r="D298">
        <v>-38.229999999999997</v>
      </c>
      <c r="E298">
        <v>0</v>
      </c>
      <c r="F298">
        <v>0</v>
      </c>
      <c r="G298">
        <f>SUM(Table1[[#This Row],[REVN]]*-1)</f>
        <v>0</v>
      </c>
      <c r="H298">
        <f>Table1[[#This Row],[COER]]</f>
        <v>-38.229999999999997</v>
      </c>
    </row>
    <row r="299" spans="2:8" x14ac:dyDescent="0.25">
      <c r="B299" s="252">
        <v>22108</v>
      </c>
      <c r="C299">
        <v>0</v>
      </c>
      <c r="D299">
        <v>-4550</v>
      </c>
      <c r="E299">
        <v>0</v>
      </c>
      <c r="F299">
        <v>0</v>
      </c>
      <c r="G299" s="252">
        <f>SUM(Table1[[#This Row],[REVN]]*-1)</f>
        <v>0</v>
      </c>
      <c r="H299">
        <f>Table1[[#This Row],[COER]]</f>
        <v>-4550</v>
      </c>
    </row>
    <row r="300" spans="2:8" x14ac:dyDescent="0.25">
      <c r="B300" s="252">
        <v>22834</v>
      </c>
      <c r="C300">
        <v>0</v>
      </c>
      <c r="D300">
        <v>0</v>
      </c>
      <c r="E300">
        <v>0</v>
      </c>
      <c r="F300">
        <v>0</v>
      </c>
      <c r="G300" s="252">
        <f>SUM(Table1[[#This Row],[REVN]]*-1)</f>
        <v>0</v>
      </c>
      <c r="H300">
        <f>Table1[[#This Row],[COER]]</f>
        <v>0</v>
      </c>
    </row>
    <row r="301" spans="2:8" x14ac:dyDescent="0.25">
      <c r="B301" s="252">
        <v>22849</v>
      </c>
      <c r="C301">
        <v>-18388</v>
      </c>
      <c r="D301">
        <v>22011.8</v>
      </c>
      <c r="E301">
        <v>0</v>
      </c>
      <c r="F301">
        <v>0</v>
      </c>
      <c r="G301" s="252">
        <f>SUM(Table1[[#This Row],[REVN]]*-1)</f>
        <v>18388</v>
      </c>
      <c r="H301">
        <f>Table1[[#This Row],[COER]]</f>
        <v>22011.8</v>
      </c>
    </row>
    <row r="302" spans="2:8" x14ac:dyDescent="0.25">
      <c r="B302" s="252">
        <v>22862</v>
      </c>
      <c r="C302">
        <v>0</v>
      </c>
      <c r="D302">
        <v>6189.9</v>
      </c>
      <c r="E302">
        <v>0</v>
      </c>
      <c r="F302">
        <v>0</v>
      </c>
      <c r="G302" s="252">
        <f>SUM(Table1[[#This Row],[REVN]]*-1)</f>
        <v>0</v>
      </c>
      <c r="H302">
        <f>Table1[[#This Row],[COER]]</f>
        <v>6189.9</v>
      </c>
    </row>
    <row r="303" spans="2:8" x14ac:dyDescent="0.25">
      <c r="B303" s="252">
        <v>22870</v>
      </c>
      <c r="C303">
        <v>-15384.04</v>
      </c>
      <c r="D303">
        <v>10670.08</v>
      </c>
      <c r="E303">
        <v>0</v>
      </c>
      <c r="F303">
        <v>0</v>
      </c>
      <c r="G303" s="252">
        <f>SUM(Table1[[#This Row],[REVN]]*-1)</f>
        <v>15384.04</v>
      </c>
      <c r="H303">
        <f>Table1[[#This Row],[COER]]</f>
        <v>10670.08</v>
      </c>
    </row>
    <row r="304" spans="2:8" x14ac:dyDescent="0.25">
      <c r="B304" s="252">
        <v>22871</v>
      </c>
      <c r="C304">
        <v>0</v>
      </c>
      <c r="D304">
        <v>70.88</v>
      </c>
      <c r="E304">
        <v>0</v>
      </c>
      <c r="F304">
        <v>0</v>
      </c>
      <c r="G304" s="252">
        <f>SUM(Table1[[#This Row],[REVN]]*-1)</f>
        <v>0</v>
      </c>
      <c r="H304">
        <f>Table1[[#This Row],[COER]]</f>
        <v>70.88</v>
      </c>
    </row>
    <row r="305" spans="2:8" x14ac:dyDescent="0.25">
      <c r="B305" s="252">
        <v>22873</v>
      </c>
      <c r="C305">
        <v>-20003.5</v>
      </c>
      <c r="D305">
        <v>24897.31</v>
      </c>
      <c r="E305">
        <v>0</v>
      </c>
      <c r="F305">
        <v>0</v>
      </c>
      <c r="G305" s="252">
        <f>SUM(Table1[[#This Row],[REVN]]*-1)</f>
        <v>20003.5</v>
      </c>
      <c r="H305">
        <f>Table1[[#This Row],[COER]]</f>
        <v>24897.31</v>
      </c>
    </row>
    <row r="306" spans="2:8" x14ac:dyDescent="0.25">
      <c r="B306" s="252">
        <v>22917</v>
      </c>
      <c r="C306">
        <v>-23629</v>
      </c>
      <c r="D306">
        <v>6189.03</v>
      </c>
      <c r="E306">
        <v>0</v>
      </c>
      <c r="F306">
        <v>0</v>
      </c>
      <c r="G306" s="252">
        <f>SUM(Table1[[#This Row],[REVN]]*-1)</f>
        <v>23629</v>
      </c>
      <c r="H306">
        <f>Table1[[#This Row],[COER]]</f>
        <v>6189.03</v>
      </c>
    </row>
    <row r="307" spans="2:8" x14ac:dyDescent="0.25">
      <c r="B307" s="252">
        <v>22932</v>
      </c>
      <c r="C307">
        <v>0</v>
      </c>
      <c r="D307">
        <v>583.70000000000005</v>
      </c>
      <c r="E307">
        <v>0</v>
      </c>
      <c r="F307">
        <v>0</v>
      </c>
      <c r="G307" s="252">
        <f>SUM(Table1[[#This Row],[REVN]]*-1)</f>
        <v>0</v>
      </c>
      <c r="H307">
        <f>Table1[[#This Row],[COER]]</f>
        <v>583.70000000000005</v>
      </c>
    </row>
    <row r="308" spans="2:8" x14ac:dyDescent="0.25">
      <c r="B308" s="252">
        <v>22951</v>
      </c>
      <c r="C308">
        <v>0</v>
      </c>
      <c r="D308">
        <v>9515.82</v>
      </c>
      <c r="E308">
        <v>0</v>
      </c>
      <c r="F308">
        <v>0</v>
      </c>
      <c r="G308" s="252">
        <f>SUM(Table1[[#This Row],[REVN]]*-1)</f>
        <v>0</v>
      </c>
      <c r="H308">
        <f>Table1[[#This Row],[COER]]</f>
        <v>9515.82</v>
      </c>
    </row>
    <row r="309" spans="2:8" x14ac:dyDescent="0.25">
      <c r="B309" s="252">
        <v>22952</v>
      </c>
      <c r="C309">
        <v>0</v>
      </c>
      <c r="D309">
        <v>2787.77</v>
      </c>
      <c r="E309">
        <v>0</v>
      </c>
      <c r="F309">
        <v>0</v>
      </c>
      <c r="G309" s="252">
        <f>SUM(Table1[[#This Row],[REVN]]*-1)</f>
        <v>0</v>
      </c>
      <c r="H309">
        <f>Table1[[#This Row],[COER]]</f>
        <v>2787.77</v>
      </c>
    </row>
    <row r="312" spans="2:8" x14ac:dyDescent="0.25">
      <c r="C312" s="187">
        <f>SUM(Table1[REVN])</f>
        <v>-11773491.489999998</v>
      </c>
      <c r="D312" s="187">
        <f>SUM(Table1[COER])</f>
        <v>10329747.689999996</v>
      </c>
      <c r="G312" s="187">
        <f>SUM(Table1[Total Revenue])</f>
        <v>11773491.489999998</v>
      </c>
      <c r="H312" s="187">
        <f>SUM(Table1[Total Expense])</f>
        <v>10329747.689999996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1A41-A91F-43FE-A902-74A7E56B4058}">
  <dimension ref="A1:M199"/>
  <sheetViews>
    <sheetView workbookViewId="0">
      <selection activeCell="G17" sqref="G17"/>
    </sheetView>
  </sheetViews>
  <sheetFormatPr defaultRowHeight="15.75" x14ac:dyDescent="0.25"/>
  <cols>
    <col min="1" max="1" width="12.109375" customWidth="1"/>
    <col min="2" max="2" width="9.77734375" customWidth="1"/>
    <col min="3" max="3" width="35.33203125" bestFit="1" customWidth="1"/>
    <col min="4" max="4" width="21.6640625" hidden="1" customWidth="1"/>
    <col min="5" max="5" width="10.88671875" bestFit="1" customWidth="1"/>
    <col min="6" max="6" width="9.21875" customWidth="1"/>
    <col min="7" max="8" width="10" customWidth="1"/>
    <col min="9" max="9" width="10.77734375" customWidth="1"/>
    <col min="10" max="11" width="11.5546875" customWidth="1"/>
    <col min="12" max="12" width="12.33203125" customWidth="1"/>
    <col min="13" max="13" width="10.21875" customWidth="1"/>
  </cols>
  <sheetData>
    <row r="1" spans="1:13" x14ac:dyDescent="0.25">
      <c r="A1" s="184" t="s">
        <v>1178</v>
      </c>
      <c r="B1" s="184" t="s">
        <v>2706</v>
      </c>
      <c r="C1" s="184" t="s">
        <v>2707</v>
      </c>
      <c r="D1" s="184" t="s">
        <v>2708</v>
      </c>
      <c r="E1" s="185" t="s">
        <v>525</v>
      </c>
      <c r="F1" s="185" t="s">
        <v>526</v>
      </c>
      <c r="G1" s="185" t="s">
        <v>527</v>
      </c>
      <c r="H1" s="173" t="s">
        <v>528</v>
      </c>
      <c r="I1" s="173" t="s">
        <v>529</v>
      </c>
      <c r="J1" s="173" t="s">
        <v>530</v>
      </c>
      <c r="K1" s="173" t="s">
        <v>531</v>
      </c>
      <c r="L1" s="173" t="s">
        <v>532</v>
      </c>
      <c r="M1" s="173" t="s">
        <v>533</v>
      </c>
    </row>
    <row r="2" spans="1:13" x14ac:dyDescent="0.25">
      <c r="A2" s="174"/>
      <c r="B2" s="174">
        <v>21496</v>
      </c>
      <c r="C2" s="175" t="s">
        <v>788</v>
      </c>
      <c r="D2" s="176"/>
      <c r="E2" s="177">
        <v>30785</v>
      </c>
      <c r="F2" s="178">
        <v>30785</v>
      </c>
      <c r="G2" s="178">
        <v>0</v>
      </c>
      <c r="H2" s="179">
        <v>0</v>
      </c>
      <c r="I2" s="179">
        <v>0</v>
      </c>
      <c r="J2" s="179">
        <v>0</v>
      </c>
      <c r="K2" s="179">
        <v>0</v>
      </c>
      <c r="L2" s="179">
        <v>0</v>
      </c>
      <c r="M2" s="179">
        <v>0</v>
      </c>
    </row>
    <row r="3" spans="1:13" x14ac:dyDescent="0.25">
      <c r="A3" s="174"/>
      <c r="B3" s="174">
        <v>21044</v>
      </c>
      <c r="C3" s="175" t="s">
        <v>1559</v>
      </c>
      <c r="D3" s="176"/>
      <c r="E3" s="177">
        <v>12204</v>
      </c>
      <c r="F3" s="178">
        <v>12204</v>
      </c>
      <c r="G3" s="178">
        <v>0</v>
      </c>
      <c r="H3" s="179">
        <v>0</v>
      </c>
      <c r="I3" s="179">
        <v>0</v>
      </c>
      <c r="J3" s="179">
        <v>0</v>
      </c>
      <c r="K3" s="179">
        <v>0</v>
      </c>
      <c r="L3" s="179">
        <v>0</v>
      </c>
      <c r="M3" s="179">
        <v>0</v>
      </c>
    </row>
    <row r="4" spans="1:13" x14ac:dyDescent="0.25">
      <c r="A4" s="174"/>
      <c r="B4" s="174">
        <v>21668</v>
      </c>
      <c r="C4" s="175" t="s">
        <v>1189</v>
      </c>
      <c r="D4" s="176"/>
      <c r="E4" s="177">
        <v>2090212.3699999999</v>
      </c>
      <c r="F4" s="178">
        <v>949164.25</v>
      </c>
      <c r="G4" s="178">
        <v>608166.36</v>
      </c>
      <c r="H4" s="179">
        <v>531816.76</v>
      </c>
      <c r="I4" s="179">
        <v>1065</v>
      </c>
      <c r="J4" s="179">
        <v>0</v>
      </c>
      <c r="K4" s="179">
        <v>0</v>
      </c>
      <c r="L4" s="179">
        <v>0</v>
      </c>
      <c r="M4" s="179">
        <v>0</v>
      </c>
    </row>
    <row r="5" spans="1:13" x14ac:dyDescent="0.25">
      <c r="A5" s="174"/>
      <c r="B5" s="174">
        <v>21545</v>
      </c>
      <c r="C5" s="175" t="s">
        <v>1195</v>
      </c>
      <c r="D5" s="176" t="s">
        <v>2709</v>
      </c>
      <c r="E5" s="177">
        <v>486893.12</v>
      </c>
      <c r="F5" s="178">
        <v>0</v>
      </c>
      <c r="G5" s="178">
        <v>10551.28</v>
      </c>
      <c r="H5" s="179">
        <v>35105.699999999997</v>
      </c>
      <c r="I5" s="179">
        <v>0</v>
      </c>
      <c r="J5" s="179">
        <v>0.34</v>
      </c>
      <c r="K5" s="179">
        <v>441235.8</v>
      </c>
      <c r="L5" s="179">
        <v>0</v>
      </c>
      <c r="M5" s="179">
        <v>0</v>
      </c>
    </row>
    <row r="6" spans="1:13" x14ac:dyDescent="0.25">
      <c r="A6" s="174"/>
      <c r="B6" s="174">
        <v>21484</v>
      </c>
      <c r="C6" s="175" t="s">
        <v>2773</v>
      </c>
      <c r="D6" s="176"/>
      <c r="E6" s="177">
        <v>2798213</v>
      </c>
      <c r="F6" s="178">
        <v>2777563</v>
      </c>
      <c r="G6" s="178">
        <v>20650</v>
      </c>
      <c r="H6" s="179">
        <v>0</v>
      </c>
      <c r="I6" s="179">
        <v>0</v>
      </c>
      <c r="J6" s="179">
        <v>0</v>
      </c>
      <c r="K6" s="179">
        <v>0</v>
      </c>
      <c r="L6" s="179">
        <v>0</v>
      </c>
      <c r="M6" s="179">
        <v>0</v>
      </c>
    </row>
    <row r="7" spans="1:13" x14ac:dyDescent="0.25">
      <c r="A7" s="174"/>
      <c r="B7" s="174">
        <v>21655</v>
      </c>
      <c r="C7" s="175" t="s">
        <v>1859</v>
      </c>
      <c r="D7" s="176" t="s">
        <v>2709</v>
      </c>
      <c r="E7" s="177">
        <v>179735.34</v>
      </c>
      <c r="F7" s="178">
        <v>0</v>
      </c>
      <c r="G7" s="178">
        <v>8112</v>
      </c>
      <c r="H7" s="179">
        <v>34872.949999999997</v>
      </c>
      <c r="I7" s="179">
        <v>81533.539999999994</v>
      </c>
      <c r="J7" s="179">
        <v>55216.85</v>
      </c>
      <c r="K7" s="179">
        <v>0</v>
      </c>
      <c r="L7" s="179">
        <v>0</v>
      </c>
      <c r="M7" s="179">
        <v>0</v>
      </c>
    </row>
    <row r="8" spans="1:13" x14ac:dyDescent="0.25">
      <c r="A8" s="174"/>
      <c r="B8" s="174">
        <v>21654</v>
      </c>
      <c r="C8" s="175" t="s">
        <v>1855</v>
      </c>
      <c r="D8" s="176" t="s">
        <v>2709</v>
      </c>
      <c r="E8" s="177">
        <v>1675861.25</v>
      </c>
      <c r="F8" s="178">
        <v>705710.68</v>
      </c>
      <c r="G8" s="178">
        <v>737773.61</v>
      </c>
      <c r="H8" s="179">
        <v>232376.95999999999</v>
      </c>
      <c r="I8" s="179">
        <v>0</v>
      </c>
      <c r="J8" s="179">
        <v>0</v>
      </c>
      <c r="K8" s="179">
        <v>0</v>
      </c>
      <c r="L8" s="179">
        <v>0</v>
      </c>
      <c r="M8" s="179">
        <v>0</v>
      </c>
    </row>
    <row r="9" spans="1:13" x14ac:dyDescent="0.25">
      <c r="A9" s="174"/>
      <c r="B9" s="174">
        <v>21586</v>
      </c>
      <c r="C9" s="175" t="s">
        <v>1852</v>
      </c>
      <c r="D9" s="174" t="s">
        <v>2710</v>
      </c>
      <c r="E9" s="177">
        <v>11862.94</v>
      </c>
      <c r="F9" s="178">
        <v>0</v>
      </c>
      <c r="G9" s="178">
        <v>182.02</v>
      </c>
      <c r="H9" s="179">
        <v>7100</v>
      </c>
      <c r="I9" s="179">
        <v>0</v>
      </c>
      <c r="J9" s="179">
        <v>885.48</v>
      </c>
      <c r="K9" s="179">
        <v>3695.44</v>
      </c>
      <c r="L9" s="179">
        <v>0</v>
      </c>
      <c r="M9" s="179">
        <v>0</v>
      </c>
    </row>
    <row r="10" spans="1:13" x14ac:dyDescent="0.25">
      <c r="A10" s="174"/>
      <c r="B10" s="174">
        <v>21387</v>
      </c>
      <c r="C10" s="175" t="s">
        <v>1849</v>
      </c>
      <c r="D10" s="174" t="s">
        <v>2710</v>
      </c>
      <c r="E10" s="177">
        <v>8400</v>
      </c>
      <c r="F10" s="178">
        <v>0</v>
      </c>
      <c r="G10" s="178">
        <v>0</v>
      </c>
      <c r="H10" s="179">
        <v>0</v>
      </c>
      <c r="I10" s="179">
        <v>0</v>
      </c>
      <c r="J10" s="179">
        <v>0</v>
      </c>
      <c r="K10" s="179">
        <v>8400</v>
      </c>
      <c r="L10" s="179">
        <v>0</v>
      </c>
      <c r="M10" s="179">
        <v>0</v>
      </c>
    </row>
    <row r="11" spans="1:13" x14ac:dyDescent="0.25">
      <c r="A11" s="174"/>
      <c r="B11" s="174">
        <v>21398</v>
      </c>
      <c r="C11" s="175" t="s">
        <v>1851</v>
      </c>
      <c r="D11" s="174" t="s">
        <v>2710</v>
      </c>
      <c r="E11" s="177">
        <v>159215.92000000001</v>
      </c>
      <c r="F11" s="178">
        <v>22000</v>
      </c>
      <c r="G11" s="178">
        <v>28500</v>
      </c>
      <c r="H11" s="179">
        <v>21500</v>
      </c>
      <c r="I11" s="179">
        <v>15488.35</v>
      </c>
      <c r="J11" s="179">
        <v>31000</v>
      </c>
      <c r="K11" s="179">
        <v>40727.57</v>
      </c>
      <c r="L11" s="179">
        <v>0</v>
      </c>
      <c r="M11" s="179">
        <v>0</v>
      </c>
    </row>
    <row r="12" spans="1:13" x14ac:dyDescent="0.25">
      <c r="A12" s="174"/>
      <c r="B12" s="174">
        <v>21565</v>
      </c>
      <c r="C12" s="175" t="s">
        <v>1313</v>
      </c>
      <c r="D12" s="174"/>
      <c r="E12" s="177">
        <v>64886</v>
      </c>
      <c r="F12" s="178">
        <v>0</v>
      </c>
      <c r="G12" s="178">
        <v>0</v>
      </c>
      <c r="H12" s="179">
        <v>64886</v>
      </c>
      <c r="I12" s="179">
        <v>0</v>
      </c>
      <c r="J12" s="179">
        <v>0</v>
      </c>
      <c r="K12" s="179">
        <v>0</v>
      </c>
      <c r="L12" s="179">
        <v>0</v>
      </c>
      <c r="M12" s="179">
        <v>0</v>
      </c>
    </row>
    <row r="13" spans="1:13" x14ac:dyDescent="0.25">
      <c r="A13" s="174"/>
      <c r="B13" s="174">
        <v>21071</v>
      </c>
      <c r="C13" s="175" t="s">
        <v>1234</v>
      </c>
      <c r="D13" s="174" t="s">
        <v>2711</v>
      </c>
      <c r="E13" s="177">
        <v>502068.99000000005</v>
      </c>
      <c r="F13" s="178">
        <v>49395.95</v>
      </c>
      <c r="G13" s="178">
        <v>64546.75</v>
      </c>
      <c r="H13" s="179">
        <v>211577.76</v>
      </c>
      <c r="I13" s="179">
        <v>23592.74</v>
      </c>
      <c r="J13" s="179">
        <v>138582.32999999999</v>
      </c>
      <c r="K13" s="179">
        <v>14373.46</v>
      </c>
      <c r="L13" s="179">
        <v>0</v>
      </c>
      <c r="M13" s="179">
        <v>0</v>
      </c>
    </row>
    <row r="14" spans="1:13" x14ac:dyDescent="0.25">
      <c r="A14" s="174"/>
      <c r="B14" s="174">
        <v>21077</v>
      </c>
      <c r="C14" s="175" t="s">
        <v>1236</v>
      </c>
      <c r="D14" s="174" t="s">
        <v>2711</v>
      </c>
      <c r="E14" s="177">
        <v>665309</v>
      </c>
      <c r="F14" s="178">
        <v>346660.59</v>
      </c>
      <c r="G14" s="178">
        <v>259798.73</v>
      </c>
      <c r="H14" s="179">
        <v>38179.07</v>
      </c>
      <c r="I14" s="179">
        <v>0</v>
      </c>
      <c r="J14" s="179">
        <v>20670.61</v>
      </c>
      <c r="K14" s="179">
        <v>0</v>
      </c>
      <c r="L14" s="179">
        <v>0</v>
      </c>
      <c r="M14" s="179">
        <v>0</v>
      </c>
    </row>
    <row r="15" spans="1:13" x14ac:dyDescent="0.25">
      <c r="A15" s="174"/>
      <c r="B15" s="174">
        <v>21552</v>
      </c>
      <c r="C15" s="175" t="s">
        <v>1272</v>
      </c>
      <c r="D15" s="174" t="s">
        <v>2711</v>
      </c>
      <c r="E15" s="177">
        <v>344007.76</v>
      </c>
      <c r="F15" s="178">
        <v>0</v>
      </c>
      <c r="G15" s="178">
        <v>11938.15</v>
      </c>
      <c r="H15" s="179">
        <v>77199.81</v>
      </c>
      <c r="I15" s="179">
        <v>95150.6</v>
      </c>
      <c r="J15" s="179">
        <v>159719.20000000001</v>
      </c>
      <c r="K15" s="179">
        <v>0</v>
      </c>
      <c r="L15" s="179">
        <v>0</v>
      </c>
      <c r="M15" s="179">
        <v>0</v>
      </c>
    </row>
    <row r="16" spans="1:13" x14ac:dyDescent="0.25">
      <c r="A16" s="174"/>
      <c r="B16" s="174">
        <v>21283</v>
      </c>
      <c r="C16" s="175" t="s">
        <v>1249</v>
      </c>
      <c r="D16" s="174"/>
      <c r="E16" s="177">
        <v>6838.89</v>
      </c>
      <c r="F16" s="178">
        <v>0</v>
      </c>
      <c r="G16" s="178">
        <v>0</v>
      </c>
      <c r="H16" s="179">
        <v>0</v>
      </c>
      <c r="I16" s="179">
        <v>6838.89</v>
      </c>
      <c r="J16" s="179">
        <v>0</v>
      </c>
      <c r="K16" s="179">
        <v>0</v>
      </c>
      <c r="L16" s="179">
        <v>0</v>
      </c>
      <c r="M16" s="179">
        <v>0</v>
      </c>
    </row>
    <row r="17" spans="1:13" x14ac:dyDescent="0.25">
      <c r="A17" s="174"/>
      <c r="B17" s="174">
        <v>21061</v>
      </c>
      <c r="C17" s="175" t="s">
        <v>1233</v>
      </c>
      <c r="D17" s="174" t="s">
        <v>2711</v>
      </c>
      <c r="E17" s="177">
        <v>568646.43000000005</v>
      </c>
      <c r="F17" s="178">
        <v>0</v>
      </c>
      <c r="G17" s="178">
        <v>146508.23000000001</v>
      </c>
      <c r="H17" s="179">
        <v>20824.91</v>
      </c>
      <c r="I17" s="179">
        <v>164625.66</v>
      </c>
      <c r="J17" s="179">
        <v>79403.83</v>
      </c>
      <c r="K17" s="179">
        <v>157283.79999999999</v>
      </c>
      <c r="L17" s="179">
        <v>0</v>
      </c>
      <c r="M17" s="179">
        <v>0</v>
      </c>
    </row>
    <row r="18" spans="1:13" x14ac:dyDescent="0.25">
      <c r="A18" s="174"/>
      <c r="B18" s="174">
        <v>21269</v>
      </c>
      <c r="C18" s="175" t="s">
        <v>1245</v>
      </c>
      <c r="D18" s="174" t="s">
        <v>2711</v>
      </c>
      <c r="E18" s="177">
        <v>274166</v>
      </c>
      <c r="F18" s="178">
        <v>0</v>
      </c>
      <c r="G18" s="178">
        <v>0</v>
      </c>
      <c r="H18" s="179">
        <v>0</v>
      </c>
      <c r="I18" s="179">
        <v>71315</v>
      </c>
      <c r="J18" s="179">
        <v>28035</v>
      </c>
      <c r="K18" s="179">
        <v>174816</v>
      </c>
      <c r="L18" s="179">
        <v>0</v>
      </c>
      <c r="M18" s="179">
        <v>0</v>
      </c>
    </row>
    <row r="19" spans="1:13" x14ac:dyDescent="0.25">
      <c r="A19" s="174"/>
      <c r="B19" s="174">
        <v>21878</v>
      </c>
      <c r="C19" s="175" t="s">
        <v>2713</v>
      </c>
      <c r="D19" s="174"/>
      <c r="E19" s="177">
        <v>484502</v>
      </c>
      <c r="F19" s="178">
        <v>92400</v>
      </c>
      <c r="G19" s="178">
        <v>315052</v>
      </c>
      <c r="H19" s="179">
        <v>77050</v>
      </c>
      <c r="I19" s="179">
        <v>0</v>
      </c>
      <c r="J19" s="179">
        <v>0</v>
      </c>
      <c r="K19" s="179">
        <v>0</v>
      </c>
      <c r="L19" s="179">
        <v>0</v>
      </c>
      <c r="M19" s="179">
        <v>0</v>
      </c>
    </row>
    <row r="20" spans="1:13" x14ac:dyDescent="0.25">
      <c r="A20" s="174"/>
      <c r="B20" s="174">
        <v>22017</v>
      </c>
      <c r="C20" s="175" t="s">
        <v>2761</v>
      </c>
      <c r="D20" s="174"/>
      <c r="E20" s="177">
        <v>190304.42</v>
      </c>
      <c r="F20" s="178">
        <v>93149.07</v>
      </c>
      <c r="G20" s="178">
        <v>97155.35</v>
      </c>
      <c r="H20" s="179">
        <v>0</v>
      </c>
      <c r="I20" s="179">
        <v>0</v>
      </c>
      <c r="J20" s="179">
        <v>0</v>
      </c>
      <c r="K20" s="179">
        <v>0</v>
      </c>
      <c r="L20" s="179">
        <v>0</v>
      </c>
      <c r="M20" s="179">
        <v>0</v>
      </c>
    </row>
    <row r="21" spans="1:13" x14ac:dyDescent="0.25">
      <c r="A21" s="174"/>
      <c r="B21" s="174">
        <v>21850</v>
      </c>
      <c r="C21" s="175" t="s">
        <v>1280</v>
      </c>
      <c r="D21" s="174"/>
      <c r="E21" s="177">
        <v>1085586.55</v>
      </c>
      <c r="F21" s="178">
        <v>49491.199999999997</v>
      </c>
      <c r="G21" s="178">
        <v>0</v>
      </c>
      <c r="H21" s="179">
        <v>957080.77</v>
      </c>
      <c r="I21" s="179">
        <v>79014.58</v>
      </c>
      <c r="J21" s="179">
        <v>0</v>
      </c>
      <c r="K21" s="179">
        <v>0</v>
      </c>
      <c r="L21" s="179">
        <v>0</v>
      </c>
      <c r="M21" s="179">
        <v>0</v>
      </c>
    </row>
    <row r="22" spans="1:13" x14ac:dyDescent="0.25">
      <c r="A22" s="174"/>
      <c r="B22" s="174">
        <v>21509</v>
      </c>
      <c r="C22" s="175" t="s">
        <v>1268</v>
      </c>
      <c r="D22" s="174" t="s">
        <v>2711</v>
      </c>
      <c r="E22" s="177">
        <v>169757.96</v>
      </c>
      <c r="F22" s="178">
        <v>0</v>
      </c>
      <c r="G22" s="178">
        <v>0</v>
      </c>
      <c r="H22" s="179">
        <v>58792.7</v>
      </c>
      <c r="I22" s="179">
        <v>0</v>
      </c>
      <c r="J22" s="179">
        <v>110965.26</v>
      </c>
      <c r="K22" s="179">
        <v>0</v>
      </c>
      <c r="L22" s="179">
        <v>0</v>
      </c>
      <c r="M22" s="179">
        <v>0</v>
      </c>
    </row>
    <row r="23" spans="1:13" x14ac:dyDescent="0.25">
      <c r="A23" s="174"/>
      <c r="B23" s="174">
        <v>21041</v>
      </c>
      <c r="C23" s="175" t="s">
        <v>1230</v>
      </c>
      <c r="D23" s="174"/>
      <c r="E23" s="177">
        <v>125373.1</v>
      </c>
      <c r="F23" s="178">
        <v>0</v>
      </c>
      <c r="G23" s="178">
        <v>82613.3</v>
      </c>
      <c r="H23" s="179">
        <v>0</v>
      </c>
      <c r="I23" s="179">
        <v>0</v>
      </c>
      <c r="J23" s="179">
        <v>0</v>
      </c>
      <c r="K23" s="179">
        <v>42759.8</v>
      </c>
      <c r="L23" s="179">
        <v>0</v>
      </c>
      <c r="M23" s="179">
        <v>0</v>
      </c>
    </row>
    <row r="24" spans="1:13" x14ac:dyDescent="0.25">
      <c r="A24" s="174"/>
      <c r="B24" s="174">
        <v>21533</v>
      </c>
      <c r="C24" s="175" t="s">
        <v>1269</v>
      </c>
      <c r="D24" s="174" t="s">
        <v>2711</v>
      </c>
      <c r="E24" s="177">
        <v>264289</v>
      </c>
      <c r="F24" s="178">
        <v>0</v>
      </c>
      <c r="G24" s="178">
        <v>91200</v>
      </c>
      <c r="H24" s="179">
        <v>23550</v>
      </c>
      <c r="I24" s="179">
        <v>0</v>
      </c>
      <c r="J24" s="179">
        <v>0</v>
      </c>
      <c r="K24" s="179">
        <v>149539</v>
      </c>
      <c r="L24" s="179">
        <v>0</v>
      </c>
      <c r="M24" s="179">
        <v>0</v>
      </c>
    </row>
    <row r="25" spans="1:13" x14ac:dyDescent="0.25">
      <c r="A25" s="174"/>
      <c r="B25" s="174">
        <v>22077</v>
      </c>
      <c r="C25" s="175" t="s">
        <v>2765</v>
      </c>
      <c r="D25" s="174"/>
      <c r="E25" s="177">
        <v>65297.85</v>
      </c>
      <c r="F25" s="178">
        <v>35148.46</v>
      </c>
      <c r="G25" s="178">
        <v>30149.39</v>
      </c>
      <c r="H25" s="179">
        <v>0</v>
      </c>
      <c r="I25" s="179">
        <v>0</v>
      </c>
      <c r="J25" s="179">
        <v>0</v>
      </c>
      <c r="K25" s="179">
        <v>0</v>
      </c>
      <c r="L25" s="179">
        <v>0</v>
      </c>
      <c r="M25" s="179">
        <v>0</v>
      </c>
    </row>
    <row r="26" spans="1:13" x14ac:dyDescent="0.25">
      <c r="A26" s="174"/>
      <c r="B26" s="174">
        <v>21079</v>
      </c>
      <c r="C26" s="175" t="s">
        <v>1237</v>
      </c>
      <c r="D26" s="174" t="s">
        <v>2711</v>
      </c>
      <c r="E26" s="177">
        <v>20988</v>
      </c>
      <c r="F26" s="178">
        <v>0</v>
      </c>
      <c r="G26" s="178">
        <v>0</v>
      </c>
      <c r="H26" s="179">
        <v>0</v>
      </c>
      <c r="I26" s="179">
        <v>0</v>
      </c>
      <c r="J26" s="179">
        <v>0</v>
      </c>
      <c r="K26" s="179">
        <v>20988</v>
      </c>
      <c r="L26" s="179">
        <v>0</v>
      </c>
      <c r="M26" s="179">
        <v>0</v>
      </c>
    </row>
    <row r="27" spans="1:13" x14ac:dyDescent="0.25">
      <c r="A27" s="174"/>
      <c r="B27" s="174">
        <v>21074</v>
      </c>
      <c r="C27" s="175" t="s">
        <v>1235</v>
      </c>
      <c r="D27" s="174" t="s">
        <v>2711</v>
      </c>
      <c r="E27" s="177">
        <v>112064</v>
      </c>
      <c r="F27" s="178">
        <v>0</v>
      </c>
      <c r="G27" s="178">
        <v>0</v>
      </c>
      <c r="H27" s="179">
        <v>0</v>
      </c>
      <c r="I27" s="179">
        <v>69210</v>
      </c>
      <c r="J27" s="179">
        <v>0</v>
      </c>
      <c r="K27" s="179">
        <v>42854</v>
      </c>
      <c r="L27" s="179">
        <v>0</v>
      </c>
      <c r="M27" s="179">
        <v>0</v>
      </c>
    </row>
    <row r="28" spans="1:13" x14ac:dyDescent="0.25">
      <c r="A28" s="174"/>
      <c r="B28" s="174">
        <v>21889</v>
      </c>
      <c r="C28" s="175" t="s">
        <v>1307</v>
      </c>
      <c r="D28" s="174"/>
      <c r="E28" s="177">
        <v>37101.75</v>
      </c>
      <c r="F28" s="178">
        <v>0</v>
      </c>
      <c r="G28" s="178">
        <v>37101.75</v>
      </c>
      <c r="H28" s="179">
        <v>0</v>
      </c>
      <c r="I28" s="179">
        <v>0</v>
      </c>
      <c r="J28" s="179">
        <v>0</v>
      </c>
      <c r="K28" s="179">
        <v>0</v>
      </c>
      <c r="L28" s="179">
        <v>0</v>
      </c>
      <c r="M28" s="179">
        <v>0</v>
      </c>
    </row>
    <row r="29" spans="1:13" x14ac:dyDescent="0.25">
      <c r="A29" s="174"/>
      <c r="B29" s="174">
        <v>21893</v>
      </c>
      <c r="C29" s="175" t="s">
        <v>1285</v>
      </c>
      <c r="D29" s="174"/>
      <c r="E29" s="177">
        <v>522950.61</v>
      </c>
      <c r="F29" s="178">
        <v>0</v>
      </c>
      <c r="G29" s="178">
        <v>8552</v>
      </c>
      <c r="H29" s="179">
        <v>290935.46000000002</v>
      </c>
      <c r="I29" s="179">
        <v>223463.15</v>
      </c>
      <c r="J29" s="179">
        <v>0</v>
      </c>
      <c r="K29" s="179">
        <v>0</v>
      </c>
      <c r="L29" s="179">
        <v>0</v>
      </c>
      <c r="M29" s="179">
        <v>0</v>
      </c>
    </row>
    <row r="30" spans="1:13" x14ac:dyDescent="0.25">
      <c r="A30" s="174"/>
      <c r="B30" s="174">
        <v>22016</v>
      </c>
      <c r="C30" s="175" t="s">
        <v>2762</v>
      </c>
      <c r="D30" s="174"/>
      <c r="E30" s="177">
        <v>102109.22</v>
      </c>
      <c r="F30" s="178">
        <v>22066.5</v>
      </c>
      <c r="G30" s="178">
        <v>80042.720000000001</v>
      </c>
      <c r="H30" s="179">
        <v>0</v>
      </c>
      <c r="I30" s="179">
        <v>0</v>
      </c>
      <c r="J30" s="179">
        <v>0</v>
      </c>
      <c r="K30" s="179">
        <v>0</v>
      </c>
      <c r="L30" s="179">
        <v>0</v>
      </c>
      <c r="M30" s="179">
        <v>0</v>
      </c>
    </row>
    <row r="31" spans="1:13" x14ac:dyDescent="0.25">
      <c r="A31" s="174"/>
      <c r="B31" s="174">
        <v>21502</v>
      </c>
      <c r="C31" s="175" t="s">
        <v>1265</v>
      </c>
      <c r="D31" s="174" t="s">
        <v>2711</v>
      </c>
      <c r="E31" s="177">
        <v>13334.1</v>
      </c>
      <c r="F31" s="178">
        <v>0</v>
      </c>
      <c r="G31" s="178">
        <v>0</v>
      </c>
      <c r="H31" s="179">
        <v>0</v>
      </c>
      <c r="I31" s="179">
        <v>0</v>
      </c>
      <c r="J31" s="179">
        <v>13334.1</v>
      </c>
      <c r="K31" s="179">
        <v>0</v>
      </c>
      <c r="L31" s="179">
        <v>0</v>
      </c>
      <c r="M31" s="179">
        <v>0</v>
      </c>
    </row>
    <row r="32" spans="1:13" x14ac:dyDescent="0.25">
      <c r="A32" s="174"/>
      <c r="B32" s="174">
        <v>22076</v>
      </c>
      <c r="C32" s="175" t="s">
        <v>2953</v>
      </c>
      <c r="D32" s="174"/>
      <c r="E32" s="177">
        <v>206709.24</v>
      </c>
      <c r="F32" s="178">
        <v>206709.24</v>
      </c>
      <c r="G32" s="178">
        <v>0</v>
      </c>
      <c r="H32" s="179">
        <v>0</v>
      </c>
      <c r="I32" s="179">
        <v>0</v>
      </c>
      <c r="J32" s="179">
        <v>0</v>
      </c>
      <c r="K32" s="179">
        <v>0</v>
      </c>
      <c r="L32" s="179">
        <v>0</v>
      </c>
      <c r="M32" s="179">
        <v>0</v>
      </c>
    </row>
    <row r="33" spans="1:13" x14ac:dyDescent="0.25">
      <c r="A33" s="174"/>
      <c r="B33" s="174">
        <v>21946</v>
      </c>
      <c r="C33" s="175" t="s">
        <v>2779</v>
      </c>
      <c r="D33" s="174"/>
      <c r="E33" s="177">
        <v>78444.56</v>
      </c>
      <c r="F33" s="178">
        <v>78444.56</v>
      </c>
      <c r="G33" s="178">
        <v>0</v>
      </c>
      <c r="H33" s="179">
        <v>0</v>
      </c>
      <c r="I33" s="179">
        <v>0</v>
      </c>
      <c r="J33" s="179">
        <v>0</v>
      </c>
      <c r="K33" s="179">
        <v>0</v>
      </c>
      <c r="L33" s="179">
        <v>0</v>
      </c>
      <c r="M33" s="179">
        <v>0</v>
      </c>
    </row>
    <row r="34" spans="1:13" x14ac:dyDescent="0.25">
      <c r="A34" s="174"/>
      <c r="B34" s="174">
        <v>21945</v>
      </c>
      <c r="C34" s="175" t="s">
        <v>2738</v>
      </c>
      <c r="D34" s="174"/>
      <c r="E34" s="177">
        <v>708723.3899999999</v>
      </c>
      <c r="F34" s="178">
        <v>26997.599999999999</v>
      </c>
      <c r="G34" s="178">
        <v>570378.86</v>
      </c>
      <c r="H34" s="179">
        <v>111346.93</v>
      </c>
      <c r="I34" s="179">
        <v>0</v>
      </c>
      <c r="J34" s="179">
        <v>0</v>
      </c>
      <c r="K34" s="179">
        <v>0</v>
      </c>
      <c r="L34" s="179">
        <v>0</v>
      </c>
      <c r="M34" s="179">
        <v>0</v>
      </c>
    </row>
    <row r="35" spans="1:13" x14ac:dyDescent="0.25">
      <c r="A35" s="174"/>
      <c r="B35" s="174">
        <v>21953</v>
      </c>
      <c r="C35" s="175" t="s">
        <v>2763</v>
      </c>
      <c r="D35" s="174"/>
      <c r="E35" s="177">
        <v>21817.5</v>
      </c>
      <c r="F35" s="178">
        <v>18175</v>
      </c>
      <c r="G35" s="178">
        <v>3642.5</v>
      </c>
      <c r="H35" s="179">
        <v>0</v>
      </c>
      <c r="I35" s="179">
        <v>0</v>
      </c>
      <c r="J35" s="179">
        <v>0</v>
      </c>
      <c r="K35" s="179">
        <v>0</v>
      </c>
      <c r="L35" s="179">
        <v>0</v>
      </c>
      <c r="M35" s="179">
        <v>0</v>
      </c>
    </row>
    <row r="36" spans="1:13" x14ac:dyDescent="0.25">
      <c r="A36" s="174"/>
      <c r="B36" s="174">
        <v>21527</v>
      </c>
      <c r="C36" s="175" t="s">
        <v>1227</v>
      </c>
      <c r="D36" s="174"/>
      <c r="E36" s="177">
        <v>41849.61</v>
      </c>
      <c r="F36" s="178">
        <v>23194.42</v>
      </c>
      <c r="G36" s="178">
        <v>18655.189999999999</v>
      </c>
      <c r="H36" s="179">
        <v>0</v>
      </c>
      <c r="I36" s="179">
        <v>0</v>
      </c>
      <c r="J36" s="179">
        <v>0</v>
      </c>
      <c r="K36" s="179">
        <v>0</v>
      </c>
      <c r="L36" s="179">
        <v>0</v>
      </c>
      <c r="M36" s="179">
        <v>0</v>
      </c>
    </row>
    <row r="37" spans="1:13" x14ac:dyDescent="0.25">
      <c r="A37" s="174"/>
      <c r="B37" s="174">
        <v>21265</v>
      </c>
      <c r="C37" s="175" t="s">
        <v>1090</v>
      </c>
      <c r="D37" s="174"/>
      <c r="E37" s="177">
        <v>4864.07</v>
      </c>
      <c r="F37" s="178">
        <v>4864.07</v>
      </c>
      <c r="G37" s="178">
        <v>0</v>
      </c>
      <c r="H37" s="179">
        <v>0</v>
      </c>
      <c r="I37" s="179">
        <v>0</v>
      </c>
      <c r="J37" s="179">
        <v>0</v>
      </c>
      <c r="K37" s="179">
        <v>0</v>
      </c>
      <c r="L37" s="179">
        <v>0</v>
      </c>
      <c r="M37" s="179">
        <v>0</v>
      </c>
    </row>
    <row r="38" spans="1:13" x14ac:dyDescent="0.25">
      <c r="A38" s="174"/>
      <c r="B38" s="174">
        <v>21486</v>
      </c>
      <c r="C38" s="175" t="s">
        <v>1222</v>
      </c>
      <c r="D38" s="174" t="s">
        <v>2711</v>
      </c>
      <c r="E38" s="177">
        <v>59414.71</v>
      </c>
      <c r="F38" s="178">
        <v>44171.25</v>
      </c>
      <c r="G38" s="178">
        <v>13747.39</v>
      </c>
      <c r="H38" s="179">
        <v>1047.2</v>
      </c>
      <c r="I38" s="179">
        <v>448.87</v>
      </c>
      <c r="J38" s="179">
        <v>0</v>
      </c>
      <c r="K38" s="179">
        <v>0</v>
      </c>
      <c r="L38" s="179">
        <v>0</v>
      </c>
      <c r="M38" s="179">
        <v>0</v>
      </c>
    </row>
    <row r="39" spans="1:13" x14ac:dyDescent="0.25">
      <c r="A39" s="174"/>
      <c r="B39" s="174">
        <v>21518</v>
      </c>
      <c r="C39" s="175" t="s">
        <v>1223</v>
      </c>
      <c r="D39" s="174" t="s">
        <v>2711</v>
      </c>
      <c r="E39" s="177">
        <v>12021.9</v>
      </c>
      <c r="F39" s="178">
        <v>8276.24</v>
      </c>
      <c r="G39" s="178">
        <v>2760.16</v>
      </c>
      <c r="H39" s="179">
        <v>985.5</v>
      </c>
      <c r="I39" s="179">
        <v>0</v>
      </c>
      <c r="J39" s="179">
        <v>0</v>
      </c>
      <c r="K39" s="179">
        <v>0</v>
      </c>
      <c r="L39" s="179">
        <v>0</v>
      </c>
      <c r="M39" s="179">
        <v>0</v>
      </c>
    </row>
    <row r="40" spans="1:13" x14ac:dyDescent="0.25">
      <c r="A40" s="174"/>
      <c r="B40" s="174">
        <v>22075</v>
      </c>
      <c r="C40" s="175" t="s">
        <v>2987</v>
      </c>
      <c r="D40" s="174"/>
      <c r="E40" s="177">
        <v>15386.7</v>
      </c>
      <c r="F40" s="178">
        <v>15386.7</v>
      </c>
      <c r="G40" s="178">
        <v>0</v>
      </c>
      <c r="H40" s="179">
        <v>0</v>
      </c>
      <c r="I40" s="179">
        <v>0</v>
      </c>
      <c r="J40" s="179">
        <v>0</v>
      </c>
      <c r="K40" s="179">
        <v>0</v>
      </c>
      <c r="L40" s="179">
        <v>0</v>
      </c>
      <c r="M40" s="179">
        <v>0</v>
      </c>
    </row>
    <row r="41" spans="1:13" x14ac:dyDescent="0.25">
      <c r="A41" s="174"/>
      <c r="B41" s="174">
        <v>22102</v>
      </c>
      <c r="C41" s="175" t="s">
        <v>2777</v>
      </c>
      <c r="D41" s="174"/>
      <c r="E41" s="177">
        <v>24534</v>
      </c>
      <c r="F41" s="178">
        <v>16920</v>
      </c>
      <c r="G41" s="178">
        <v>7614</v>
      </c>
      <c r="H41" s="179">
        <v>0</v>
      </c>
      <c r="I41" s="179">
        <v>0</v>
      </c>
      <c r="J41" s="179">
        <v>0</v>
      </c>
      <c r="K41" s="179">
        <v>0</v>
      </c>
      <c r="L41" s="179">
        <v>0</v>
      </c>
      <c r="M41" s="179">
        <v>0</v>
      </c>
    </row>
    <row r="42" spans="1:13" x14ac:dyDescent="0.25">
      <c r="A42" s="174"/>
      <c r="B42" s="174">
        <v>21880</v>
      </c>
      <c r="C42" s="175" t="s">
        <v>1289</v>
      </c>
      <c r="D42" s="174"/>
      <c r="E42" s="177">
        <v>13040.15</v>
      </c>
      <c r="F42" s="178">
        <v>10999.99</v>
      </c>
      <c r="G42" s="178">
        <v>1069.8499999999999</v>
      </c>
      <c r="H42" s="179">
        <v>970.31</v>
      </c>
      <c r="I42" s="179">
        <v>0</v>
      </c>
      <c r="J42" s="179">
        <v>0</v>
      </c>
      <c r="K42" s="179">
        <v>0</v>
      </c>
      <c r="L42" s="179">
        <v>0</v>
      </c>
      <c r="M42" s="179">
        <v>0</v>
      </c>
    </row>
    <row r="43" spans="1:13" x14ac:dyDescent="0.25">
      <c r="A43" s="174"/>
      <c r="B43" s="174">
        <v>21881</v>
      </c>
      <c r="C43" s="175" t="s">
        <v>1291</v>
      </c>
      <c r="D43" s="174"/>
      <c r="E43" s="177">
        <v>95398.239999999991</v>
      </c>
      <c r="F43" s="178">
        <v>27156.71</v>
      </c>
      <c r="G43" s="178">
        <v>63840.22</v>
      </c>
      <c r="H43" s="179">
        <v>4401.3100000000004</v>
      </c>
      <c r="I43" s="179">
        <v>0</v>
      </c>
      <c r="J43" s="179">
        <v>0</v>
      </c>
      <c r="K43" s="179">
        <v>0</v>
      </c>
      <c r="L43" s="179">
        <v>0</v>
      </c>
      <c r="M43" s="179">
        <v>0</v>
      </c>
    </row>
    <row r="44" spans="1:13" x14ac:dyDescent="0.25">
      <c r="A44" s="174"/>
      <c r="B44" s="174">
        <v>21882</v>
      </c>
      <c r="C44" s="175" t="s">
        <v>1293</v>
      </c>
      <c r="D44" s="174"/>
      <c r="E44" s="177">
        <v>295.87</v>
      </c>
      <c r="F44" s="178">
        <v>0</v>
      </c>
      <c r="G44" s="178">
        <v>295.87</v>
      </c>
      <c r="H44" s="179">
        <v>0</v>
      </c>
      <c r="I44" s="179">
        <v>0</v>
      </c>
      <c r="J44" s="179">
        <v>0</v>
      </c>
      <c r="K44" s="179">
        <v>0</v>
      </c>
      <c r="L44" s="179">
        <v>0</v>
      </c>
      <c r="M44" s="179">
        <v>0</v>
      </c>
    </row>
    <row r="45" spans="1:13" x14ac:dyDescent="0.25">
      <c r="A45" s="174"/>
      <c r="B45" s="174">
        <v>21883</v>
      </c>
      <c r="C45" s="175" t="s">
        <v>1295</v>
      </c>
      <c r="D45" s="174"/>
      <c r="E45" s="177">
        <v>4391.82</v>
      </c>
      <c r="F45" s="178">
        <v>0</v>
      </c>
      <c r="G45" s="178">
        <v>1123.23</v>
      </c>
      <c r="H45" s="179">
        <v>3268.59</v>
      </c>
      <c r="I45" s="179">
        <v>0</v>
      </c>
      <c r="J45" s="179">
        <v>0</v>
      </c>
      <c r="K45" s="179">
        <v>0</v>
      </c>
      <c r="L45" s="179">
        <v>0</v>
      </c>
      <c r="M45" s="179">
        <v>0</v>
      </c>
    </row>
    <row r="46" spans="1:13" x14ac:dyDescent="0.25">
      <c r="A46" s="174"/>
      <c r="B46" s="174">
        <v>21884</v>
      </c>
      <c r="C46" s="175" t="s">
        <v>1297</v>
      </c>
      <c r="D46" s="174"/>
      <c r="E46" s="177">
        <v>18899.849999999999</v>
      </c>
      <c r="F46" s="178">
        <v>14248.66</v>
      </c>
      <c r="G46" s="178">
        <v>4651.1899999999996</v>
      </c>
      <c r="H46" s="179">
        <v>0</v>
      </c>
      <c r="I46" s="179">
        <v>0</v>
      </c>
      <c r="J46" s="179">
        <v>0</v>
      </c>
      <c r="K46" s="179">
        <v>0</v>
      </c>
      <c r="L46" s="179">
        <v>0</v>
      </c>
      <c r="M46" s="179">
        <v>0</v>
      </c>
    </row>
    <row r="47" spans="1:13" x14ac:dyDescent="0.25">
      <c r="A47" s="174"/>
      <c r="B47" s="174">
        <v>21885</v>
      </c>
      <c r="C47" s="175" t="s">
        <v>1299</v>
      </c>
      <c r="D47" s="174"/>
      <c r="E47" s="177">
        <v>39995.06</v>
      </c>
      <c r="F47" s="178">
        <v>28756.17</v>
      </c>
      <c r="G47" s="178">
        <v>8885.6299999999992</v>
      </c>
      <c r="H47" s="179">
        <v>2353.2600000000002</v>
      </c>
      <c r="I47" s="179">
        <v>0</v>
      </c>
      <c r="J47" s="179">
        <v>0</v>
      </c>
      <c r="K47" s="179">
        <v>0</v>
      </c>
      <c r="L47" s="179">
        <v>0</v>
      </c>
      <c r="M47" s="179">
        <v>0</v>
      </c>
    </row>
    <row r="48" spans="1:13" x14ac:dyDescent="0.25">
      <c r="A48" s="174"/>
      <c r="B48" s="174">
        <v>21886</v>
      </c>
      <c r="C48" s="175" t="s">
        <v>1301</v>
      </c>
      <c r="D48" s="174"/>
      <c r="E48" s="177">
        <v>24521.4</v>
      </c>
      <c r="F48" s="178">
        <v>20572.400000000001</v>
      </c>
      <c r="G48" s="178">
        <v>3949</v>
      </c>
      <c r="H48" s="179">
        <v>0</v>
      </c>
      <c r="I48" s="179">
        <v>0</v>
      </c>
      <c r="J48" s="179">
        <v>0</v>
      </c>
      <c r="K48" s="179">
        <v>0</v>
      </c>
      <c r="L48" s="179">
        <v>0</v>
      </c>
      <c r="M48" s="179">
        <v>0</v>
      </c>
    </row>
    <row r="49" spans="1:13" x14ac:dyDescent="0.25">
      <c r="A49" s="174"/>
      <c r="B49" s="174">
        <v>21887</v>
      </c>
      <c r="C49" s="175" t="s">
        <v>1303</v>
      </c>
      <c r="D49" s="174"/>
      <c r="E49" s="177">
        <v>12656.150000000001</v>
      </c>
      <c r="F49" s="178">
        <v>7234.69</v>
      </c>
      <c r="G49" s="178">
        <v>2371.0100000000002</v>
      </c>
      <c r="H49" s="179">
        <v>3050.45</v>
      </c>
      <c r="I49" s="179">
        <v>0</v>
      </c>
      <c r="J49" s="179">
        <v>0</v>
      </c>
      <c r="K49" s="179">
        <v>0</v>
      </c>
      <c r="L49" s="179">
        <v>0</v>
      </c>
      <c r="M49" s="179">
        <v>0</v>
      </c>
    </row>
    <row r="50" spans="1:13" x14ac:dyDescent="0.25">
      <c r="A50" s="174"/>
      <c r="B50" s="174">
        <v>22870</v>
      </c>
      <c r="C50" s="175" t="s">
        <v>2988</v>
      </c>
      <c r="D50" s="174"/>
      <c r="E50" s="177">
        <v>15384.04</v>
      </c>
      <c r="F50" s="178">
        <v>15384.04</v>
      </c>
      <c r="G50" s="178">
        <v>0</v>
      </c>
      <c r="H50" s="179">
        <v>0</v>
      </c>
      <c r="I50" s="179">
        <v>0</v>
      </c>
      <c r="J50" s="179">
        <v>0</v>
      </c>
      <c r="K50" s="179">
        <v>0</v>
      </c>
      <c r="L50" s="179">
        <v>0</v>
      </c>
      <c r="M50" s="179">
        <v>0</v>
      </c>
    </row>
    <row r="51" spans="1:13" x14ac:dyDescent="0.25">
      <c r="A51" s="174"/>
      <c r="B51" s="174">
        <v>21621</v>
      </c>
      <c r="C51" s="175" t="s">
        <v>1217</v>
      </c>
      <c r="D51" s="174" t="s">
        <v>2711</v>
      </c>
      <c r="E51" s="177">
        <v>2258180.77</v>
      </c>
      <c r="F51" s="178">
        <v>641548.77</v>
      </c>
      <c r="G51" s="178">
        <v>575777.79</v>
      </c>
      <c r="H51" s="179">
        <v>465985.76</v>
      </c>
      <c r="I51" s="179">
        <v>463363.62</v>
      </c>
      <c r="J51" s="179">
        <v>99179.96</v>
      </c>
      <c r="K51" s="179">
        <v>12324.87</v>
      </c>
      <c r="L51" s="179">
        <v>0</v>
      </c>
      <c r="M51" s="179">
        <v>0</v>
      </c>
    </row>
    <row r="52" spans="1:13" x14ac:dyDescent="0.25">
      <c r="A52" s="174"/>
      <c r="B52" s="174">
        <v>21165</v>
      </c>
      <c r="C52" s="175" t="s">
        <v>1316</v>
      </c>
      <c r="D52" s="174" t="s">
        <v>2711</v>
      </c>
      <c r="E52" s="177">
        <v>65059</v>
      </c>
      <c r="F52" s="178">
        <v>0</v>
      </c>
      <c r="G52" s="178">
        <v>0</v>
      </c>
      <c r="H52" s="179">
        <v>5580</v>
      </c>
      <c r="I52" s="179">
        <v>59479</v>
      </c>
      <c r="J52" s="179">
        <v>0</v>
      </c>
      <c r="K52" s="179">
        <v>0</v>
      </c>
      <c r="L52" s="179">
        <v>0</v>
      </c>
      <c r="M52" s="179">
        <v>0</v>
      </c>
    </row>
    <row r="53" spans="1:13" x14ac:dyDescent="0.25">
      <c r="A53" s="174"/>
      <c r="B53" s="174">
        <v>21549</v>
      </c>
      <c r="C53" s="175" t="s">
        <v>2095</v>
      </c>
      <c r="D53" s="174"/>
      <c r="E53" s="177">
        <v>489447.16000000003</v>
      </c>
      <c r="F53" s="178">
        <v>226791.31</v>
      </c>
      <c r="G53" s="178">
        <v>40248.339999999997</v>
      </c>
      <c r="H53" s="179">
        <v>222407.51</v>
      </c>
      <c r="I53" s="179">
        <v>0</v>
      </c>
      <c r="J53" s="179">
        <v>0</v>
      </c>
      <c r="K53" s="179">
        <v>0</v>
      </c>
      <c r="L53" s="179">
        <v>0</v>
      </c>
      <c r="M53" s="179">
        <v>0</v>
      </c>
    </row>
    <row r="54" spans="1:13" x14ac:dyDescent="0.25">
      <c r="A54" s="174"/>
      <c r="B54" s="174">
        <v>21280</v>
      </c>
      <c r="C54" s="175" t="s">
        <v>1203</v>
      </c>
      <c r="D54" s="174" t="s">
        <v>2711</v>
      </c>
      <c r="E54" s="177">
        <v>82709.94</v>
      </c>
      <c r="F54" s="178">
        <v>82709.94</v>
      </c>
      <c r="G54" s="178">
        <v>0</v>
      </c>
      <c r="H54" s="179">
        <v>0</v>
      </c>
      <c r="I54" s="179">
        <v>0</v>
      </c>
      <c r="J54" s="179">
        <v>0</v>
      </c>
      <c r="K54" s="179">
        <v>0</v>
      </c>
      <c r="L54" s="179">
        <v>0</v>
      </c>
      <c r="M54" s="179">
        <v>0</v>
      </c>
    </row>
    <row r="55" spans="1:13" x14ac:dyDescent="0.25">
      <c r="A55" s="174"/>
      <c r="B55" s="174">
        <v>21375</v>
      </c>
      <c r="C55" s="175" t="s">
        <v>1655</v>
      </c>
      <c r="D55" s="174"/>
      <c r="E55" s="177">
        <v>15857.380000000001</v>
      </c>
      <c r="F55" s="178">
        <v>6756.13</v>
      </c>
      <c r="G55" s="178">
        <v>0</v>
      </c>
      <c r="H55" s="179">
        <v>0</v>
      </c>
      <c r="I55" s="179">
        <v>9101.25</v>
      </c>
      <c r="J55" s="179">
        <v>0</v>
      </c>
      <c r="K55" s="179">
        <v>0</v>
      </c>
      <c r="L55" s="179">
        <v>0</v>
      </c>
      <c r="M55" s="179">
        <v>0</v>
      </c>
    </row>
    <row r="56" spans="1:13" x14ac:dyDescent="0.25">
      <c r="A56" s="174"/>
      <c r="B56" s="174">
        <v>21113</v>
      </c>
      <c r="C56" s="175" t="s">
        <v>1409</v>
      </c>
      <c r="D56" s="174" t="s">
        <v>2710</v>
      </c>
      <c r="E56" s="177">
        <v>4380.6000000000004</v>
      </c>
      <c r="F56" s="178">
        <v>0</v>
      </c>
      <c r="G56" s="178">
        <v>0</v>
      </c>
      <c r="H56" s="179">
        <v>4380.6000000000004</v>
      </c>
      <c r="I56" s="179">
        <v>0</v>
      </c>
      <c r="J56" s="179">
        <v>0</v>
      </c>
      <c r="K56" s="179">
        <v>0</v>
      </c>
      <c r="L56" s="179">
        <v>0</v>
      </c>
      <c r="M56" s="179">
        <v>0</v>
      </c>
    </row>
    <row r="57" spans="1:13" x14ac:dyDescent="0.25">
      <c r="A57" s="174"/>
      <c r="B57" s="174">
        <v>21067</v>
      </c>
      <c r="C57" s="175" t="s">
        <v>1424</v>
      </c>
      <c r="D57" s="174" t="s">
        <v>2711</v>
      </c>
      <c r="E57" s="177">
        <v>1566186.01</v>
      </c>
      <c r="F57" s="178">
        <v>237839.57</v>
      </c>
      <c r="G57" s="178">
        <v>630296.44999999995</v>
      </c>
      <c r="H57" s="179">
        <v>138940.82</v>
      </c>
      <c r="I57" s="179">
        <v>252693.77</v>
      </c>
      <c r="J57" s="179">
        <v>244713.73</v>
      </c>
      <c r="K57" s="179">
        <v>61701.67</v>
      </c>
      <c r="L57" s="179">
        <v>0</v>
      </c>
      <c r="M57" s="179">
        <v>0</v>
      </c>
    </row>
    <row r="58" spans="1:13" x14ac:dyDescent="0.25">
      <c r="A58" s="174"/>
      <c r="B58" s="174">
        <v>21949</v>
      </c>
      <c r="C58" s="175" t="s">
        <v>2732</v>
      </c>
      <c r="D58" s="174" t="s">
        <v>2711</v>
      </c>
      <c r="E58" s="177">
        <v>274656</v>
      </c>
      <c r="F58" s="178">
        <v>15980</v>
      </c>
      <c r="G58" s="178">
        <v>0</v>
      </c>
      <c r="H58" s="179">
        <v>258676</v>
      </c>
      <c r="I58" s="179">
        <v>0</v>
      </c>
      <c r="J58" s="179">
        <v>0</v>
      </c>
      <c r="K58" s="179">
        <v>0</v>
      </c>
      <c r="L58" s="179">
        <v>0</v>
      </c>
      <c r="M58" s="179">
        <v>0</v>
      </c>
    </row>
    <row r="59" spans="1:13" x14ac:dyDescent="0.25">
      <c r="A59" s="174"/>
      <c r="B59" s="174">
        <v>22834</v>
      </c>
      <c r="C59" s="175" t="s">
        <v>2945</v>
      </c>
      <c r="D59" s="174"/>
      <c r="E59" s="177">
        <v>410.38</v>
      </c>
      <c r="F59" s="178">
        <v>410.38</v>
      </c>
      <c r="G59" s="178">
        <v>0</v>
      </c>
      <c r="H59" s="179">
        <v>0</v>
      </c>
      <c r="I59" s="179">
        <v>0</v>
      </c>
      <c r="J59" s="179">
        <v>0</v>
      </c>
      <c r="K59" s="179">
        <v>0</v>
      </c>
      <c r="L59" s="179">
        <v>0</v>
      </c>
      <c r="M59" s="179">
        <v>0</v>
      </c>
    </row>
    <row r="60" spans="1:13" x14ac:dyDescent="0.25">
      <c r="A60" s="174"/>
      <c r="B60" s="174">
        <v>21494</v>
      </c>
      <c r="C60" s="175" t="s">
        <v>1348</v>
      </c>
      <c r="D60" s="176" t="s">
        <v>2711</v>
      </c>
      <c r="E60" s="177">
        <v>499096.95</v>
      </c>
      <c r="F60" s="178">
        <v>87861.95</v>
      </c>
      <c r="G60" s="178">
        <v>271397.34999999998</v>
      </c>
      <c r="H60" s="179">
        <v>90343.7</v>
      </c>
      <c r="I60" s="179">
        <v>49493.95</v>
      </c>
      <c r="J60" s="179">
        <v>0</v>
      </c>
      <c r="K60" s="179">
        <v>0</v>
      </c>
      <c r="L60" s="179">
        <v>0</v>
      </c>
      <c r="M60" s="179">
        <v>0</v>
      </c>
    </row>
    <row r="61" spans="1:13" x14ac:dyDescent="0.25">
      <c r="A61" s="174"/>
      <c r="B61" s="174">
        <v>21897</v>
      </c>
      <c r="C61" s="175" t="s">
        <v>1366</v>
      </c>
      <c r="D61" s="176"/>
      <c r="E61" s="177">
        <v>498025.55000000005</v>
      </c>
      <c r="F61" s="178">
        <v>92603.6</v>
      </c>
      <c r="G61" s="178">
        <v>203329.02</v>
      </c>
      <c r="H61" s="179">
        <v>121265.33</v>
      </c>
      <c r="I61" s="179">
        <v>80827.600000000006</v>
      </c>
      <c r="J61" s="179">
        <v>0</v>
      </c>
      <c r="K61" s="179">
        <v>0</v>
      </c>
      <c r="L61" s="179">
        <v>0</v>
      </c>
      <c r="M61" s="179">
        <v>0</v>
      </c>
    </row>
    <row r="62" spans="1:13" x14ac:dyDescent="0.25">
      <c r="A62" s="174"/>
      <c r="B62" s="174">
        <v>21221</v>
      </c>
      <c r="C62" s="175" t="s">
        <v>1362</v>
      </c>
      <c r="D62" s="176" t="s">
        <v>2711</v>
      </c>
      <c r="E62" s="177">
        <v>99523.79</v>
      </c>
      <c r="F62" s="178">
        <v>19924.2</v>
      </c>
      <c r="G62" s="178">
        <v>36315.949999999997</v>
      </c>
      <c r="H62" s="179">
        <v>39974.339999999997</v>
      </c>
      <c r="I62" s="179">
        <v>1824.64</v>
      </c>
      <c r="J62" s="179">
        <v>1484.66</v>
      </c>
      <c r="K62" s="179">
        <v>0</v>
      </c>
      <c r="L62" s="179">
        <v>0</v>
      </c>
      <c r="M62" s="179">
        <v>0</v>
      </c>
    </row>
    <row r="63" spans="1:13" x14ac:dyDescent="0.25">
      <c r="A63" s="174"/>
      <c r="B63" s="174">
        <v>22917</v>
      </c>
      <c r="C63" s="175" t="s">
        <v>2991</v>
      </c>
      <c r="D63" s="174"/>
      <c r="E63" s="177">
        <v>23629</v>
      </c>
      <c r="F63" s="178">
        <v>23629</v>
      </c>
      <c r="G63" s="178">
        <v>0</v>
      </c>
      <c r="H63" s="179">
        <v>0</v>
      </c>
      <c r="I63" s="179">
        <v>0</v>
      </c>
      <c r="J63" s="179">
        <v>0</v>
      </c>
      <c r="K63" s="179">
        <v>0</v>
      </c>
      <c r="L63" s="179">
        <v>0</v>
      </c>
      <c r="M63" s="179">
        <v>0</v>
      </c>
    </row>
    <row r="64" spans="1:13" x14ac:dyDescent="0.25">
      <c r="A64" s="174"/>
      <c r="B64" s="174">
        <v>22108</v>
      </c>
      <c r="C64" s="175" t="s">
        <v>2778</v>
      </c>
      <c r="D64" s="174"/>
      <c r="E64" s="177">
        <v>11871.35</v>
      </c>
      <c r="F64" s="178">
        <v>0</v>
      </c>
      <c r="G64" s="178">
        <v>11871.35</v>
      </c>
      <c r="H64" s="179">
        <v>0</v>
      </c>
      <c r="I64" s="179">
        <v>0</v>
      </c>
      <c r="J64" s="179">
        <v>0</v>
      </c>
      <c r="K64" s="179">
        <v>0</v>
      </c>
      <c r="L64" s="179">
        <v>0</v>
      </c>
      <c r="M64" s="179">
        <v>0</v>
      </c>
    </row>
    <row r="65" spans="1:13" x14ac:dyDescent="0.25">
      <c r="A65" s="174"/>
      <c r="B65" s="174">
        <v>21415</v>
      </c>
      <c r="C65" s="175" t="s">
        <v>1381</v>
      </c>
      <c r="D65" s="174" t="s">
        <v>2710</v>
      </c>
      <c r="E65" s="177">
        <v>308463</v>
      </c>
      <c r="F65" s="178">
        <v>25307</v>
      </c>
      <c r="G65" s="178">
        <v>72146</v>
      </c>
      <c r="H65" s="179">
        <v>66747</v>
      </c>
      <c r="I65" s="179">
        <v>11320</v>
      </c>
      <c r="J65" s="179">
        <v>132943</v>
      </c>
      <c r="K65" s="179">
        <v>0</v>
      </c>
      <c r="L65" s="179">
        <v>0</v>
      </c>
      <c r="M65" s="179">
        <v>0</v>
      </c>
    </row>
    <row r="66" spans="1:13" x14ac:dyDescent="0.25">
      <c r="A66" s="174"/>
      <c r="B66" s="174">
        <v>21402</v>
      </c>
      <c r="C66" s="175" t="s">
        <v>2739</v>
      </c>
      <c r="D66" s="174"/>
      <c r="E66" s="177">
        <v>1203866.1200000001</v>
      </c>
      <c r="F66" s="178">
        <v>160069.85</v>
      </c>
      <c r="G66" s="178">
        <v>519682.71</v>
      </c>
      <c r="H66" s="179">
        <v>524113.56</v>
      </c>
      <c r="I66" s="179">
        <v>0</v>
      </c>
      <c r="J66" s="179">
        <v>0</v>
      </c>
      <c r="K66" s="179">
        <v>0</v>
      </c>
      <c r="L66" s="179">
        <v>0</v>
      </c>
      <c r="M66" s="179">
        <v>0</v>
      </c>
    </row>
    <row r="67" spans="1:13" x14ac:dyDescent="0.25">
      <c r="A67" s="174"/>
      <c r="B67" s="174">
        <v>21407</v>
      </c>
      <c r="C67" s="175" t="s">
        <v>1375</v>
      </c>
      <c r="D67" s="174"/>
      <c r="E67" s="177">
        <v>524157.86</v>
      </c>
      <c r="F67" s="178">
        <v>197931</v>
      </c>
      <c r="G67" s="178">
        <v>326226.86</v>
      </c>
      <c r="H67" s="179">
        <v>0</v>
      </c>
      <c r="I67" s="179">
        <v>0</v>
      </c>
      <c r="J67" s="179">
        <v>0</v>
      </c>
      <c r="K67" s="179">
        <v>0</v>
      </c>
      <c r="L67" s="179">
        <v>0</v>
      </c>
      <c r="M67" s="179">
        <v>0</v>
      </c>
    </row>
    <row r="68" spans="1:13" x14ac:dyDescent="0.25">
      <c r="A68" s="174"/>
      <c r="B68" s="174">
        <v>21554</v>
      </c>
      <c r="C68" s="175" t="s">
        <v>2740</v>
      </c>
      <c r="D68" s="174"/>
      <c r="E68" s="177">
        <v>4750</v>
      </c>
      <c r="F68" s="178">
        <v>0</v>
      </c>
      <c r="G68" s="178">
        <v>4750</v>
      </c>
      <c r="H68" s="179">
        <v>0</v>
      </c>
      <c r="I68" s="179">
        <v>0</v>
      </c>
      <c r="J68" s="179">
        <v>0</v>
      </c>
      <c r="K68" s="179">
        <v>0</v>
      </c>
      <c r="L68" s="179">
        <v>0</v>
      </c>
      <c r="M68" s="179">
        <v>0</v>
      </c>
    </row>
    <row r="69" spans="1:13" x14ac:dyDescent="0.25">
      <c r="A69" s="174"/>
      <c r="B69" s="174">
        <v>21273</v>
      </c>
      <c r="C69" s="175" t="s">
        <v>2434</v>
      </c>
      <c r="D69" s="176"/>
      <c r="E69" s="177">
        <v>156899</v>
      </c>
      <c r="F69" s="178">
        <v>156899</v>
      </c>
      <c r="G69" s="178">
        <v>0</v>
      </c>
      <c r="H69" s="179">
        <v>0</v>
      </c>
      <c r="I69" s="179">
        <v>0</v>
      </c>
      <c r="J69" s="179">
        <v>0</v>
      </c>
      <c r="K69" s="179">
        <v>0</v>
      </c>
      <c r="L69" s="179">
        <v>0</v>
      </c>
      <c r="M69" s="179">
        <v>0</v>
      </c>
    </row>
    <row r="70" spans="1:13" x14ac:dyDescent="0.25">
      <c r="A70" s="174"/>
      <c r="B70" s="174">
        <v>21450</v>
      </c>
      <c r="C70" s="175" t="s">
        <v>1401</v>
      </c>
      <c r="D70" s="176" t="s">
        <v>2711</v>
      </c>
      <c r="E70" s="177">
        <v>26082</v>
      </c>
      <c r="F70" s="178">
        <v>0</v>
      </c>
      <c r="G70" s="178">
        <v>18294</v>
      </c>
      <c r="H70" s="179">
        <v>7788</v>
      </c>
      <c r="I70" s="179">
        <v>0</v>
      </c>
      <c r="J70" s="179">
        <v>0</v>
      </c>
      <c r="K70" s="179">
        <v>0</v>
      </c>
      <c r="L70" s="179">
        <v>0</v>
      </c>
      <c r="M70" s="179">
        <v>0</v>
      </c>
    </row>
    <row r="71" spans="1:13" x14ac:dyDescent="0.25">
      <c r="A71" s="174"/>
      <c r="B71" s="174">
        <v>21501</v>
      </c>
      <c r="C71" s="175" t="s">
        <v>1572</v>
      </c>
      <c r="D71" s="176"/>
      <c r="E71" s="177">
        <v>70590.600000000006</v>
      </c>
      <c r="F71" s="178">
        <v>0</v>
      </c>
      <c r="G71" s="178">
        <v>19350</v>
      </c>
      <c r="H71" s="179">
        <v>9675</v>
      </c>
      <c r="I71" s="179">
        <v>0</v>
      </c>
      <c r="J71" s="179">
        <v>41565.599999999999</v>
      </c>
      <c r="K71" s="179">
        <v>0</v>
      </c>
      <c r="L71" s="179">
        <v>0</v>
      </c>
      <c r="M71" s="179">
        <v>0</v>
      </c>
    </row>
    <row r="72" spans="1:13" x14ac:dyDescent="0.25">
      <c r="A72" s="174"/>
      <c r="B72" s="174">
        <v>21220</v>
      </c>
      <c r="C72" s="175" t="s">
        <v>1570</v>
      </c>
      <c r="D72" s="176" t="s">
        <v>2710</v>
      </c>
      <c r="E72" s="177">
        <v>19665.5</v>
      </c>
      <c r="F72" s="178">
        <v>0</v>
      </c>
      <c r="G72" s="178">
        <v>0</v>
      </c>
      <c r="H72" s="179">
        <v>0</v>
      </c>
      <c r="I72" s="179">
        <v>19665.5</v>
      </c>
      <c r="J72" s="179">
        <v>0</v>
      </c>
      <c r="K72" s="179">
        <v>0</v>
      </c>
      <c r="L72" s="179">
        <v>0</v>
      </c>
      <c r="M72" s="179">
        <v>0</v>
      </c>
    </row>
    <row r="73" spans="1:13" x14ac:dyDescent="0.25">
      <c r="A73" s="174"/>
      <c r="B73" s="174">
        <v>21065</v>
      </c>
      <c r="C73" s="175" t="s">
        <v>2766</v>
      </c>
      <c r="D73" s="176"/>
      <c r="E73" s="177">
        <v>2256</v>
      </c>
      <c r="F73" s="178">
        <v>903</v>
      </c>
      <c r="G73" s="178">
        <v>1353</v>
      </c>
      <c r="H73" s="179">
        <v>0</v>
      </c>
      <c r="I73" s="179">
        <v>0</v>
      </c>
      <c r="J73" s="179">
        <v>0</v>
      </c>
      <c r="K73" s="179">
        <v>0</v>
      </c>
      <c r="L73" s="179">
        <v>0</v>
      </c>
      <c r="M73" s="179">
        <v>0</v>
      </c>
    </row>
    <row r="74" spans="1:13" x14ac:dyDescent="0.25">
      <c r="A74" s="174"/>
      <c r="B74" s="174">
        <v>22069</v>
      </c>
      <c r="C74" s="175" t="s">
        <v>2767</v>
      </c>
      <c r="D74" s="174"/>
      <c r="E74" s="177">
        <v>80230</v>
      </c>
      <c r="F74" s="178">
        <v>0</v>
      </c>
      <c r="G74" s="178">
        <v>80230</v>
      </c>
      <c r="H74" s="179">
        <v>0</v>
      </c>
      <c r="I74" s="179">
        <v>0</v>
      </c>
      <c r="J74" s="179">
        <v>0</v>
      </c>
      <c r="K74" s="179">
        <v>0</v>
      </c>
      <c r="L74" s="179">
        <v>0</v>
      </c>
      <c r="M74" s="179">
        <v>0</v>
      </c>
    </row>
    <row r="75" spans="1:13" x14ac:dyDescent="0.25">
      <c r="A75" s="174"/>
      <c r="B75" s="174">
        <v>21963</v>
      </c>
      <c r="C75" s="175" t="s">
        <v>2774</v>
      </c>
      <c r="D75" s="174"/>
      <c r="E75" s="177">
        <v>146967.79999999999</v>
      </c>
      <c r="F75" s="178">
        <v>89222.8</v>
      </c>
      <c r="G75" s="178">
        <v>57745</v>
      </c>
      <c r="H75" s="179">
        <v>0</v>
      </c>
      <c r="I75" s="179">
        <v>0</v>
      </c>
      <c r="J75" s="179">
        <v>0</v>
      </c>
      <c r="K75" s="179">
        <v>0</v>
      </c>
      <c r="L75" s="179">
        <v>0</v>
      </c>
      <c r="M75" s="179">
        <v>0</v>
      </c>
    </row>
    <row r="76" spans="1:13" x14ac:dyDescent="0.25">
      <c r="A76" s="174"/>
      <c r="B76" s="174">
        <v>22002</v>
      </c>
      <c r="C76" s="175" t="s">
        <v>2775</v>
      </c>
      <c r="D76" s="174"/>
      <c r="E76" s="177">
        <v>206747</v>
      </c>
      <c r="F76" s="178">
        <v>199847</v>
      </c>
      <c r="G76" s="178">
        <v>6900</v>
      </c>
      <c r="H76" s="179">
        <v>0</v>
      </c>
      <c r="I76" s="179">
        <v>0</v>
      </c>
      <c r="J76" s="179">
        <v>0</v>
      </c>
      <c r="K76" s="179">
        <v>0</v>
      </c>
      <c r="L76" s="179">
        <v>0</v>
      </c>
      <c r="M76" s="179">
        <v>0</v>
      </c>
    </row>
    <row r="77" spans="1:13" x14ac:dyDescent="0.25">
      <c r="A77" s="174"/>
      <c r="B77" s="174">
        <v>21078</v>
      </c>
      <c r="C77" s="175" t="s">
        <v>1436</v>
      </c>
      <c r="D77" s="174"/>
      <c r="E77" s="177">
        <v>18410</v>
      </c>
      <c r="F77" s="178">
        <v>18410</v>
      </c>
      <c r="G77" s="178">
        <v>0</v>
      </c>
      <c r="H77" s="179">
        <v>0</v>
      </c>
      <c r="I77" s="179">
        <v>0</v>
      </c>
      <c r="J77" s="179">
        <v>0</v>
      </c>
      <c r="K77" s="179">
        <v>0</v>
      </c>
      <c r="L77" s="179">
        <v>0</v>
      </c>
      <c r="M77" s="179">
        <v>0</v>
      </c>
    </row>
    <row r="78" spans="1:13" x14ac:dyDescent="0.25">
      <c r="A78" s="174"/>
      <c r="B78" s="174">
        <v>21622</v>
      </c>
      <c r="C78" s="175" t="s">
        <v>1461</v>
      </c>
      <c r="D78" s="174" t="s">
        <v>2718</v>
      </c>
      <c r="E78" s="177">
        <v>725206.33</v>
      </c>
      <c r="F78" s="178">
        <v>6079.32</v>
      </c>
      <c r="G78" s="178">
        <v>28516.06</v>
      </c>
      <c r="H78" s="179">
        <v>214497.44</v>
      </c>
      <c r="I78" s="179">
        <v>180214.15</v>
      </c>
      <c r="J78" s="179">
        <v>295899.36</v>
      </c>
      <c r="K78" s="179">
        <v>0</v>
      </c>
      <c r="L78" s="179">
        <v>0</v>
      </c>
      <c r="M78" s="179">
        <v>0</v>
      </c>
    </row>
    <row r="79" spans="1:13" x14ac:dyDescent="0.25">
      <c r="A79" s="174"/>
      <c r="B79" s="174">
        <v>21583</v>
      </c>
      <c r="C79" s="175" t="s">
        <v>1457</v>
      </c>
      <c r="D79" s="174" t="s">
        <v>2718</v>
      </c>
      <c r="E79" s="177">
        <v>1858658.5399999998</v>
      </c>
      <c r="F79" s="178">
        <v>669789.71</v>
      </c>
      <c r="G79" s="178">
        <v>486999.63</v>
      </c>
      <c r="H79" s="179">
        <v>407529.88</v>
      </c>
      <c r="I79" s="179">
        <v>217365.33</v>
      </c>
      <c r="J79" s="179">
        <v>42311.23</v>
      </c>
      <c r="K79" s="179">
        <v>34662.76</v>
      </c>
      <c r="L79" s="179">
        <v>0</v>
      </c>
      <c r="M79" s="179">
        <v>0</v>
      </c>
    </row>
    <row r="80" spans="1:13" x14ac:dyDescent="0.25">
      <c r="A80" s="174"/>
      <c r="B80" s="174">
        <v>21596</v>
      </c>
      <c r="C80" s="175" t="s">
        <v>1458</v>
      </c>
      <c r="D80" s="174" t="s">
        <v>2714</v>
      </c>
      <c r="E80" s="177">
        <v>566977.87</v>
      </c>
      <c r="F80" s="178">
        <v>253185.11</v>
      </c>
      <c r="G80" s="178">
        <v>157106.49</v>
      </c>
      <c r="H80" s="179">
        <v>108104.5</v>
      </c>
      <c r="I80" s="179">
        <v>48581.77</v>
      </c>
      <c r="J80" s="179">
        <v>0</v>
      </c>
      <c r="K80" s="179">
        <v>0</v>
      </c>
      <c r="L80" s="179">
        <v>0</v>
      </c>
      <c r="M80" s="179">
        <v>0</v>
      </c>
    </row>
    <row r="81" spans="1:13" x14ac:dyDescent="0.25">
      <c r="A81" s="174"/>
      <c r="B81" s="174">
        <v>21178</v>
      </c>
      <c r="C81" s="175" t="s">
        <v>1455</v>
      </c>
      <c r="D81" s="174" t="s">
        <v>2718</v>
      </c>
      <c r="E81" s="177">
        <v>568665.09</v>
      </c>
      <c r="F81" s="178">
        <v>233413.8</v>
      </c>
      <c r="G81" s="178">
        <v>214698.56</v>
      </c>
      <c r="H81" s="179">
        <v>83020.12</v>
      </c>
      <c r="I81" s="179">
        <v>37532.61</v>
      </c>
      <c r="J81" s="179">
        <v>0</v>
      </c>
      <c r="K81" s="179">
        <v>0</v>
      </c>
      <c r="L81" s="179">
        <v>0</v>
      </c>
      <c r="M81" s="179">
        <v>0</v>
      </c>
    </row>
    <row r="82" spans="1:13" x14ac:dyDescent="0.25">
      <c r="A82" s="174"/>
      <c r="B82" s="174">
        <v>21614</v>
      </c>
      <c r="C82" s="175" t="s">
        <v>1459</v>
      </c>
      <c r="D82" s="174" t="s">
        <v>2718</v>
      </c>
      <c r="E82" s="177">
        <v>3078359.15</v>
      </c>
      <c r="F82" s="178">
        <v>586251.14</v>
      </c>
      <c r="G82" s="178">
        <v>625451.31000000006</v>
      </c>
      <c r="H82" s="179">
        <v>551412.88</v>
      </c>
      <c r="I82" s="179">
        <v>495091.59</v>
      </c>
      <c r="J82" s="179">
        <v>530580.4</v>
      </c>
      <c r="K82" s="179">
        <v>289571.83</v>
      </c>
      <c r="L82" s="179">
        <v>0</v>
      </c>
      <c r="M82" s="179">
        <v>0</v>
      </c>
    </row>
    <row r="83" spans="1:13" x14ac:dyDescent="0.25">
      <c r="A83" s="174"/>
      <c r="B83" s="174">
        <v>21620</v>
      </c>
      <c r="C83" s="175" t="s">
        <v>1460</v>
      </c>
      <c r="D83" s="176" t="s">
        <v>2719</v>
      </c>
      <c r="E83" s="177">
        <v>274844.25</v>
      </c>
      <c r="F83" s="178">
        <v>194623.75</v>
      </c>
      <c r="G83" s="178">
        <v>80220.5</v>
      </c>
      <c r="H83" s="179">
        <v>0</v>
      </c>
      <c r="I83" s="179">
        <v>0</v>
      </c>
      <c r="J83" s="179">
        <v>0</v>
      </c>
      <c r="K83" s="179">
        <v>0</v>
      </c>
      <c r="L83" s="179">
        <v>0</v>
      </c>
      <c r="M83" s="179">
        <v>0</v>
      </c>
    </row>
    <row r="84" spans="1:13" x14ac:dyDescent="0.25">
      <c r="A84" s="174"/>
      <c r="B84" s="174">
        <v>21541</v>
      </c>
      <c r="C84" s="175" t="s">
        <v>1456</v>
      </c>
      <c r="D84" s="176" t="s">
        <v>2714</v>
      </c>
      <c r="E84" s="177">
        <v>402478.12</v>
      </c>
      <c r="F84" s="178">
        <v>83078.14</v>
      </c>
      <c r="G84" s="178">
        <v>97410.59</v>
      </c>
      <c r="H84" s="179">
        <v>109997.23</v>
      </c>
      <c r="I84" s="179">
        <v>51149.15</v>
      </c>
      <c r="J84" s="179">
        <v>23262.34</v>
      </c>
      <c r="K84" s="179">
        <v>37580.67</v>
      </c>
      <c r="L84" s="179">
        <v>0</v>
      </c>
      <c r="M84" s="179">
        <v>0</v>
      </c>
    </row>
    <row r="85" spans="1:13" x14ac:dyDescent="0.25">
      <c r="A85" s="174"/>
      <c r="B85" s="174">
        <v>21172</v>
      </c>
      <c r="C85" s="175" t="s">
        <v>1453</v>
      </c>
      <c r="D85" s="176" t="s">
        <v>2712</v>
      </c>
      <c r="E85" s="177">
        <v>1523569.51</v>
      </c>
      <c r="F85" s="178">
        <v>267602.84000000003</v>
      </c>
      <c r="G85" s="178">
        <v>528831.43000000005</v>
      </c>
      <c r="H85" s="179">
        <v>488519.98</v>
      </c>
      <c r="I85" s="179">
        <v>138541.07</v>
      </c>
      <c r="J85" s="179">
        <v>100074.19</v>
      </c>
      <c r="K85" s="179">
        <v>0</v>
      </c>
      <c r="L85" s="179">
        <v>0</v>
      </c>
      <c r="M85" s="179">
        <v>0</v>
      </c>
    </row>
    <row r="86" spans="1:13" x14ac:dyDescent="0.25">
      <c r="A86" s="174"/>
      <c r="B86" s="174">
        <v>21075</v>
      </c>
      <c r="C86" s="175" t="s">
        <v>2754</v>
      </c>
      <c r="D86" s="176"/>
      <c r="E86" s="177">
        <v>1818896.21</v>
      </c>
      <c r="F86" s="178">
        <v>493071.75</v>
      </c>
      <c r="G86" s="178">
        <v>1026072.71</v>
      </c>
      <c r="H86" s="179">
        <v>299751.75</v>
      </c>
      <c r="I86" s="179">
        <v>0</v>
      </c>
      <c r="J86" s="179">
        <v>0</v>
      </c>
      <c r="K86" s="179">
        <v>0</v>
      </c>
      <c r="L86" s="179">
        <v>0</v>
      </c>
      <c r="M86" s="179">
        <v>0</v>
      </c>
    </row>
    <row r="87" spans="1:13" x14ac:dyDescent="0.25">
      <c r="A87" s="174"/>
      <c r="B87" s="174">
        <v>21624</v>
      </c>
      <c r="C87" s="175" t="s">
        <v>1462</v>
      </c>
      <c r="D87" s="176" t="s">
        <v>2719</v>
      </c>
      <c r="E87" s="177">
        <v>1344843.09</v>
      </c>
      <c r="F87" s="178">
        <v>299396.73</v>
      </c>
      <c r="G87" s="178">
        <v>102030.28</v>
      </c>
      <c r="H87" s="179">
        <v>43222.38</v>
      </c>
      <c r="I87" s="179">
        <v>135043.95000000001</v>
      </c>
      <c r="J87" s="179">
        <v>589771.31000000006</v>
      </c>
      <c r="K87" s="179">
        <v>175378.44</v>
      </c>
      <c r="L87" s="179">
        <v>0</v>
      </c>
      <c r="M87" s="179">
        <v>0</v>
      </c>
    </row>
    <row r="88" spans="1:13" x14ac:dyDescent="0.25">
      <c r="A88" s="174"/>
      <c r="B88" s="174">
        <v>21895</v>
      </c>
      <c r="C88" s="175" t="s">
        <v>1894</v>
      </c>
      <c r="D88" s="176"/>
      <c r="E88" s="177">
        <v>72445.31</v>
      </c>
      <c r="F88" s="178">
        <v>72445.31</v>
      </c>
      <c r="G88" s="178">
        <v>0</v>
      </c>
      <c r="H88" s="179">
        <v>0</v>
      </c>
      <c r="I88" s="179">
        <v>0</v>
      </c>
      <c r="J88" s="179">
        <v>0</v>
      </c>
      <c r="K88" s="179">
        <v>0</v>
      </c>
      <c r="L88" s="179">
        <v>0</v>
      </c>
      <c r="M88" s="179">
        <v>0</v>
      </c>
    </row>
    <row r="89" spans="1:13" x14ac:dyDescent="0.25">
      <c r="A89" s="174"/>
      <c r="B89" s="174">
        <v>21635</v>
      </c>
      <c r="C89" s="175" t="s">
        <v>2741</v>
      </c>
      <c r="D89" s="180"/>
      <c r="E89" s="181">
        <v>12130.64</v>
      </c>
      <c r="F89" s="178">
        <v>7205.64</v>
      </c>
      <c r="G89" s="178">
        <v>2050</v>
      </c>
      <c r="H89" s="179">
        <v>2875</v>
      </c>
      <c r="I89" s="179">
        <v>0</v>
      </c>
      <c r="J89" s="179">
        <v>0</v>
      </c>
      <c r="K89" s="179">
        <v>0</v>
      </c>
      <c r="L89" s="179">
        <v>0</v>
      </c>
      <c r="M89" s="179">
        <v>0</v>
      </c>
    </row>
    <row r="90" spans="1:13" x14ac:dyDescent="0.25">
      <c r="A90" s="174"/>
      <c r="B90" s="174">
        <v>21628</v>
      </c>
      <c r="C90" s="175" t="s">
        <v>1472</v>
      </c>
      <c r="D90" s="176" t="s">
        <v>2717</v>
      </c>
      <c r="E90" s="177">
        <v>51293</v>
      </c>
      <c r="F90" s="178">
        <v>0</v>
      </c>
      <c r="G90" s="178">
        <v>2694</v>
      </c>
      <c r="H90" s="179">
        <v>0</v>
      </c>
      <c r="I90" s="179">
        <v>2245</v>
      </c>
      <c r="J90" s="179">
        <v>14368</v>
      </c>
      <c r="K90" s="179">
        <v>31986</v>
      </c>
      <c r="L90" s="179">
        <v>0</v>
      </c>
      <c r="M90" s="179">
        <v>0</v>
      </c>
    </row>
    <row r="91" spans="1:13" x14ac:dyDescent="0.25">
      <c r="A91" s="174"/>
      <c r="B91" s="174">
        <v>21247</v>
      </c>
      <c r="C91" s="175" t="s">
        <v>1470</v>
      </c>
      <c r="D91" s="180" t="s">
        <v>2717</v>
      </c>
      <c r="E91" s="181">
        <v>431858.12999999995</v>
      </c>
      <c r="F91" s="178">
        <v>183379.56</v>
      </c>
      <c r="G91" s="178">
        <v>187043.26</v>
      </c>
      <c r="H91" s="179">
        <v>47814.28</v>
      </c>
      <c r="I91" s="179">
        <v>0</v>
      </c>
      <c r="J91" s="179">
        <v>9975.1</v>
      </c>
      <c r="K91" s="179">
        <v>3645.93</v>
      </c>
      <c r="L91" s="179">
        <v>0</v>
      </c>
      <c r="M91" s="179">
        <v>0</v>
      </c>
    </row>
    <row r="92" spans="1:13" x14ac:dyDescent="0.25">
      <c r="A92" s="174"/>
      <c r="B92" s="174">
        <v>21129</v>
      </c>
      <c r="C92" s="175" t="s">
        <v>1468</v>
      </c>
      <c r="D92" s="180" t="s">
        <v>2717</v>
      </c>
      <c r="E92" s="181">
        <v>204700.40000000002</v>
      </c>
      <c r="F92" s="178">
        <v>0</v>
      </c>
      <c r="G92" s="178">
        <v>10627.1</v>
      </c>
      <c r="H92" s="179">
        <v>45527.8</v>
      </c>
      <c r="I92" s="179">
        <v>1069.2</v>
      </c>
      <c r="J92" s="179">
        <v>95337</v>
      </c>
      <c r="K92" s="179">
        <v>52139.3</v>
      </c>
      <c r="L92" s="179">
        <v>0</v>
      </c>
      <c r="M92" s="179">
        <v>0</v>
      </c>
    </row>
    <row r="93" spans="1:13" x14ac:dyDescent="0.25">
      <c r="A93" s="174"/>
      <c r="B93" s="174">
        <v>21672</v>
      </c>
      <c r="C93" s="175" t="s">
        <v>1475</v>
      </c>
      <c r="D93" s="174" t="s">
        <v>2717</v>
      </c>
      <c r="E93" s="177">
        <v>581770</v>
      </c>
      <c r="F93" s="178">
        <v>217712</v>
      </c>
      <c r="G93" s="178">
        <v>257247</v>
      </c>
      <c r="H93" s="179">
        <v>96451</v>
      </c>
      <c r="I93" s="179">
        <v>10360</v>
      </c>
      <c r="J93" s="179">
        <v>0</v>
      </c>
      <c r="K93" s="179">
        <v>0</v>
      </c>
      <c r="L93" s="179">
        <v>0</v>
      </c>
      <c r="M93" s="179">
        <v>0</v>
      </c>
    </row>
    <row r="94" spans="1:13" x14ac:dyDescent="0.25">
      <c r="A94" s="174"/>
      <c r="B94" s="174">
        <v>21595</v>
      </c>
      <c r="C94" s="175" t="s">
        <v>1471</v>
      </c>
      <c r="D94" s="176" t="s">
        <v>2717</v>
      </c>
      <c r="E94" s="177">
        <v>480460.1</v>
      </c>
      <c r="F94" s="178">
        <v>233685.4</v>
      </c>
      <c r="G94" s="178">
        <v>54352.95</v>
      </c>
      <c r="H94" s="179">
        <v>50649.35</v>
      </c>
      <c r="I94" s="179">
        <v>104845.5</v>
      </c>
      <c r="J94" s="179">
        <v>10912</v>
      </c>
      <c r="K94" s="179">
        <v>4448.8999999999996</v>
      </c>
      <c r="L94" s="179">
        <v>21566</v>
      </c>
      <c r="M94" s="179">
        <v>0</v>
      </c>
    </row>
    <row r="95" spans="1:13" x14ac:dyDescent="0.25">
      <c r="A95" s="174"/>
      <c r="B95" s="174">
        <v>21453</v>
      </c>
      <c r="C95" s="175" t="s">
        <v>1710</v>
      </c>
      <c r="D95" s="180" t="s">
        <v>2710</v>
      </c>
      <c r="E95" s="181">
        <v>86865.919999999998</v>
      </c>
      <c r="F95" s="178">
        <v>51226.07</v>
      </c>
      <c r="G95" s="178">
        <v>35639.85</v>
      </c>
      <c r="H95" s="179">
        <v>0</v>
      </c>
      <c r="I95" s="179">
        <v>0</v>
      </c>
      <c r="J95" s="179">
        <v>0</v>
      </c>
      <c r="K95" s="179">
        <v>0</v>
      </c>
      <c r="L95" s="179">
        <v>0</v>
      </c>
      <c r="M95" s="179">
        <v>0</v>
      </c>
    </row>
    <row r="96" spans="1:13" x14ac:dyDescent="0.25">
      <c r="A96" s="174"/>
      <c r="B96" s="174">
        <v>21558</v>
      </c>
      <c r="C96" s="175" t="s">
        <v>1482</v>
      </c>
      <c r="D96" s="174" t="s">
        <v>2720</v>
      </c>
      <c r="E96" s="177">
        <v>891967.75999999989</v>
      </c>
      <c r="F96" s="178">
        <v>692108.46</v>
      </c>
      <c r="G96" s="178">
        <v>467822.73</v>
      </c>
      <c r="H96" s="179">
        <v>0</v>
      </c>
      <c r="I96" s="179">
        <v>-217432.92</v>
      </c>
      <c r="J96" s="179">
        <v>-50530.51</v>
      </c>
      <c r="K96" s="179">
        <v>0</v>
      </c>
      <c r="L96" s="179">
        <v>0</v>
      </c>
      <c r="M96" s="179">
        <v>0</v>
      </c>
    </row>
    <row r="97" spans="1:13" x14ac:dyDescent="0.25">
      <c r="A97" s="174"/>
      <c r="B97" s="174">
        <v>21143</v>
      </c>
      <c r="C97" s="175" t="s">
        <v>1486</v>
      </c>
      <c r="D97" s="176" t="s">
        <v>2709</v>
      </c>
      <c r="E97" s="177">
        <v>19635.3</v>
      </c>
      <c r="F97" s="178">
        <v>791.22</v>
      </c>
      <c r="G97" s="178">
        <v>16528.189999999999</v>
      </c>
      <c r="H97" s="179">
        <v>2315.89</v>
      </c>
      <c r="I97" s="179">
        <v>0</v>
      </c>
      <c r="J97" s="179">
        <v>0</v>
      </c>
      <c r="K97" s="179">
        <v>0</v>
      </c>
      <c r="L97" s="179">
        <v>0</v>
      </c>
      <c r="M97" s="179">
        <v>0</v>
      </c>
    </row>
    <row r="98" spans="1:13" x14ac:dyDescent="0.25">
      <c r="A98" s="174"/>
      <c r="B98" s="174">
        <v>21677</v>
      </c>
      <c r="C98" s="175" t="s">
        <v>1541</v>
      </c>
      <c r="D98" s="174" t="s">
        <v>2720</v>
      </c>
      <c r="E98" s="177">
        <v>4200144.45</v>
      </c>
      <c r="F98" s="178">
        <v>442934.24</v>
      </c>
      <c r="G98" s="178">
        <v>678915.76</v>
      </c>
      <c r="H98" s="179">
        <v>458070.67</v>
      </c>
      <c r="I98" s="179">
        <v>793550.81</v>
      </c>
      <c r="J98" s="179">
        <v>961384.25</v>
      </c>
      <c r="K98" s="179">
        <v>865288.72</v>
      </c>
      <c r="L98" s="179">
        <v>0</v>
      </c>
      <c r="M98" s="179">
        <v>0</v>
      </c>
    </row>
    <row r="99" spans="1:13" x14ac:dyDescent="0.25">
      <c r="A99" s="174"/>
      <c r="B99" s="174">
        <v>22072</v>
      </c>
      <c r="C99" s="175" t="s">
        <v>2776</v>
      </c>
      <c r="D99" s="174"/>
      <c r="E99" s="177">
        <v>1098</v>
      </c>
      <c r="F99" s="178">
        <v>0</v>
      </c>
      <c r="G99" s="178">
        <v>1098</v>
      </c>
      <c r="H99" s="179">
        <v>0</v>
      </c>
      <c r="I99" s="179">
        <v>0</v>
      </c>
      <c r="J99" s="179">
        <v>0</v>
      </c>
      <c r="K99" s="179">
        <v>0</v>
      </c>
      <c r="L99" s="179">
        <v>0</v>
      </c>
      <c r="M99" s="179">
        <v>0</v>
      </c>
    </row>
    <row r="100" spans="1:13" x14ac:dyDescent="0.25">
      <c r="A100" s="174"/>
      <c r="B100" s="174">
        <v>21289</v>
      </c>
      <c r="C100" s="175" t="s">
        <v>1506</v>
      </c>
      <c r="D100" s="176" t="s">
        <v>2720</v>
      </c>
      <c r="E100" s="177">
        <v>95847.2</v>
      </c>
      <c r="F100" s="178">
        <v>0</v>
      </c>
      <c r="G100" s="178">
        <v>12834.52</v>
      </c>
      <c r="H100" s="179">
        <v>30910.84</v>
      </c>
      <c r="I100" s="179">
        <v>0</v>
      </c>
      <c r="J100" s="179">
        <v>46973.64</v>
      </c>
      <c r="K100" s="179">
        <v>5128.2</v>
      </c>
      <c r="L100" s="179">
        <v>0</v>
      </c>
      <c r="M100" s="179">
        <v>0</v>
      </c>
    </row>
    <row r="101" spans="1:13" x14ac:dyDescent="0.25">
      <c r="A101" s="174"/>
      <c r="B101" s="174">
        <v>21996</v>
      </c>
      <c r="C101" s="175" t="s">
        <v>2751</v>
      </c>
      <c r="D101" s="176"/>
      <c r="E101" s="177">
        <v>126345.12</v>
      </c>
      <c r="F101" s="178">
        <v>0</v>
      </c>
      <c r="G101" s="178">
        <v>126345.12</v>
      </c>
      <c r="H101" s="179">
        <v>0</v>
      </c>
      <c r="I101" s="179">
        <v>0</v>
      </c>
      <c r="J101" s="179">
        <v>0</v>
      </c>
      <c r="K101" s="179">
        <v>0</v>
      </c>
      <c r="L101" s="179">
        <v>0</v>
      </c>
      <c r="M101" s="179">
        <v>0</v>
      </c>
    </row>
    <row r="102" spans="1:13" x14ac:dyDescent="0.25">
      <c r="A102" s="174"/>
      <c r="B102" s="174">
        <v>21676</v>
      </c>
      <c r="C102" s="175" t="s">
        <v>1498</v>
      </c>
      <c r="D102" s="180" t="s">
        <v>2712</v>
      </c>
      <c r="E102" s="181">
        <v>11945.34</v>
      </c>
      <c r="F102" s="178">
        <v>0</v>
      </c>
      <c r="G102" s="178">
        <v>0</v>
      </c>
      <c r="H102" s="179">
        <v>0</v>
      </c>
      <c r="I102" s="179">
        <v>0</v>
      </c>
      <c r="J102" s="179">
        <v>11830.32</v>
      </c>
      <c r="K102" s="179">
        <v>115.02</v>
      </c>
      <c r="L102" s="179">
        <v>0</v>
      </c>
      <c r="M102" s="179">
        <v>0</v>
      </c>
    </row>
    <row r="103" spans="1:13" x14ac:dyDescent="0.25">
      <c r="A103" s="174"/>
      <c r="B103" s="174">
        <v>21948</v>
      </c>
      <c r="C103" s="175" t="s">
        <v>2731</v>
      </c>
      <c r="D103" s="180" t="s">
        <v>2711</v>
      </c>
      <c r="E103" s="181">
        <v>49310.119999999995</v>
      </c>
      <c r="F103" s="178">
        <v>24787.759999999998</v>
      </c>
      <c r="G103" s="178">
        <v>23088.720000000001</v>
      </c>
      <c r="H103" s="179">
        <v>1433.64</v>
      </c>
      <c r="I103" s="179">
        <v>0</v>
      </c>
      <c r="J103" s="179">
        <v>0</v>
      </c>
      <c r="K103" s="179">
        <v>0</v>
      </c>
      <c r="L103" s="179">
        <v>0</v>
      </c>
      <c r="M103" s="179">
        <v>0</v>
      </c>
    </row>
    <row r="104" spans="1:13" x14ac:dyDescent="0.25">
      <c r="A104" s="174"/>
      <c r="B104" s="174">
        <v>21651</v>
      </c>
      <c r="C104" s="175" t="s">
        <v>1521</v>
      </c>
      <c r="D104" s="176" t="s">
        <v>2721</v>
      </c>
      <c r="E104" s="177">
        <v>475565.31000000006</v>
      </c>
      <c r="F104" s="178">
        <v>43816.1</v>
      </c>
      <c r="G104" s="178">
        <v>95940.32</v>
      </c>
      <c r="H104" s="179">
        <v>56583.41</v>
      </c>
      <c r="I104" s="179">
        <v>23774.639999999999</v>
      </c>
      <c r="J104" s="179">
        <v>96690.35</v>
      </c>
      <c r="K104" s="179">
        <v>143979.43</v>
      </c>
      <c r="L104" s="179">
        <v>14781.06</v>
      </c>
      <c r="M104" s="179">
        <v>0</v>
      </c>
    </row>
    <row r="105" spans="1:13" x14ac:dyDescent="0.25">
      <c r="A105" s="174"/>
      <c r="B105" s="174">
        <v>21300</v>
      </c>
      <c r="C105" s="175" t="s">
        <v>1538</v>
      </c>
      <c r="D105" s="176" t="s">
        <v>2720</v>
      </c>
      <c r="E105" s="177">
        <v>926118.98999999987</v>
      </c>
      <c r="F105" s="178">
        <v>212783.54</v>
      </c>
      <c r="G105" s="178">
        <v>186136.1</v>
      </c>
      <c r="H105" s="179">
        <v>350156.54</v>
      </c>
      <c r="I105" s="179">
        <v>130680.35</v>
      </c>
      <c r="J105" s="179">
        <v>46362.46</v>
      </c>
      <c r="K105" s="179">
        <v>0</v>
      </c>
      <c r="L105" s="179">
        <v>0</v>
      </c>
      <c r="M105" s="179">
        <v>0</v>
      </c>
    </row>
    <row r="106" spans="1:13" x14ac:dyDescent="0.25">
      <c r="A106" s="174"/>
      <c r="B106" s="174">
        <v>21849</v>
      </c>
      <c r="C106" s="175" t="s">
        <v>1514</v>
      </c>
      <c r="D106" s="174"/>
      <c r="E106" s="177">
        <v>15901.16</v>
      </c>
      <c r="F106" s="178">
        <v>15901.16</v>
      </c>
      <c r="G106" s="178">
        <v>0</v>
      </c>
      <c r="H106" s="179">
        <v>0</v>
      </c>
      <c r="I106" s="179">
        <v>0</v>
      </c>
      <c r="J106" s="179">
        <v>0</v>
      </c>
      <c r="K106" s="179">
        <v>0</v>
      </c>
      <c r="L106" s="179">
        <v>0</v>
      </c>
      <c r="M106" s="179">
        <v>0</v>
      </c>
    </row>
    <row r="107" spans="1:13" x14ac:dyDescent="0.25">
      <c r="A107" s="174"/>
      <c r="B107" s="174">
        <v>21454</v>
      </c>
      <c r="C107" s="175" t="s">
        <v>1492</v>
      </c>
      <c r="D107" s="174"/>
      <c r="E107" s="177">
        <v>32383.18</v>
      </c>
      <c r="F107" s="178">
        <v>0</v>
      </c>
      <c r="G107" s="178">
        <v>0</v>
      </c>
      <c r="H107" s="179">
        <v>0</v>
      </c>
      <c r="I107" s="179">
        <v>32383.18</v>
      </c>
      <c r="J107" s="179">
        <v>0</v>
      </c>
      <c r="K107" s="179">
        <v>0</v>
      </c>
      <c r="L107" s="179">
        <v>0</v>
      </c>
      <c r="M107" s="179">
        <v>0</v>
      </c>
    </row>
    <row r="108" spans="1:13" x14ac:dyDescent="0.25">
      <c r="A108" s="174"/>
      <c r="B108" s="174">
        <v>21309</v>
      </c>
      <c r="C108" s="175" t="s">
        <v>1524</v>
      </c>
      <c r="D108" s="174" t="s">
        <v>2720</v>
      </c>
      <c r="E108" s="177">
        <v>17348.690000000002</v>
      </c>
      <c r="F108" s="178">
        <v>0</v>
      </c>
      <c r="G108" s="178">
        <v>448.56</v>
      </c>
      <c r="H108" s="179">
        <v>0</v>
      </c>
      <c r="I108" s="179">
        <v>5414.93</v>
      </c>
      <c r="J108" s="179">
        <v>268.92</v>
      </c>
      <c r="K108" s="179">
        <v>9724.92</v>
      </c>
      <c r="L108" s="179">
        <v>1491.36</v>
      </c>
      <c r="M108" s="179">
        <v>0</v>
      </c>
    </row>
    <row r="109" spans="1:13" x14ac:dyDescent="0.25">
      <c r="A109" s="174"/>
      <c r="B109" s="174">
        <v>21642</v>
      </c>
      <c r="C109" s="175" t="s">
        <v>1547</v>
      </c>
      <c r="D109" s="176" t="s">
        <v>2711</v>
      </c>
      <c r="E109" s="177">
        <v>962.74</v>
      </c>
      <c r="F109" s="178">
        <v>0</v>
      </c>
      <c r="G109" s="178">
        <v>0</v>
      </c>
      <c r="H109" s="179">
        <v>0</v>
      </c>
      <c r="I109" s="179">
        <v>962.74</v>
      </c>
      <c r="J109" s="179">
        <v>0</v>
      </c>
      <c r="K109" s="179">
        <v>0</v>
      </c>
      <c r="L109" s="179">
        <v>0</v>
      </c>
      <c r="M109" s="179">
        <v>0</v>
      </c>
    </row>
    <row r="110" spans="1:13" x14ac:dyDescent="0.25">
      <c r="A110" s="174"/>
      <c r="B110" s="174">
        <v>21276</v>
      </c>
      <c r="C110" s="175" t="s">
        <v>1505</v>
      </c>
      <c r="D110" s="176" t="s">
        <v>2719</v>
      </c>
      <c r="E110" s="177">
        <v>302802.54000000004</v>
      </c>
      <c r="F110" s="178">
        <v>18814.14</v>
      </c>
      <c r="G110" s="178">
        <v>80454.240000000005</v>
      </c>
      <c r="H110" s="179">
        <v>37895.870000000003</v>
      </c>
      <c r="I110" s="179">
        <v>49641.63</v>
      </c>
      <c r="J110" s="179">
        <v>115996.66</v>
      </c>
      <c r="K110" s="179">
        <v>0</v>
      </c>
      <c r="L110" s="179">
        <v>0</v>
      </c>
      <c r="M110" s="179">
        <v>0</v>
      </c>
    </row>
    <row r="111" spans="1:13" x14ac:dyDescent="0.25">
      <c r="A111" s="174"/>
      <c r="B111" s="174">
        <v>21641</v>
      </c>
      <c r="C111" s="175" t="s">
        <v>1535</v>
      </c>
      <c r="D111" s="176" t="s">
        <v>2720</v>
      </c>
      <c r="E111" s="177">
        <v>676868.15</v>
      </c>
      <c r="F111" s="178">
        <v>70202.039999999994</v>
      </c>
      <c r="G111" s="178">
        <v>105425</v>
      </c>
      <c r="H111" s="179">
        <v>54940.31</v>
      </c>
      <c r="I111" s="179">
        <v>74354.83</v>
      </c>
      <c r="J111" s="179">
        <v>185543.2</v>
      </c>
      <c r="K111" s="179">
        <v>185321.49</v>
      </c>
      <c r="L111" s="179">
        <v>1081.28</v>
      </c>
      <c r="M111" s="179">
        <v>0</v>
      </c>
    </row>
    <row r="112" spans="1:13" x14ac:dyDescent="0.25">
      <c r="A112" s="174"/>
      <c r="B112" s="174">
        <v>21310</v>
      </c>
      <c r="C112" s="175" t="s">
        <v>1527</v>
      </c>
      <c r="D112" s="176" t="s">
        <v>2720</v>
      </c>
      <c r="E112" s="177">
        <v>9340613.7000000011</v>
      </c>
      <c r="F112" s="178">
        <v>295736.38</v>
      </c>
      <c r="G112" s="178">
        <v>606424.77</v>
      </c>
      <c r="H112" s="179">
        <v>984591.93</v>
      </c>
      <c r="I112" s="179">
        <v>1237550.8</v>
      </c>
      <c r="J112" s="179">
        <v>1479115.11</v>
      </c>
      <c r="K112" s="179">
        <v>2793964.96</v>
      </c>
      <c r="L112" s="179">
        <v>1926186.51</v>
      </c>
      <c r="M112" s="179">
        <v>17043.240000000002</v>
      </c>
    </row>
    <row r="113" spans="1:13" x14ac:dyDescent="0.25">
      <c r="A113" s="174"/>
      <c r="B113" s="174">
        <v>21666</v>
      </c>
      <c r="C113" s="175" t="s">
        <v>1544</v>
      </c>
      <c r="D113" s="182" t="s">
        <v>2720</v>
      </c>
      <c r="E113" s="177">
        <v>5221154.05</v>
      </c>
      <c r="F113" s="178">
        <v>1535810.65</v>
      </c>
      <c r="G113" s="178">
        <v>1611658.94</v>
      </c>
      <c r="H113" s="179">
        <v>1062480.51</v>
      </c>
      <c r="I113" s="179">
        <v>597036.56999999995</v>
      </c>
      <c r="J113" s="179">
        <v>414167.38</v>
      </c>
      <c r="K113" s="179">
        <v>0</v>
      </c>
      <c r="L113" s="179">
        <v>0</v>
      </c>
      <c r="M113" s="179">
        <v>0</v>
      </c>
    </row>
    <row r="114" spans="1:13" x14ac:dyDescent="0.25">
      <c r="A114" s="174"/>
      <c r="B114" s="174">
        <v>21301</v>
      </c>
      <c r="C114" s="175" t="s">
        <v>1550</v>
      </c>
      <c r="D114" s="182" t="s">
        <v>2720</v>
      </c>
      <c r="E114" s="177">
        <v>111518.86999999998</v>
      </c>
      <c r="F114" s="178">
        <v>70728.59</v>
      </c>
      <c r="G114" s="178">
        <v>23977.01</v>
      </c>
      <c r="H114" s="179">
        <v>12709.31</v>
      </c>
      <c r="I114" s="179">
        <v>2368.1999999999998</v>
      </c>
      <c r="J114" s="179">
        <v>1735.76</v>
      </c>
      <c r="K114" s="179">
        <v>0</v>
      </c>
      <c r="L114" s="179">
        <v>0</v>
      </c>
      <c r="M114" s="179">
        <v>0</v>
      </c>
    </row>
    <row r="115" spans="1:13" x14ac:dyDescent="0.25">
      <c r="A115" s="174"/>
      <c r="B115" s="174">
        <v>21286</v>
      </c>
      <c r="C115" s="175" t="s">
        <v>1518</v>
      </c>
      <c r="D115" s="176" t="s">
        <v>2720</v>
      </c>
      <c r="E115" s="177">
        <v>72086.09</v>
      </c>
      <c r="F115" s="178">
        <v>0</v>
      </c>
      <c r="G115" s="178">
        <v>0</v>
      </c>
      <c r="H115" s="179">
        <v>0</v>
      </c>
      <c r="I115" s="179">
        <v>0</v>
      </c>
      <c r="J115" s="179">
        <v>0</v>
      </c>
      <c r="K115" s="179">
        <v>0</v>
      </c>
      <c r="L115" s="179">
        <v>69563.47</v>
      </c>
      <c r="M115" s="179">
        <v>2522.62</v>
      </c>
    </row>
    <row r="116" spans="1:13" x14ac:dyDescent="0.25">
      <c r="A116" s="174"/>
      <c r="B116" s="174">
        <v>21674</v>
      </c>
      <c r="C116" s="175" t="s">
        <v>2722</v>
      </c>
      <c r="D116" s="176"/>
      <c r="E116" s="177">
        <v>89496</v>
      </c>
      <c r="F116" s="178">
        <v>16272</v>
      </c>
      <c r="G116" s="178">
        <v>61020</v>
      </c>
      <c r="H116" s="179">
        <v>12204</v>
      </c>
      <c r="I116" s="179">
        <v>0</v>
      </c>
      <c r="J116" s="179">
        <v>0</v>
      </c>
      <c r="K116" s="179">
        <v>0</v>
      </c>
      <c r="L116" s="179">
        <v>0</v>
      </c>
      <c r="M116" s="179">
        <v>0</v>
      </c>
    </row>
    <row r="117" spans="1:13" x14ac:dyDescent="0.25">
      <c r="A117" s="174"/>
      <c r="B117" s="174">
        <v>21604</v>
      </c>
      <c r="C117" s="175" t="s">
        <v>1578</v>
      </c>
      <c r="D117" s="176"/>
      <c r="E117" s="177">
        <v>22737.99</v>
      </c>
      <c r="F117" s="178">
        <v>22737.99</v>
      </c>
      <c r="G117" s="178">
        <v>0</v>
      </c>
      <c r="H117" s="179">
        <v>0</v>
      </c>
      <c r="I117" s="179">
        <v>0</v>
      </c>
      <c r="J117" s="179">
        <v>0</v>
      </c>
      <c r="K117" s="179">
        <v>0</v>
      </c>
      <c r="L117" s="179">
        <v>0</v>
      </c>
      <c r="M117" s="179">
        <v>0</v>
      </c>
    </row>
    <row r="118" spans="1:13" x14ac:dyDescent="0.25">
      <c r="A118" s="174"/>
      <c r="B118" s="174">
        <v>22080</v>
      </c>
      <c r="C118" s="175" t="s">
        <v>2781</v>
      </c>
      <c r="D118" s="174"/>
      <c r="E118" s="177">
        <v>32571.5</v>
      </c>
      <c r="F118" s="178">
        <v>32571.5</v>
      </c>
      <c r="G118" s="178">
        <v>0</v>
      </c>
      <c r="H118" s="179">
        <v>0</v>
      </c>
      <c r="I118" s="179">
        <v>0</v>
      </c>
      <c r="J118" s="179">
        <v>0</v>
      </c>
      <c r="K118" s="179">
        <v>0</v>
      </c>
      <c r="L118" s="179">
        <v>0</v>
      </c>
      <c r="M118" s="179">
        <v>0</v>
      </c>
    </row>
    <row r="119" spans="1:13" x14ac:dyDescent="0.25">
      <c r="A119" s="174"/>
      <c r="B119" s="174">
        <v>21306</v>
      </c>
      <c r="C119" s="175" t="s">
        <v>1582</v>
      </c>
      <c r="D119" s="174" t="s">
        <v>2711</v>
      </c>
      <c r="E119" s="177">
        <v>22093</v>
      </c>
      <c r="F119" s="178">
        <v>0</v>
      </c>
      <c r="G119" s="178">
        <v>0</v>
      </c>
      <c r="H119" s="179">
        <v>0</v>
      </c>
      <c r="I119" s="179">
        <v>0</v>
      </c>
      <c r="J119" s="179">
        <v>0</v>
      </c>
      <c r="K119" s="179">
        <v>22093</v>
      </c>
      <c r="L119" s="179">
        <v>0</v>
      </c>
      <c r="M119" s="179">
        <v>0</v>
      </c>
    </row>
    <row r="120" spans="1:13" x14ac:dyDescent="0.25">
      <c r="A120" s="174"/>
      <c r="B120" s="174">
        <v>21572</v>
      </c>
      <c r="C120" s="175" t="s">
        <v>2067</v>
      </c>
      <c r="D120" s="174"/>
      <c r="E120" s="177">
        <v>9625</v>
      </c>
      <c r="F120" s="178">
        <v>9225</v>
      </c>
      <c r="G120" s="178">
        <v>400</v>
      </c>
      <c r="H120" s="179">
        <v>0</v>
      </c>
      <c r="I120" s="179">
        <v>0</v>
      </c>
      <c r="J120" s="179">
        <v>0</v>
      </c>
      <c r="K120" s="179">
        <v>0</v>
      </c>
      <c r="L120" s="179">
        <v>0</v>
      </c>
      <c r="M120" s="179">
        <v>0</v>
      </c>
    </row>
    <row r="121" spans="1:13" x14ac:dyDescent="0.25">
      <c r="A121" s="174"/>
      <c r="B121" s="174">
        <v>21412</v>
      </c>
      <c r="C121" s="175" t="s">
        <v>2947</v>
      </c>
      <c r="D121" s="176"/>
      <c r="E121" s="177">
        <v>1200</v>
      </c>
      <c r="F121" s="178">
        <v>1200</v>
      </c>
      <c r="G121" s="178">
        <v>0</v>
      </c>
      <c r="H121" s="179">
        <v>0</v>
      </c>
      <c r="I121" s="179">
        <v>0</v>
      </c>
      <c r="J121" s="179">
        <v>0</v>
      </c>
      <c r="K121" s="179">
        <v>0</v>
      </c>
      <c r="L121" s="179">
        <v>0</v>
      </c>
      <c r="M121" s="179">
        <v>0</v>
      </c>
    </row>
    <row r="122" spans="1:13" x14ac:dyDescent="0.25">
      <c r="A122" s="174"/>
      <c r="B122" s="174">
        <v>21171</v>
      </c>
      <c r="C122" s="175" t="s">
        <v>2541</v>
      </c>
      <c r="D122" s="176"/>
      <c r="E122" s="177">
        <v>10001</v>
      </c>
      <c r="F122" s="178">
        <v>10001</v>
      </c>
      <c r="G122" s="178">
        <v>0</v>
      </c>
      <c r="H122" s="179">
        <v>0</v>
      </c>
      <c r="I122" s="179">
        <v>0</v>
      </c>
      <c r="J122" s="179">
        <v>0</v>
      </c>
      <c r="K122" s="179">
        <v>0</v>
      </c>
      <c r="L122" s="179">
        <v>0</v>
      </c>
      <c r="M122" s="179">
        <v>0</v>
      </c>
    </row>
    <row r="123" spans="1:13" x14ac:dyDescent="0.25">
      <c r="A123" s="174"/>
      <c r="B123" s="174">
        <v>21130</v>
      </c>
      <c r="C123" s="175" t="s">
        <v>1906</v>
      </c>
      <c r="D123" s="174"/>
      <c r="E123" s="177">
        <v>16585.189999999999</v>
      </c>
      <c r="F123" s="178">
        <v>16585.189999999999</v>
      </c>
      <c r="G123" s="178">
        <v>0</v>
      </c>
      <c r="H123" s="179">
        <v>0</v>
      </c>
      <c r="I123" s="179">
        <v>0</v>
      </c>
      <c r="J123" s="179">
        <v>0</v>
      </c>
      <c r="K123" s="179">
        <v>0</v>
      </c>
      <c r="L123" s="179">
        <v>0</v>
      </c>
      <c r="M123" s="179">
        <v>0</v>
      </c>
    </row>
    <row r="124" spans="1:13" x14ac:dyDescent="0.25">
      <c r="A124" s="174"/>
      <c r="B124" s="174">
        <v>21047</v>
      </c>
      <c r="C124" s="175" t="s">
        <v>2357</v>
      </c>
      <c r="D124" s="176"/>
      <c r="E124" s="177">
        <v>2750</v>
      </c>
      <c r="F124" s="178">
        <v>2750</v>
      </c>
      <c r="G124" s="178">
        <v>0</v>
      </c>
      <c r="H124" s="179">
        <v>0</v>
      </c>
      <c r="I124" s="179">
        <v>0</v>
      </c>
      <c r="J124" s="179">
        <v>0</v>
      </c>
      <c r="K124" s="179">
        <v>0</v>
      </c>
      <c r="L124" s="179">
        <v>0</v>
      </c>
      <c r="M124" s="179">
        <v>0</v>
      </c>
    </row>
    <row r="125" spans="1:13" x14ac:dyDescent="0.25">
      <c r="A125" s="174"/>
      <c r="B125" s="174">
        <v>21250</v>
      </c>
      <c r="C125" s="175" t="s">
        <v>1985</v>
      </c>
      <c r="D125" s="176"/>
      <c r="E125" s="177">
        <v>3336</v>
      </c>
      <c r="F125" s="178">
        <v>3336</v>
      </c>
      <c r="G125" s="178">
        <v>0</v>
      </c>
      <c r="H125" s="179">
        <v>0</v>
      </c>
      <c r="I125" s="179">
        <v>0</v>
      </c>
      <c r="J125" s="179">
        <v>0</v>
      </c>
      <c r="K125" s="179">
        <v>0</v>
      </c>
      <c r="L125" s="179">
        <v>0</v>
      </c>
      <c r="M125" s="179">
        <v>0</v>
      </c>
    </row>
    <row r="126" spans="1:13" x14ac:dyDescent="0.25">
      <c r="A126" s="174"/>
      <c r="B126" s="174">
        <v>21210</v>
      </c>
      <c r="C126" s="175" t="s">
        <v>1650</v>
      </c>
      <c r="D126" s="174"/>
      <c r="E126" s="177">
        <v>1775752.9699999997</v>
      </c>
      <c r="F126" s="178">
        <v>181805.83</v>
      </c>
      <c r="G126" s="178">
        <v>367851.77</v>
      </c>
      <c r="H126" s="179">
        <v>529682.94999999995</v>
      </c>
      <c r="I126" s="179">
        <v>556110.01</v>
      </c>
      <c r="J126" s="179">
        <v>140302.41</v>
      </c>
      <c r="K126" s="179">
        <v>0</v>
      </c>
      <c r="L126" s="179">
        <v>0</v>
      </c>
      <c r="M126" s="179">
        <v>0</v>
      </c>
    </row>
    <row r="127" spans="1:13" x14ac:dyDescent="0.25">
      <c r="A127" s="174"/>
      <c r="B127" s="174">
        <v>21594</v>
      </c>
      <c r="C127" s="175" t="s">
        <v>1676</v>
      </c>
      <c r="D127" s="176" t="s">
        <v>2709</v>
      </c>
      <c r="E127" s="177">
        <v>2795</v>
      </c>
      <c r="F127" s="178">
        <v>2795</v>
      </c>
      <c r="G127" s="178">
        <v>0</v>
      </c>
      <c r="H127" s="179">
        <v>0</v>
      </c>
      <c r="I127" s="179">
        <v>0</v>
      </c>
      <c r="J127" s="179">
        <v>0</v>
      </c>
      <c r="K127" s="179">
        <v>0</v>
      </c>
      <c r="L127" s="179">
        <v>0</v>
      </c>
      <c r="M127" s="179">
        <v>0</v>
      </c>
    </row>
    <row r="128" spans="1:13" x14ac:dyDescent="0.25">
      <c r="A128" s="174"/>
      <c r="B128" s="174">
        <v>21957</v>
      </c>
      <c r="C128" s="175" t="s">
        <v>2733</v>
      </c>
      <c r="D128" s="176"/>
      <c r="E128" s="177">
        <v>4466.3999999999996</v>
      </c>
      <c r="F128" s="178">
        <v>0</v>
      </c>
      <c r="G128" s="178">
        <v>0</v>
      </c>
      <c r="H128" s="179">
        <v>4466.3999999999996</v>
      </c>
      <c r="I128" s="179">
        <v>0</v>
      </c>
      <c r="J128" s="179">
        <v>0</v>
      </c>
      <c r="K128" s="179">
        <v>0</v>
      </c>
      <c r="L128" s="179">
        <v>0</v>
      </c>
      <c r="M128" s="179">
        <v>0</v>
      </c>
    </row>
    <row r="129" spans="1:13" x14ac:dyDescent="0.25">
      <c r="A129" s="174"/>
      <c r="B129" s="174">
        <v>21173</v>
      </c>
      <c r="C129" s="175" t="s">
        <v>1680</v>
      </c>
      <c r="D129" s="176" t="s">
        <v>2723</v>
      </c>
      <c r="E129" s="177">
        <v>78042.58</v>
      </c>
      <c r="F129" s="178">
        <v>11860.54</v>
      </c>
      <c r="G129" s="178">
        <v>19398.5</v>
      </c>
      <c r="H129" s="179">
        <v>30702</v>
      </c>
      <c r="I129" s="179">
        <v>7804.04</v>
      </c>
      <c r="J129" s="179">
        <v>7377.5</v>
      </c>
      <c r="K129" s="179">
        <v>900</v>
      </c>
      <c r="L129" s="179">
        <v>0</v>
      </c>
      <c r="M129" s="179">
        <v>0</v>
      </c>
    </row>
    <row r="130" spans="1:13" x14ac:dyDescent="0.25">
      <c r="A130" s="174"/>
      <c r="B130" s="174">
        <v>21197</v>
      </c>
      <c r="C130" s="175" t="s">
        <v>1684</v>
      </c>
      <c r="D130" s="176" t="s">
        <v>2723</v>
      </c>
      <c r="E130" s="177">
        <v>1347980.4300000002</v>
      </c>
      <c r="F130" s="178">
        <v>109744.6</v>
      </c>
      <c r="G130" s="178">
        <v>219206.9</v>
      </c>
      <c r="H130" s="179">
        <v>441088.77</v>
      </c>
      <c r="I130" s="179">
        <v>283669.65999999997</v>
      </c>
      <c r="J130" s="179">
        <v>282666.90000000002</v>
      </c>
      <c r="K130" s="179">
        <v>11603.6</v>
      </c>
      <c r="L130" s="179">
        <v>0</v>
      </c>
      <c r="M130" s="179">
        <v>0</v>
      </c>
    </row>
    <row r="131" spans="1:13" x14ac:dyDescent="0.25">
      <c r="A131" s="174"/>
      <c r="B131" s="174">
        <v>22849</v>
      </c>
      <c r="C131" s="175" t="s">
        <v>2992</v>
      </c>
      <c r="D131" s="176"/>
      <c r="E131" s="177">
        <v>18388</v>
      </c>
      <c r="F131" s="178">
        <v>18388</v>
      </c>
      <c r="G131" s="178">
        <v>0</v>
      </c>
      <c r="H131" s="179">
        <v>0</v>
      </c>
      <c r="I131" s="179">
        <v>0</v>
      </c>
      <c r="J131" s="179">
        <v>0</v>
      </c>
      <c r="K131" s="179">
        <v>0</v>
      </c>
      <c r="L131" s="179">
        <v>0</v>
      </c>
      <c r="M131" s="179">
        <v>0</v>
      </c>
    </row>
    <row r="132" spans="1:13" x14ac:dyDescent="0.25">
      <c r="A132" s="174"/>
      <c r="B132" s="174">
        <v>21987</v>
      </c>
      <c r="C132" s="175" t="s">
        <v>2764</v>
      </c>
      <c r="D132" s="176"/>
      <c r="E132" s="177">
        <v>300311.94999999995</v>
      </c>
      <c r="F132" s="178">
        <v>135789.29999999999</v>
      </c>
      <c r="G132" s="178">
        <v>164522.65</v>
      </c>
      <c r="H132" s="179">
        <v>0</v>
      </c>
      <c r="I132" s="179">
        <v>0</v>
      </c>
      <c r="J132" s="179">
        <v>0</v>
      </c>
      <c r="K132" s="179">
        <v>0</v>
      </c>
      <c r="L132" s="179">
        <v>0</v>
      </c>
      <c r="M132" s="179">
        <v>0</v>
      </c>
    </row>
    <row r="133" spans="1:13" x14ac:dyDescent="0.25">
      <c r="A133" s="174"/>
      <c r="B133" s="174">
        <v>21988</v>
      </c>
      <c r="C133" s="175" t="s">
        <v>2750</v>
      </c>
      <c r="D133" s="174"/>
      <c r="E133" s="177">
        <v>76290.600000000006</v>
      </c>
      <c r="F133" s="178">
        <v>1970</v>
      </c>
      <c r="G133" s="178">
        <v>66243.600000000006</v>
      </c>
      <c r="H133" s="179">
        <v>8077</v>
      </c>
      <c r="I133" s="179">
        <v>0</v>
      </c>
      <c r="J133" s="179">
        <v>0</v>
      </c>
      <c r="K133" s="179">
        <v>0</v>
      </c>
      <c r="L133" s="179">
        <v>0</v>
      </c>
      <c r="M133" s="179">
        <v>0</v>
      </c>
    </row>
    <row r="134" spans="1:13" x14ac:dyDescent="0.25">
      <c r="A134" s="174"/>
      <c r="B134" s="174">
        <v>21070</v>
      </c>
      <c r="C134" s="175" t="s">
        <v>2769</v>
      </c>
      <c r="D134" s="174"/>
      <c r="E134" s="177">
        <v>16618.25</v>
      </c>
      <c r="F134" s="178">
        <v>0</v>
      </c>
      <c r="G134" s="178">
        <v>16618.25</v>
      </c>
      <c r="H134" s="179">
        <v>0</v>
      </c>
      <c r="I134" s="179">
        <v>0</v>
      </c>
      <c r="J134" s="179">
        <v>0</v>
      </c>
      <c r="K134" s="179">
        <v>0</v>
      </c>
      <c r="L134" s="179">
        <v>0</v>
      </c>
      <c r="M134" s="179">
        <v>0</v>
      </c>
    </row>
    <row r="135" spans="1:13" x14ac:dyDescent="0.25">
      <c r="A135" s="174"/>
      <c r="B135" s="174">
        <v>21188</v>
      </c>
      <c r="C135" s="175" t="s">
        <v>1741</v>
      </c>
      <c r="D135" s="174" t="s">
        <v>2724</v>
      </c>
      <c r="E135" s="177">
        <v>5576088.0899999999</v>
      </c>
      <c r="F135" s="178">
        <v>992991.16</v>
      </c>
      <c r="G135" s="178">
        <v>3840153.3</v>
      </c>
      <c r="H135" s="179">
        <v>672034.84</v>
      </c>
      <c r="I135" s="179">
        <v>10046.24</v>
      </c>
      <c r="J135" s="179">
        <v>45588.71</v>
      </c>
      <c r="K135" s="179">
        <v>15273.84</v>
      </c>
      <c r="L135" s="179">
        <v>0</v>
      </c>
      <c r="M135" s="179">
        <v>0</v>
      </c>
    </row>
    <row r="136" spans="1:13" x14ac:dyDescent="0.25">
      <c r="A136" s="174"/>
      <c r="B136" s="174">
        <v>21969</v>
      </c>
      <c r="C136" s="175" t="s">
        <v>2771</v>
      </c>
      <c r="D136" s="174"/>
      <c r="E136" s="177">
        <v>44113.64</v>
      </c>
      <c r="F136" s="178">
        <v>43952.959999999999</v>
      </c>
      <c r="G136" s="178">
        <v>160.68</v>
      </c>
      <c r="H136" s="179">
        <v>0</v>
      </c>
      <c r="I136" s="179">
        <v>0</v>
      </c>
      <c r="J136" s="179">
        <v>0</v>
      </c>
      <c r="K136" s="179">
        <v>0</v>
      </c>
      <c r="L136" s="179">
        <v>0</v>
      </c>
      <c r="M136" s="179">
        <v>0</v>
      </c>
    </row>
    <row r="137" spans="1:13" x14ac:dyDescent="0.25">
      <c r="A137" s="174"/>
      <c r="B137" s="174">
        <v>21114</v>
      </c>
      <c r="C137" s="175" t="s">
        <v>1737</v>
      </c>
      <c r="D137" s="174" t="s">
        <v>2724</v>
      </c>
      <c r="E137" s="177">
        <v>133911.20000000001</v>
      </c>
      <c r="F137" s="178">
        <v>133911.20000000001</v>
      </c>
      <c r="G137" s="178">
        <v>0</v>
      </c>
      <c r="H137" s="179">
        <v>0</v>
      </c>
      <c r="I137" s="179">
        <v>0</v>
      </c>
      <c r="J137" s="179">
        <v>0</v>
      </c>
      <c r="K137" s="179">
        <v>0</v>
      </c>
      <c r="L137" s="179">
        <v>0</v>
      </c>
      <c r="M137" s="179">
        <v>0</v>
      </c>
    </row>
    <row r="138" spans="1:13" x14ac:dyDescent="0.25">
      <c r="A138" s="174"/>
      <c r="B138" s="174">
        <v>21189</v>
      </c>
      <c r="C138" s="175" t="s">
        <v>1744</v>
      </c>
      <c r="D138" s="174"/>
      <c r="E138" s="177">
        <v>48955</v>
      </c>
      <c r="F138" s="178">
        <v>25749</v>
      </c>
      <c r="G138" s="178">
        <v>23206</v>
      </c>
      <c r="H138" s="179">
        <v>0</v>
      </c>
      <c r="I138" s="179">
        <v>0</v>
      </c>
      <c r="J138" s="179">
        <v>0</v>
      </c>
      <c r="K138" s="179">
        <v>0</v>
      </c>
      <c r="L138" s="179">
        <v>0</v>
      </c>
      <c r="M138" s="179">
        <v>0</v>
      </c>
    </row>
    <row r="139" spans="1:13" x14ac:dyDescent="0.25">
      <c r="A139" s="174"/>
      <c r="B139" s="174">
        <v>21202</v>
      </c>
      <c r="C139" s="175" t="s">
        <v>1746</v>
      </c>
      <c r="D139" s="174"/>
      <c r="E139" s="177">
        <v>129192.5</v>
      </c>
      <c r="F139" s="178">
        <v>21557.5</v>
      </c>
      <c r="G139" s="178">
        <v>60391.5</v>
      </c>
      <c r="H139" s="179">
        <v>36673.5</v>
      </c>
      <c r="I139" s="179">
        <v>10570</v>
      </c>
      <c r="J139" s="179">
        <v>0</v>
      </c>
      <c r="K139" s="179">
        <v>0</v>
      </c>
      <c r="L139" s="179">
        <v>0</v>
      </c>
      <c r="M139" s="179">
        <v>0</v>
      </c>
    </row>
    <row r="140" spans="1:13" x14ac:dyDescent="0.25">
      <c r="A140" s="174"/>
      <c r="B140" s="174">
        <v>21057</v>
      </c>
      <c r="C140" s="175" t="s">
        <v>1749</v>
      </c>
      <c r="D140" s="176" t="s">
        <v>2710</v>
      </c>
      <c r="E140" s="177">
        <v>24462.22</v>
      </c>
      <c r="F140" s="178">
        <v>0</v>
      </c>
      <c r="G140" s="178">
        <v>0</v>
      </c>
      <c r="H140" s="179">
        <v>1862.22</v>
      </c>
      <c r="I140" s="179">
        <v>22600</v>
      </c>
      <c r="J140" s="179">
        <v>0</v>
      </c>
      <c r="K140" s="179">
        <v>0</v>
      </c>
      <c r="L140" s="179">
        <v>0</v>
      </c>
      <c r="M140" s="179">
        <v>0</v>
      </c>
    </row>
    <row r="141" spans="1:13" x14ac:dyDescent="0.25">
      <c r="A141" s="174"/>
      <c r="B141" s="174">
        <v>21550</v>
      </c>
      <c r="C141" s="175" t="s">
        <v>1761</v>
      </c>
      <c r="D141" s="176"/>
      <c r="E141" s="177">
        <v>28475</v>
      </c>
      <c r="F141" s="178">
        <v>0</v>
      </c>
      <c r="G141" s="178">
        <v>0</v>
      </c>
      <c r="H141" s="179">
        <v>0</v>
      </c>
      <c r="I141" s="179">
        <v>28475</v>
      </c>
      <c r="J141" s="179">
        <v>0</v>
      </c>
      <c r="K141" s="179">
        <v>0</v>
      </c>
      <c r="L141" s="179">
        <v>0</v>
      </c>
      <c r="M141" s="179">
        <v>0</v>
      </c>
    </row>
    <row r="142" spans="1:13" x14ac:dyDescent="0.25">
      <c r="A142" s="174"/>
      <c r="B142" s="174">
        <v>22056</v>
      </c>
      <c r="C142" s="175" t="s">
        <v>2993</v>
      </c>
      <c r="D142" s="176"/>
      <c r="E142" s="177">
        <v>8840</v>
      </c>
      <c r="F142" s="178">
        <v>8840</v>
      </c>
      <c r="G142" s="178">
        <v>0</v>
      </c>
      <c r="H142" s="179">
        <v>0</v>
      </c>
      <c r="I142" s="179">
        <v>0</v>
      </c>
      <c r="J142" s="179">
        <v>0</v>
      </c>
      <c r="K142" s="179">
        <v>0</v>
      </c>
      <c r="L142" s="179">
        <v>0</v>
      </c>
      <c r="M142" s="179">
        <v>0</v>
      </c>
    </row>
    <row r="143" spans="1:13" x14ac:dyDescent="0.25">
      <c r="A143" s="174"/>
      <c r="B143" s="174">
        <v>21493</v>
      </c>
      <c r="C143" s="175" t="s">
        <v>1759</v>
      </c>
      <c r="D143" s="176" t="s">
        <v>2711</v>
      </c>
      <c r="E143" s="177">
        <v>5030</v>
      </c>
      <c r="F143" s="178">
        <v>0</v>
      </c>
      <c r="G143" s="178">
        <v>0</v>
      </c>
      <c r="H143" s="179">
        <v>0</v>
      </c>
      <c r="I143" s="179">
        <v>5030</v>
      </c>
      <c r="J143" s="179">
        <v>0</v>
      </c>
      <c r="K143" s="179">
        <v>0</v>
      </c>
      <c r="L143" s="179">
        <v>0</v>
      </c>
      <c r="M143" s="179">
        <v>0</v>
      </c>
    </row>
    <row r="144" spans="1:13" x14ac:dyDescent="0.25">
      <c r="A144" s="174"/>
      <c r="B144" s="174">
        <v>21121</v>
      </c>
      <c r="C144" s="175" t="s">
        <v>1753</v>
      </c>
      <c r="D144" s="176"/>
      <c r="E144" s="177">
        <v>29136</v>
      </c>
      <c r="F144" s="178">
        <v>0</v>
      </c>
      <c r="G144" s="178">
        <v>4455.75</v>
      </c>
      <c r="H144" s="179">
        <v>2034.75</v>
      </c>
      <c r="I144" s="179">
        <v>22645.5</v>
      </c>
      <c r="J144" s="179">
        <v>0</v>
      </c>
      <c r="K144" s="179">
        <v>0</v>
      </c>
      <c r="L144" s="179">
        <v>0</v>
      </c>
      <c r="M144" s="179">
        <v>0</v>
      </c>
    </row>
    <row r="145" spans="1:13" x14ac:dyDescent="0.25">
      <c r="A145" s="174"/>
      <c r="B145" s="174">
        <v>21575</v>
      </c>
      <c r="C145" s="175" t="s">
        <v>1771</v>
      </c>
      <c r="D145" s="176" t="s">
        <v>2725</v>
      </c>
      <c r="E145" s="177">
        <v>141148.5</v>
      </c>
      <c r="F145" s="178">
        <v>133974.65</v>
      </c>
      <c r="G145" s="178">
        <v>7173.85</v>
      </c>
      <c r="H145" s="179">
        <v>0</v>
      </c>
      <c r="I145" s="179">
        <v>0</v>
      </c>
      <c r="J145" s="179">
        <v>0</v>
      </c>
      <c r="K145" s="179">
        <v>0</v>
      </c>
      <c r="L145" s="179">
        <v>0</v>
      </c>
      <c r="M145" s="179">
        <v>0</v>
      </c>
    </row>
    <row r="146" spans="1:13" x14ac:dyDescent="0.25">
      <c r="A146" s="174"/>
      <c r="B146" s="174">
        <v>21951</v>
      </c>
      <c r="C146" s="175" t="s">
        <v>2749</v>
      </c>
      <c r="D146" s="176"/>
      <c r="E146" s="177">
        <v>11365</v>
      </c>
      <c r="F146" s="178">
        <v>11365</v>
      </c>
      <c r="G146" s="178">
        <v>0</v>
      </c>
      <c r="H146" s="179">
        <v>0</v>
      </c>
      <c r="I146" s="179">
        <v>0</v>
      </c>
      <c r="J146" s="179">
        <v>0</v>
      </c>
      <c r="K146" s="179">
        <v>0</v>
      </c>
      <c r="L146" s="179">
        <v>0</v>
      </c>
      <c r="M146" s="179">
        <v>0</v>
      </c>
    </row>
    <row r="147" spans="1:13" x14ac:dyDescent="0.25">
      <c r="A147" s="174"/>
      <c r="B147" s="174">
        <v>21922</v>
      </c>
      <c r="C147" s="175" t="s">
        <v>1883</v>
      </c>
      <c r="D147" s="176"/>
      <c r="E147" s="177">
        <v>86609.59</v>
      </c>
      <c r="F147" s="178">
        <v>76323.399999999994</v>
      </c>
      <c r="G147" s="178">
        <v>10286.19</v>
      </c>
      <c r="H147" s="179">
        <v>0</v>
      </c>
      <c r="I147" s="179">
        <v>0</v>
      </c>
      <c r="J147" s="179">
        <v>0</v>
      </c>
      <c r="K147" s="179">
        <v>0</v>
      </c>
      <c r="L147" s="179">
        <v>0</v>
      </c>
      <c r="M147" s="179">
        <v>0</v>
      </c>
    </row>
    <row r="148" spans="1:13" x14ac:dyDescent="0.25">
      <c r="A148" s="174"/>
      <c r="B148" s="174">
        <v>21277</v>
      </c>
      <c r="C148" s="175" t="s">
        <v>1780</v>
      </c>
      <c r="D148" s="176" t="s">
        <v>2710</v>
      </c>
      <c r="E148" s="177">
        <v>16550.89</v>
      </c>
      <c r="F148" s="178">
        <v>0</v>
      </c>
      <c r="G148" s="178">
        <v>1350</v>
      </c>
      <c r="H148" s="179">
        <v>15200.89</v>
      </c>
      <c r="I148" s="179">
        <v>0</v>
      </c>
      <c r="J148" s="179">
        <v>0</v>
      </c>
      <c r="K148" s="179">
        <v>0</v>
      </c>
      <c r="L148" s="179">
        <v>0</v>
      </c>
      <c r="M148" s="179">
        <v>0</v>
      </c>
    </row>
    <row r="149" spans="1:13" x14ac:dyDescent="0.25">
      <c r="A149" s="174"/>
      <c r="B149" s="174">
        <v>21531</v>
      </c>
      <c r="C149" s="175" t="s">
        <v>1784</v>
      </c>
      <c r="D149" s="174" t="s">
        <v>2710</v>
      </c>
      <c r="E149" s="177">
        <v>153342.12</v>
      </c>
      <c r="F149" s="178">
        <v>28080.560000000001</v>
      </c>
      <c r="G149" s="178">
        <v>42045.5</v>
      </c>
      <c r="H149" s="179">
        <v>72779</v>
      </c>
      <c r="I149" s="179">
        <v>10675.46</v>
      </c>
      <c r="J149" s="179">
        <v>-238.4</v>
      </c>
      <c r="K149" s="179">
        <v>0</v>
      </c>
      <c r="L149" s="179">
        <v>0</v>
      </c>
      <c r="M149" s="179">
        <v>0</v>
      </c>
    </row>
    <row r="150" spans="1:13" x14ac:dyDescent="0.25">
      <c r="A150" s="174"/>
      <c r="B150" s="174">
        <v>21529</v>
      </c>
      <c r="C150" s="175" t="s">
        <v>1783</v>
      </c>
      <c r="D150" s="174" t="s">
        <v>2710</v>
      </c>
      <c r="E150" s="177">
        <v>9165.8599999999988</v>
      </c>
      <c r="F150" s="178">
        <v>4093.22</v>
      </c>
      <c r="G150" s="178">
        <v>1454</v>
      </c>
      <c r="H150" s="179">
        <v>3618.64</v>
      </c>
      <c r="I150" s="179">
        <v>0</v>
      </c>
      <c r="J150" s="179">
        <v>0</v>
      </c>
      <c r="K150" s="179">
        <v>0</v>
      </c>
      <c r="L150" s="179">
        <v>0</v>
      </c>
      <c r="M150" s="179">
        <v>0</v>
      </c>
    </row>
    <row r="151" spans="1:13" x14ac:dyDescent="0.25">
      <c r="A151" s="174"/>
      <c r="B151" s="174">
        <v>21904</v>
      </c>
      <c r="C151" s="175" t="s">
        <v>1129</v>
      </c>
      <c r="D151" s="174" t="s">
        <v>2710</v>
      </c>
      <c r="E151" s="177">
        <v>7200</v>
      </c>
      <c r="F151" s="178">
        <v>0</v>
      </c>
      <c r="G151" s="178">
        <v>0</v>
      </c>
      <c r="H151" s="179">
        <v>0</v>
      </c>
      <c r="I151" s="179">
        <v>7200</v>
      </c>
      <c r="J151" s="179">
        <v>0</v>
      </c>
      <c r="K151" s="179">
        <v>0</v>
      </c>
      <c r="L151" s="179">
        <v>0</v>
      </c>
      <c r="M151" s="179">
        <v>0</v>
      </c>
    </row>
    <row r="152" spans="1:13" x14ac:dyDescent="0.25">
      <c r="A152" s="174"/>
      <c r="B152" s="174">
        <v>21249</v>
      </c>
      <c r="C152" s="175" t="s">
        <v>2757</v>
      </c>
      <c r="D152" s="176"/>
      <c r="E152" s="177">
        <v>45145.5</v>
      </c>
      <c r="F152" s="178">
        <v>0</v>
      </c>
      <c r="G152" s="178">
        <v>0</v>
      </c>
      <c r="H152" s="179">
        <v>0</v>
      </c>
      <c r="I152" s="179">
        <v>0</v>
      </c>
      <c r="J152" s="179">
        <v>23530.5</v>
      </c>
      <c r="K152" s="179">
        <v>21615</v>
      </c>
      <c r="L152" s="179">
        <v>0</v>
      </c>
      <c r="M152" s="179">
        <v>0</v>
      </c>
    </row>
    <row r="153" spans="1:13" x14ac:dyDescent="0.25">
      <c r="A153" s="174"/>
      <c r="B153" s="174">
        <v>21989</v>
      </c>
      <c r="C153" s="175" t="s">
        <v>2780</v>
      </c>
      <c r="D153" s="176"/>
      <c r="E153" s="177">
        <v>4475</v>
      </c>
      <c r="F153" s="178">
        <v>0</v>
      </c>
      <c r="G153" s="178">
        <v>4475</v>
      </c>
      <c r="H153" s="179">
        <v>0</v>
      </c>
      <c r="I153" s="179">
        <v>0</v>
      </c>
      <c r="J153" s="179">
        <v>0</v>
      </c>
      <c r="K153" s="179">
        <v>0</v>
      </c>
      <c r="L153" s="179">
        <v>0</v>
      </c>
      <c r="M153" s="179">
        <v>0</v>
      </c>
    </row>
    <row r="154" spans="1:13" x14ac:dyDescent="0.25">
      <c r="A154" s="174"/>
      <c r="B154" s="174">
        <v>21581</v>
      </c>
      <c r="C154" s="175" t="s">
        <v>2054</v>
      </c>
      <c r="D154" s="176"/>
      <c r="E154" s="177">
        <v>4260.6000000000004</v>
      </c>
      <c r="F154" s="178">
        <v>4260.6000000000004</v>
      </c>
      <c r="G154" s="178">
        <v>0</v>
      </c>
      <c r="H154" s="179">
        <v>0</v>
      </c>
      <c r="I154" s="179">
        <v>0</v>
      </c>
      <c r="J154" s="179">
        <v>0</v>
      </c>
      <c r="K154" s="179">
        <v>0</v>
      </c>
      <c r="L154" s="179">
        <v>0</v>
      </c>
      <c r="M154" s="179">
        <v>0</v>
      </c>
    </row>
    <row r="155" spans="1:13" x14ac:dyDescent="0.25">
      <c r="A155" s="174"/>
      <c r="B155" s="174">
        <v>21060</v>
      </c>
      <c r="C155" s="175" t="s">
        <v>1805</v>
      </c>
      <c r="D155" s="176" t="s">
        <v>2719</v>
      </c>
      <c r="E155" s="177">
        <v>37381</v>
      </c>
      <c r="F155" s="178">
        <v>0</v>
      </c>
      <c r="G155" s="178">
        <v>0</v>
      </c>
      <c r="H155" s="179">
        <v>0</v>
      </c>
      <c r="I155" s="179">
        <v>546</v>
      </c>
      <c r="J155" s="179">
        <v>0</v>
      </c>
      <c r="K155" s="179">
        <v>36835</v>
      </c>
      <c r="L155" s="179">
        <v>0</v>
      </c>
      <c r="M155" s="179">
        <v>0</v>
      </c>
    </row>
    <row r="156" spans="1:13" x14ac:dyDescent="0.25">
      <c r="A156" s="174"/>
      <c r="B156" s="174">
        <v>21483</v>
      </c>
      <c r="C156" s="175" t="s">
        <v>1801</v>
      </c>
      <c r="D156" s="176" t="s">
        <v>2719</v>
      </c>
      <c r="E156" s="177">
        <v>19764</v>
      </c>
      <c r="F156" s="178">
        <v>0</v>
      </c>
      <c r="G156" s="178">
        <v>0</v>
      </c>
      <c r="H156" s="179">
        <v>78</v>
      </c>
      <c r="I156" s="179">
        <v>726</v>
      </c>
      <c r="J156" s="179">
        <v>2960</v>
      </c>
      <c r="K156" s="179">
        <v>16000</v>
      </c>
      <c r="L156" s="179">
        <v>0</v>
      </c>
      <c r="M156" s="179">
        <v>0</v>
      </c>
    </row>
    <row r="157" spans="1:13" x14ac:dyDescent="0.25">
      <c r="A157" s="174"/>
      <c r="B157" s="174">
        <v>21556</v>
      </c>
      <c r="C157" s="175" t="s">
        <v>1802</v>
      </c>
      <c r="D157" s="176" t="s">
        <v>2719</v>
      </c>
      <c r="E157" s="177">
        <v>287335</v>
      </c>
      <c r="F157" s="178">
        <v>41954.25</v>
      </c>
      <c r="G157" s="178">
        <v>27036.5</v>
      </c>
      <c r="H157" s="179">
        <v>27015</v>
      </c>
      <c r="I157" s="179">
        <v>3447.8</v>
      </c>
      <c r="J157" s="179">
        <v>100655.45</v>
      </c>
      <c r="K157" s="179">
        <v>87226</v>
      </c>
      <c r="L157" s="179">
        <v>0</v>
      </c>
      <c r="M157" s="179">
        <v>0</v>
      </c>
    </row>
    <row r="158" spans="1:13" x14ac:dyDescent="0.25">
      <c r="A158" s="174"/>
      <c r="B158" s="174">
        <v>22008</v>
      </c>
      <c r="C158" s="175" t="s">
        <v>2758</v>
      </c>
      <c r="D158" s="176"/>
      <c r="E158" s="177">
        <v>227167.44</v>
      </c>
      <c r="F158" s="178">
        <v>175263</v>
      </c>
      <c r="G158" s="178">
        <v>51904.44</v>
      </c>
      <c r="H158" s="179">
        <v>0</v>
      </c>
      <c r="I158" s="179">
        <v>0</v>
      </c>
      <c r="J158" s="179">
        <v>0</v>
      </c>
      <c r="K158" s="179">
        <v>0</v>
      </c>
      <c r="L158" s="179">
        <v>0</v>
      </c>
      <c r="M158" s="179">
        <v>0</v>
      </c>
    </row>
    <row r="159" spans="1:13" x14ac:dyDescent="0.25">
      <c r="A159" s="174"/>
      <c r="B159" s="174">
        <v>21510</v>
      </c>
      <c r="C159" s="175" t="s">
        <v>1837</v>
      </c>
      <c r="D159" s="176" t="s">
        <v>2711</v>
      </c>
      <c r="E159" s="177">
        <v>301902.69</v>
      </c>
      <c r="F159" s="178">
        <v>1750</v>
      </c>
      <c r="G159" s="178">
        <v>14728</v>
      </c>
      <c r="H159" s="179">
        <v>11832</v>
      </c>
      <c r="I159" s="179">
        <v>0</v>
      </c>
      <c r="J159" s="179">
        <v>34541.64</v>
      </c>
      <c r="K159" s="179">
        <v>239051.05</v>
      </c>
      <c r="L159" s="179">
        <v>0</v>
      </c>
      <c r="M159" s="179">
        <v>0</v>
      </c>
    </row>
    <row r="160" spans="1:13" x14ac:dyDescent="0.25">
      <c r="A160" s="174"/>
      <c r="B160" s="174">
        <v>21648</v>
      </c>
      <c r="C160" s="175" t="s">
        <v>1833</v>
      </c>
      <c r="D160" s="182" t="s">
        <v>2710</v>
      </c>
      <c r="E160" s="177">
        <v>337431.37</v>
      </c>
      <c r="F160" s="178">
        <v>0</v>
      </c>
      <c r="G160" s="178">
        <v>80720.38</v>
      </c>
      <c r="H160" s="179">
        <v>76914.429999999993</v>
      </c>
      <c r="I160" s="179">
        <v>68308.259999999995</v>
      </c>
      <c r="J160" s="179">
        <v>54866.31</v>
      </c>
      <c r="K160" s="179">
        <v>56621.99</v>
      </c>
      <c r="L160" s="179">
        <v>0</v>
      </c>
      <c r="M160" s="179">
        <v>0</v>
      </c>
    </row>
    <row r="161" spans="1:13" x14ac:dyDescent="0.25">
      <c r="A161" s="174"/>
      <c r="B161" s="174">
        <v>21187</v>
      </c>
      <c r="C161" s="175" t="s">
        <v>2524</v>
      </c>
      <c r="D161" s="182"/>
      <c r="E161" s="177">
        <v>13875.74</v>
      </c>
      <c r="F161" s="178">
        <v>0</v>
      </c>
      <c r="G161" s="178">
        <v>13875.74</v>
      </c>
      <c r="H161" s="179">
        <v>0</v>
      </c>
      <c r="I161" s="179">
        <v>0</v>
      </c>
      <c r="J161" s="179">
        <v>0</v>
      </c>
      <c r="K161" s="179">
        <v>0</v>
      </c>
      <c r="L161" s="179">
        <v>0</v>
      </c>
      <c r="M161" s="179">
        <v>0</v>
      </c>
    </row>
    <row r="162" spans="1:13" x14ac:dyDescent="0.25">
      <c r="A162" s="174"/>
      <c r="B162" s="174">
        <v>21643</v>
      </c>
      <c r="C162" s="175" t="s">
        <v>1832</v>
      </c>
      <c r="D162" s="182" t="s">
        <v>2710</v>
      </c>
      <c r="E162" s="177">
        <v>138947.03</v>
      </c>
      <c r="F162" s="178">
        <v>1</v>
      </c>
      <c r="G162" s="178">
        <v>1682.86</v>
      </c>
      <c r="H162" s="179">
        <v>49486.879999999997</v>
      </c>
      <c r="I162" s="179">
        <v>22888.59</v>
      </c>
      <c r="J162" s="179">
        <v>54002.05</v>
      </c>
      <c r="K162" s="179">
        <v>10885.65</v>
      </c>
      <c r="L162" s="179">
        <v>0</v>
      </c>
      <c r="M162" s="179">
        <v>0</v>
      </c>
    </row>
    <row r="163" spans="1:13" x14ac:dyDescent="0.25">
      <c r="A163" s="174"/>
      <c r="B163" s="174">
        <v>21145</v>
      </c>
      <c r="C163" s="175" t="s">
        <v>1827</v>
      </c>
      <c r="D163" s="182" t="s">
        <v>2710</v>
      </c>
      <c r="E163" s="177">
        <v>77449.539999999994</v>
      </c>
      <c r="F163" s="178">
        <v>0</v>
      </c>
      <c r="G163" s="178">
        <v>964.89</v>
      </c>
      <c r="H163" s="179">
        <v>0</v>
      </c>
      <c r="I163" s="179">
        <v>22057.18</v>
      </c>
      <c r="J163" s="179">
        <v>46192.02</v>
      </c>
      <c r="K163" s="179">
        <v>8235.4500000000007</v>
      </c>
      <c r="L163" s="179">
        <v>0</v>
      </c>
      <c r="M163" s="179">
        <v>0</v>
      </c>
    </row>
    <row r="164" spans="1:13" x14ac:dyDescent="0.25">
      <c r="A164" s="174"/>
      <c r="B164" s="174">
        <v>21579</v>
      </c>
      <c r="C164" s="175" t="s">
        <v>1831</v>
      </c>
      <c r="D164" s="176" t="s">
        <v>2710</v>
      </c>
      <c r="E164" s="177">
        <v>6225.64</v>
      </c>
      <c r="F164" s="178">
        <v>0</v>
      </c>
      <c r="G164" s="178">
        <v>0</v>
      </c>
      <c r="H164" s="179">
        <v>0</v>
      </c>
      <c r="I164" s="179">
        <v>0</v>
      </c>
      <c r="J164" s="179">
        <v>0</v>
      </c>
      <c r="K164" s="179">
        <v>3112.82</v>
      </c>
      <c r="L164" s="179">
        <v>3112.82</v>
      </c>
      <c r="M164" s="179">
        <v>0</v>
      </c>
    </row>
    <row r="165" spans="1:13" x14ac:dyDescent="0.25">
      <c r="A165" s="174"/>
      <c r="B165" s="174">
        <v>21903</v>
      </c>
      <c r="C165" s="175" t="s">
        <v>1834</v>
      </c>
      <c r="D165" s="176" t="s">
        <v>2711</v>
      </c>
      <c r="E165" s="177">
        <v>13622.54</v>
      </c>
      <c r="F165" s="178">
        <v>2120</v>
      </c>
      <c r="G165" s="178">
        <v>6202.54</v>
      </c>
      <c r="H165" s="179">
        <v>5300</v>
      </c>
      <c r="I165" s="179">
        <v>0</v>
      </c>
      <c r="J165" s="179">
        <v>0</v>
      </c>
      <c r="K165" s="179">
        <v>0</v>
      </c>
      <c r="L165" s="179">
        <v>0</v>
      </c>
      <c r="M165" s="179">
        <v>0</v>
      </c>
    </row>
    <row r="166" spans="1:13" x14ac:dyDescent="0.25">
      <c r="A166" s="174"/>
      <c r="B166" s="174">
        <v>21135</v>
      </c>
      <c r="C166" s="175" t="s">
        <v>1826</v>
      </c>
      <c r="D166" s="176" t="s">
        <v>2710</v>
      </c>
      <c r="E166" s="177">
        <v>88717.35</v>
      </c>
      <c r="F166" s="178">
        <v>0</v>
      </c>
      <c r="G166" s="178">
        <v>0</v>
      </c>
      <c r="H166" s="179">
        <v>0</v>
      </c>
      <c r="I166" s="179">
        <v>2463.27</v>
      </c>
      <c r="J166" s="179">
        <v>40868.980000000003</v>
      </c>
      <c r="K166" s="179">
        <v>45385.1</v>
      </c>
      <c r="L166" s="179">
        <v>0</v>
      </c>
      <c r="M166" s="179">
        <v>0</v>
      </c>
    </row>
    <row r="167" spans="1:13" x14ac:dyDescent="0.25">
      <c r="A167" s="174"/>
      <c r="B167" s="174">
        <v>21196</v>
      </c>
      <c r="C167" s="175" t="s">
        <v>789</v>
      </c>
      <c r="D167" s="176"/>
      <c r="E167" s="177">
        <v>1964.41</v>
      </c>
      <c r="F167" s="178">
        <v>1964.41</v>
      </c>
      <c r="G167" s="178">
        <v>0</v>
      </c>
      <c r="H167" s="179">
        <v>0</v>
      </c>
      <c r="I167" s="179">
        <v>0</v>
      </c>
      <c r="J167" s="179">
        <v>0</v>
      </c>
      <c r="K167" s="179">
        <v>0</v>
      </c>
      <c r="L167" s="179">
        <v>0</v>
      </c>
      <c r="M167" s="179">
        <v>0</v>
      </c>
    </row>
    <row r="168" spans="1:13" x14ac:dyDescent="0.25">
      <c r="A168" s="174"/>
      <c r="B168" s="174">
        <v>21242</v>
      </c>
      <c r="C168" s="175" t="s">
        <v>1829</v>
      </c>
      <c r="D168" s="176" t="s">
        <v>2710</v>
      </c>
      <c r="E168" s="177">
        <v>6497.5</v>
      </c>
      <c r="F168" s="178">
        <v>0</v>
      </c>
      <c r="G168" s="178">
        <v>0</v>
      </c>
      <c r="H168" s="179">
        <v>0</v>
      </c>
      <c r="I168" s="179">
        <v>0</v>
      </c>
      <c r="J168" s="179">
        <v>0</v>
      </c>
      <c r="K168" s="179">
        <v>0</v>
      </c>
      <c r="L168" s="179">
        <v>6497.5</v>
      </c>
      <c r="M168" s="179">
        <v>0</v>
      </c>
    </row>
    <row r="169" spans="1:13" x14ac:dyDescent="0.25">
      <c r="A169" s="174"/>
      <c r="B169" s="174">
        <v>21108</v>
      </c>
      <c r="C169" s="175" t="s">
        <v>1818</v>
      </c>
      <c r="D169" s="174" t="s">
        <v>2710</v>
      </c>
      <c r="E169" s="177">
        <v>1572.54</v>
      </c>
      <c r="F169" s="178">
        <v>0</v>
      </c>
      <c r="G169" s="178">
        <v>0</v>
      </c>
      <c r="H169" s="179">
        <v>1572.54</v>
      </c>
      <c r="I169" s="179">
        <v>0</v>
      </c>
      <c r="J169" s="179">
        <v>0</v>
      </c>
      <c r="K169" s="179">
        <v>0</v>
      </c>
      <c r="L169" s="179">
        <v>0</v>
      </c>
      <c r="M169" s="179">
        <v>0</v>
      </c>
    </row>
    <row r="170" spans="1:13" x14ac:dyDescent="0.25">
      <c r="A170" s="174"/>
      <c r="B170" s="174">
        <v>22003</v>
      </c>
      <c r="C170" s="175" t="s">
        <v>2753</v>
      </c>
      <c r="D170" s="183"/>
      <c r="E170" s="181">
        <v>2907.44</v>
      </c>
      <c r="F170" s="178">
        <v>2907.44</v>
      </c>
      <c r="G170" s="178">
        <v>0</v>
      </c>
      <c r="H170" s="179">
        <v>0</v>
      </c>
      <c r="I170" s="179">
        <v>0</v>
      </c>
      <c r="J170" s="179">
        <v>0</v>
      </c>
      <c r="K170" s="179">
        <v>0</v>
      </c>
      <c r="L170" s="179">
        <v>0</v>
      </c>
      <c r="M170" s="179">
        <v>0</v>
      </c>
    </row>
    <row r="171" spans="1:13" x14ac:dyDescent="0.25">
      <c r="A171" s="174"/>
      <c r="B171" s="174">
        <v>22873</v>
      </c>
      <c r="C171" s="175" t="s">
        <v>2990</v>
      </c>
      <c r="D171" s="183"/>
      <c r="E171" s="181">
        <v>20003.5</v>
      </c>
      <c r="F171" s="178">
        <v>20003.5</v>
      </c>
      <c r="G171" s="178">
        <v>0</v>
      </c>
      <c r="H171" s="179">
        <v>0</v>
      </c>
      <c r="I171" s="179">
        <v>0</v>
      </c>
      <c r="J171" s="179">
        <v>0</v>
      </c>
      <c r="K171" s="179">
        <v>0</v>
      </c>
      <c r="L171" s="179">
        <v>0</v>
      </c>
      <c r="M171" s="179">
        <v>0</v>
      </c>
    </row>
    <row r="172" spans="1:13" x14ac:dyDescent="0.25">
      <c r="A172" s="174"/>
      <c r="B172" s="174">
        <v>21544</v>
      </c>
      <c r="C172" s="175" t="s">
        <v>943</v>
      </c>
      <c r="D172" s="183"/>
      <c r="E172" s="181">
        <v>23755</v>
      </c>
      <c r="F172" s="178">
        <v>8015</v>
      </c>
      <c r="G172" s="178">
        <v>15740</v>
      </c>
      <c r="H172" s="179">
        <v>0</v>
      </c>
      <c r="I172" s="179">
        <v>0</v>
      </c>
      <c r="J172" s="179">
        <v>0</v>
      </c>
      <c r="K172" s="179">
        <v>0</v>
      </c>
      <c r="L172" s="179">
        <v>0</v>
      </c>
      <c r="M172" s="179">
        <v>0</v>
      </c>
    </row>
    <row r="173" spans="1:13" x14ac:dyDescent="0.25">
      <c r="A173" s="174"/>
      <c r="B173" s="174">
        <v>21069</v>
      </c>
      <c r="C173" s="175" t="s">
        <v>1592</v>
      </c>
      <c r="D173" s="183" t="s">
        <v>2721</v>
      </c>
      <c r="E173" s="181">
        <v>775.13</v>
      </c>
      <c r="F173" s="178">
        <v>0</v>
      </c>
      <c r="G173" s="178">
        <v>0</v>
      </c>
      <c r="H173" s="179">
        <v>0</v>
      </c>
      <c r="I173" s="179">
        <v>0</v>
      </c>
      <c r="J173" s="179">
        <v>775.13</v>
      </c>
      <c r="K173" s="179">
        <v>0</v>
      </c>
      <c r="L173" s="179">
        <v>0</v>
      </c>
      <c r="M173" s="179">
        <v>0</v>
      </c>
    </row>
    <row r="174" spans="1:13" x14ac:dyDescent="0.25">
      <c r="A174" s="174"/>
      <c r="B174" s="174">
        <v>21124</v>
      </c>
      <c r="C174" s="175" t="s">
        <v>2583</v>
      </c>
      <c r="D174" s="183"/>
      <c r="E174" s="181">
        <v>101184.61</v>
      </c>
      <c r="F174" s="178">
        <v>101184.61</v>
      </c>
      <c r="G174" s="178">
        <v>0</v>
      </c>
      <c r="H174" s="179">
        <v>0</v>
      </c>
      <c r="I174" s="179">
        <v>0</v>
      </c>
      <c r="J174" s="179">
        <v>0</v>
      </c>
      <c r="K174" s="179">
        <v>0</v>
      </c>
      <c r="L174" s="179">
        <v>0</v>
      </c>
      <c r="M174" s="179">
        <v>0</v>
      </c>
    </row>
    <row r="175" spans="1:13" x14ac:dyDescent="0.25">
      <c r="A175" s="174"/>
      <c r="B175" s="174">
        <v>21149</v>
      </c>
      <c r="C175" s="175" t="s">
        <v>2759</v>
      </c>
      <c r="D175" s="183"/>
      <c r="E175" s="181">
        <v>95320.07</v>
      </c>
      <c r="F175" s="178">
        <v>40416.39</v>
      </c>
      <c r="G175" s="178">
        <v>54903.68</v>
      </c>
      <c r="H175" s="179">
        <v>0</v>
      </c>
      <c r="I175" s="179">
        <v>0</v>
      </c>
      <c r="J175" s="179">
        <v>0</v>
      </c>
      <c r="K175" s="179">
        <v>0</v>
      </c>
      <c r="L175" s="179">
        <v>0</v>
      </c>
      <c r="M175" s="179">
        <v>0</v>
      </c>
    </row>
    <row r="176" spans="1:13" x14ac:dyDescent="0.25">
      <c r="A176" s="174"/>
      <c r="B176" s="174">
        <v>21630</v>
      </c>
      <c r="C176" s="175" t="s">
        <v>1639</v>
      </c>
      <c r="D176" s="183" t="s">
        <v>2709</v>
      </c>
      <c r="E176" s="181">
        <v>75901.5</v>
      </c>
      <c r="F176" s="178">
        <v>42669.4</v>
      </c>
      <c r="G176" s="178">
        <v>22492.1</v>
      </c>
      <c r="H176" s="179">
        <v>0</v>
      </c>
      <c r="I176" s="179">
        <v>5956</v>
      </c>
      <c r="J176" s="179">
        <v>0</v>
      </c>
      <c r="K176" s="179">
        <v>4329</v>
      </c>
      <c r="L176" s="179">
        <v>455</v>
      </c>
      <c r="M176" s="179">
        <v>0</v>
      </c>
    </row>
    <row r="177" spans="1:13" x14ac:dyDescent="0.25">
      <c r="A177" s="174"/>
      <c r="B177" s="174">
        <v>21235</v>
      </c>
      <c r="C177" s="175" t="s">
        <v>2468</v>
      </c>
      <c r="D177" s="183"/>
      <c r="E177" s="181">
        <v>3166.95</v>
      </c>
      <c r="F177" s="178">
        <v>0</v>
      </c>
      <c r="G177" s="178">
        <v>0</v>
      </c>
      <c r="H177" s="179">
        <v>3166.95</v>
      </c>
      <c r="I177" s="179">
        <v>0</v>
      </c>
      <c r="J177" s="179">
        <v>0</v>
      </c>
      <c r="K177" s="179">
        <v>0</v>
      </c>
      <c r="L177" s="179">
        <v>0</v>
      </c>
      <c r="M177" s="179">
        <v>0</v>
      </c>
    </row>
    <row r="178" spans="1:13" x14ac:dyDescent="0.25">
      <c r="A178" s="174"/>
      <c r="B178" s="174">
        <v>21619</v>
      </c>
      <c r="C178" s="175" t="s">
        <v>1638</v>
      </c>
      <c r="D178" s="183" t="s">
        <v>2711</v>
      </c>
      <c r="E178" s="181">
        <v>514.75</v>
      </c>
      <c r="F178" s="178">
        <v>0</v>
      </c>
      <c r="G178" s="178">
        <v>0</v>
      </c>
      <c r="H178" s="179">
        <v>0</v>
      </c>
      <c r="I178" s="179">
        <v>0</v>
      </c>
      <c r="J178" s="179">
        <v>514.75</v>
      </c>
      <c r="K178" s="179">
        <v>0</v>
      </c>
      <c r="L178" s="179">
        <v>0</v>
      </c>
      <c r="M178" s="179">
        <v>0</v>
      </c>
    </row>
    <row r="179" spans="1:13" x14ac:dyDescent="0.25">
      <c r="A179" s="174"/>
      <c r="B179" s="174">
        <v>21248</v>
      </c>
      <c r="C179" s="175" t="s">
        <v>1615</v>
      </c>
      <c r="D179" s="183" t="s">
        <v>2711</v>
      </c>
      <c r="E179" s="181">
        <v>220917.48</v>
      </c>
      <c r="F179" s="178">
        <v>0</v>
      </c>
      <c r="G179" s="178">
        <v>187824.75</v>
      </c>
      <c r="H179" s="179">
        <v>0</v>
      </c>
      <c r="I179" s="179">
        <v>33092.730000000003</v>
      </c>
      <c r="J179" s="179">
        <v>0</v>
      </c>
      <c r="K179" s="179">
        <v>0</v>
      </c>
      <c r="L179" s="179">
        <v>0</v>
      </c>
      <c r="M179" s="179">
        <v>0</v>
      </c>
    </row>
    <row r="180" spans="1:13" x14ac:dyDescent="0.25">
      <c r="A180" s="174"/>
      <c r="B180" s="174">
        <v>21388</v>
      </c>
      <c r="C180" s="175" t="s">
        <v>2742</v>
      </c>
      <c r="D180" s="183"/>
      <c r="E180" s="181">
        <v>1053.8</v>
      </c>
      <c r="F180" s="178">
        <v>0</v>
      </c>
      <c r="G180" s="178">
        <v>0</v>
      </c>
      <c r="H180" s="179">
        <v>1053.8</v>
      </c>
      <c r="I180" s="179">
        <v>0</v>
      </c>
      <c r="J180" s="179">
        <v>0</v>
      </c>
      <c r="K180" s="179">
        <v>0</v>
      </c>
      <c r="L180" s="179">
        <v>0</v>
      </c>
      <c r="M180" s="179">
        <v>0</v>
      </c>
    </row>
    <row r="181" spans="1:13" x14ac:dyDescent="0.25">
      <c r="A181" s="174"/>
      <c r="B181" s="174">
        <v>21612</v>
      </c>
      <c r="C181" s="175" t="s">
        <v>1636</v>
      </c>
      <c r="D181" s="183" t="s">
        <v>2720</v>
      </c>
      <c r="E181" s="181">
        <v>64470.340000000004</v>
      </c>
      <c r="F181" s="178">
        <v>34630.800000000003</v>
      </c>
      <c r="G181" s="178">
        <v>0</v>
      </c>
      <c r="H181" s="179">
        <v>29839.54</v>
      </c>
      <c r="I181" s="179">
        <v>0</v>
      </c>
      <c r="J181" s="179">
        <v>0</v>
      </c>
      <c r="K181" s="179">
        <v>0</v>
      </c>
      <c r="L181" s="179">
        <v>0</v>
      </c>
      <c r="M181" s="179">
        <v>0</v>
      </c>
    </row>
    <row r="182" spans="1:13" x14ac:dyDescent="0.25">
      <c r="A182" s="174"/>
      <c r="B182" s="174">
        <v>21618</v>
      </c>
      <c r="C182" s="175" t="s">
        <v>1637</v>
      </c>
      <c r="D182" s="183" t="s">
        <v>2709</v>
      </c>
      <c r="E182" s="181">
        <v>135713.49</v>
      </c>
      <c r="F182" s="178">
        <v>0</v>
      </c>
      <c r="G182" s="178">
        <v>524</v>
      </c>
      <c r="H182" s="179">
        <v>135189.49</v>
      </c>
      <c r="I182" s="179">
        <v>0</v>
      </c>
      <c r="J182" s="179">
        <v>0</v>
      </c>
      <c r="K182" s="179">
        <v>0</v>
      </c>
      <c r="L182" s="179">
        <v>0</v>
      </c>
      <c r="M182" s="179">
        <v>0</v>
      </c>
    </row>
    <row r="183" spans="1:13" x14ac:dyDescent="0.25">
      <c r="A183" s="174"/>
      <c r="B183" s="174">
        <v>21132</v>
      </c>
      <c r="C183" s="175" t="s">
        <v>1598</v>
      </c>
      <c r="D183" s="183" t="s">
        <v>2721</v>
      </c>
      <c r="E183" s="181">
        <v>33007.5</v>
      </c>
      <c r="F183" s="178">
        <v>0</v>
      </c>
      <c r="G183" s="178">
        <v>0</v>
      </c>
      <c r="H183" s="179">
        <v>14994.5</v>
      </c>
      <c r="I183" s="179">
        <v>0</v>
      </c>
      <c r="J183" s="179">
        <v>0</v>
      </c>
      <c r="K183" s="179">
        <v>18013</v>
      </c>
      <c r="L183" s="179">
        <v>0</v>
      </c>
      <c r="M183" s="179">
        <v>0</v>
      </c>
    </row>
    <row r="184" spans="1:13" x14ac:dyDescent="0.25">
      <c r="A184" s="174"/>
      <c r="B184" s="174">
        <v>21214</v>
      </c>
      <c r="C184" s="175" t="s">
        <v>1611</v>
      </c>
      <c r="D184" s="183" t="s">
        <v>2721</v>
      </c>
      <c r="E184" s="181">
        <v>297724.79999999999</v>
      </c>
      <c r="F184" s="178">
        <v>77970.8</v>
      </c>
      <c r="G184" s="178">
        <v>128125.5</v>
      </c>
      <c r="H184" s="179">
        <v>91628.5</v>
      </c>
      <c r="I184" s="179">
        <v>0</v>
      </c>
      <c r="J184" s="179">
        <v>0</v>
      </c>
      <c r="K184" s="179">
        <v>0</v>
      </c>
      <c r="L184" s="179">
        <v>0</v>
      </c>
      <c r="M184" s="179">
        <v>0</v>
      </c>
    </row>
    <row r="185" spans="1:13" x14ac:dyDescent="0.25">
      <c r="A185" s="174"/>
      <c r="B185" s="174">
        <v>21498</v>
      </c>
      <c r="C185" s="175" t="s">
        <v>1630</v>
      </c>
      <c r="D185" s="183" t="s">
        <v>2727</v>
      </c>
      <c r="E185" s="181">
        <v>2403427.0700000003</v>
      </c>
      <c r="F185" s="178">
        <v>733636.78</v>
      </c>
      <c r="G185" s="178">
        <v>408868.08</v>
      </c>
      <c r="H185" s="179">
        <v>353315.98</v>
      </c>
      <c r="I185" s="179">
        <v>497572.8</v>
      </c>
      <c r="J185" s="179">
        <v>290321.98</v>
      </c>
      <c r="K185" s="179">
        <v>107880.93</v>
      </c>
      <c r="L185" s="179">
        <v>11830.52</v>
      </c>
      <c r="M185" s="179">
        <v>0</v>
      </c>
    </row>
    <row r="186" spans="1:13" x14ac:dyDescent="0.25">
      <c r="A186" s="174"/>
      <c r="B186" s="174">
        <v>21137</v>
      </c>
      <c r="C186" s="175" t="s">
        <v>1600</v>
      </c>
      <c r="D186" s="183" t="s">
        <v>2728</v>
      </c>
      <c r="E186" s="181">
        <v>990512.03000000014</v>
      </c>
      <c r="F186" s="178">
        <v>229353.01</v>
      </c>
      <c r="G186" s="178">
        <v>520596.65</v>
      </c>
      <c r="H186" s="179">
        <v>140424.04</v>
      </c>
      <c r="I186" s="179">
        <v>18795.55</v>
      </c>
      <c r="J186" s="179">
        <v>3252</v>
      </c>
      <c r="K186" s="179">
        <v>20136.349999999999</v>
      </c>
      <c r="L186" s="179">
        <v>57954.43</v>
      </c>
      <c r="M186" s="179">
        <v>0</v>
      </c>
    </row>
    <row r="187" spans="1:13" x14ac:dyDescent="0.25">
      <c r="A187" s="174"/>
      <c r="B187" s="174">
        <v>21555</v>
      </c>
      <c r="C187" s="175" t="s">
        <v>1633</v>
      </c>
      <c r="D187" s="183" t="s">
        <v>2727</v>
      </c>
      <c r="E187" s="181">
        <v>519242.03</v>
      </c>
      <c r="F187" s="178">
        <v>64533.11</v>
      </c>
      <c r="G187" s="178">
        <v>136157.48000000001</v>
      </c>
      <c r="H187" s="179">
        <v>60072.27</v>
      </c>
      <c r="I187" s="179">
        <v>43026.93</v>
      </c>
      <c r="J187" s="179">
        <v>166953.76999999999</v>
      </c>
      <c r="K187" s="179">
        <v>48498.47</v>
      </c>
      <c r="L187" s="179">
        <v>0</v>
      </c>
      <c r="M187" s="179">
        <v>0</v>
      </c>
    </row>
    <row r="188" spans="1:13" x14ac:dyDescent="0.25">
      <c r="A188" s="174"/>
      <c r="B188" s="174">
        <v>21152</v>
      </c>
      <c r="C188" s="175" t="s">
        <v>1603</v>
      </c>
      <c r="D188" s="183" t="s">
        <v>2727</v>
      </c>
      <c r="E188" s="181">
        <v>1645431.81</v>
      </c>
      <c r="F188" s="178">
        <v>17304.39</v>
      </c>
      <c r="G188" s="178">
        <v>347224.68</v>
      </c>
      <c r="H188" s="179">
        <v>425614.05</v>
      </c>
      <c r="I188" s="179">
        <v>177357.15</v>
      </c>
      <c r="J188" s="179">
        <v>238035.56</v>
      </c>
      <c r="K188" s="179">
        <v>439895.98</v>
      </c>
      <c r="L188" s="179">
        <v>0</v>
      </c>
      <c r="M188" s="179">
        <v>0</v>
      </c>
    </row>
    <row r="189" spans="1:13" x14ac:dyDescent="0.25">
      <c r="A189" s="174"/>
      <c r="B189" s="174">
        <v>21170</v>
      </c>
      <c r="C189" s="175" t="s">
        <v>1608</v>
      </c>
      <c r="D189" s="183" t="s">
        <v>2729</v>
      </c>
      <c r="E189" s="181">
        <v>150657.85</v>
      </c>
      <c r="F189" s="178">
        <v>0</v>
      </c>
      <c r="G189" s="178">
        <v>28105</v>
      </c>
      <c r="H189" s="179">
        <v>5451.25</v>
      </c>
      <c r="I189" s="179">
        <v>0</v>
      </c>
      <c r="J189" s="179">
        <v>75691.600000000006</v>
      </c>
      <c r="K189" s="179">
        <v>6900</v>
      </c>
      <c r="L189" s="179">
        <v>34510</v>
      </c>
      <c r="M189" s="179">
        <v>0</v>
      </c>
    </row>
    <row r="190" spans="1:13" x14ac:dyDescent="0.25">
      <c r="A190" s="174"/>
      <c r="B190" s="174">
        <v>21597</v>
      </c>
      <c r="C190" s="175" t="s">
        <v>1635</v>
      </c>
      <c r="D190" s="183" t="s">
        <v>2729</v>
      </c>
      <c r="E190" s="181">
        <v>9555</v>
      </c>
      <c r="F190" s="178">
        <v>0</v>
      </c>
      <c r="G190" s="178">
        <v>0</v>
      </c>
      <c r="H190" s="179">
        <v>0</v>
      </c>
      <c r="I190" s="179">
        <v>0</v>
      </c>
      <c r="J190" s="179">
        <v>0</v>
      </c>
      <c r="K190" s="179">
        <v>6585</v>
      </c>
      <c r="L190" s="179">
        <v>2970</v>
      </c>
      <c r="M190" s="179">
        <v>0</v>
      </c>
    </row>
    <row r="191" spans="1:13" x14ac:dyDescent="0.25">
      <c r="A191" s="174"/>
      <c r="B191" s="174">
        <v>21203</v>
      </c>
      <c r="C191" s="175" t="s">
        <v>1610</v>
      </c>
      <c r="D191" s="183" t="s">
        <v>2720</v>
      </c>
      <c r="E191" s="181">
        <v>565886.41999999993</v>
      </c>
      <c r="F191" s="178">
        <v>229135.56</v>
      </c>
      <c r="G191" s="178">
        <v>110724.11</v>
      </c>
      <c r="H191" s="179">
        <v>40437.599999999999</v>
      </c>
      <c r="I191" s="179">
        <v>38482.39</v>
      </c>
      <c r="J191" s="179">
        <v>43958.7</v>
      </c>
      <c r="K191" s="179">
        <v>103148.06</v>
      </c>
      <c r="L191" s="179">
        <v>0</v>
      </c>
      <c r="M191" s="179">
        <v>0</v>
      </c>
    </row>
    <row r="192" spans="1:13" x14ac:dyDescent="0.25">
      <c r="A192" s="174"/>
      <c r="B192" s="174">
        <v>21131</v>
      </c>
      <c r="C192" s="175" t="s">
        <v>1597</v>
      </c>
      <c r="D192" s="183" t="s">
        <v>2721</v>
      </c>
      <c r="E192" s="181">
        <v>307427.12</v>
      </c>
      <c r="F192" s="178">
        <v>29810.84</v>
      </c>
      <c r="G192" s="178">
        <v>54847.94</v>
      </c>
      <c r="H192" s="179">
        <v>38660.160000000003</v>
      </c>
      <c r="I192" s="179">
        <v>184108.18</v>
      </c>
      <c r="J192" s="179">
        <v>0</v>
      </c>
      <c r="K192" s="179">
        <v>0</v>
      </c>
      <c r="L192" s="179">
        <v>0</v>
      </c>
      <c r="M192" s="179">
        <v>0</v>
      </c>
    </row>
    <row r="193" spans="1:13" x14ac:dyDescent="0.25">
      <c r="A193" s="174"/>
      <c r="B193" s="174">
        <v>21245</v>
      </c>
      <c r="C193" s="175" t="s">
        <v>1613</v>
      </c>
      <c r="D193" s="183" t="s">
        <v>2720</v>
      </c>
      <c r="E193" s="181">
        <v>11948348.08</v>
      </c>
      <c r="F193" s="178">
        <v>2830313.08</v>
      </c>
      <c r="G193" s="178">
        <v>5141691.05</v>
      </c>
      <c r="H193" s="179">
        <v>2378764.2400000002</v>
      </c>
      <c r="I193" s="179">
        <v>620847.4</v>
      </c>
      <c r="J193" s="179">
        <v>449793.44</v>
      </c>
      <c r="K193" s="179">
        <v>524978.87</v>
      </c>
      <c r="L193" s="179">
        <v>1960</v>
      </c>
      <c r="M193" s="179">
        <v>0</v>
      </c>
    </row>
    <row r="194" spans="1:13" x14ac:dyDescent="0.25">
      <c r="A194" s="174"/>
      <c r="B194" s="174">
        <v>21164</v>
      </c>
      <c r="C194" s="175" t="s">
        <v>1606</v>
      </c>
      <c r="D194" s="183" t="s">
        <v>2727</v>
      </c>
      <c r="E194" s="181">
        <v>645120.02999999991</v>
      </c>
      <c r="F194" s="178">
        <v>180040.53</v>
      </c>
      <c r="G194" s="178">
        <v>162202.07999999999</v>
      </c>
      <c r="H194" s="179">
        <v>186044.46</v>
      </c>
      <c r="I194" s="179">
        <v>71994.509999999995</v>
      </c>
      <c r="J194" s="179">
        <v>3362.5</v>
      </c>
      <c r="K194" s="179">
        <v>34382.85</v>
      </c>
      <c r="L194" s="179">
        <v>7093.1</v>
      </c>
      <c r="M194" s="179">
        <v>0</v>
      </c>
    </row>
    <row r="195" spans="1:13" x14ac:dyDescent="0.25">
      <c r="A195" s="174"/>
      <c r="B195" s="174">
        <v>21471</v>
      </c>
      <c r="C195" s="175" t="s">
        <v>1626</v>
      </c>
      <c r="D195" s="183" t="s">
        <v>2726</v>
      </c>
      <c r="E195" s="181">
        <v>43173.04</v>
      </c>
      <c r="F195" s="178">
        <v>0</v>
      </c>
      <c r="G195" s="178">
        <v>0</v>
      </c>
      <c r="H195" s="179">
        <v>0</v>
      </c>
      <c r="I195" s="179">
        <v>0</v>
      </c>
      <c r="J195" s="179">
        <v>0</v>
      </c>
      <c r="K195" s="179">
        <v>43173.04</v>
      </c>
      <c r="L195" s="179">
        <v>0</v>
      </c>
      <c r="M195" s="179">
        <v>0</v>
      </c>
    </row>
    <row r="196" spans="1:13" x14ac:dyDescent="0.25">
      <c r="A196" s="174"/>
      <c r="B196" s="174">
        <v>21686</v>
      </c>
      <c r="C196" s="175" t="s">
        <v>1643</v>
      </c>
      <c r="D196" s="183" t="s">
        <v>2711</v>
      </c>
      <c r="E196" s="181">
        <v>206164.09999999998</v>
      </c>
      <c r="F196" s="178">
        <v>6012</v>
      </c>
      <c r="G196" s="178">
        <v>43261.25</v>
      </c>
      <c r="H196" s="179">
        <v>34172.75</v>
      </c>
      <c r="I196" s="179">
        <v>41073.25</v>
      </c>
      <c r="J196" s="179">
        <v>47483.86</v>
      </c>
      <c r="K196" s="179">
        <v>34160.99</v>
      </c>
      <c r="L196" s="179">
        <v>0</v>
      </c>
      <c r="M196" s="179">
        <v>0</v>
      </c>
    </row>
    <row r="197" spans="1:13" x14ac:dyDescent="0.25">
      <c r="A197" s="174"/>
      <c r="B197" s="174">
        <v>21491</v>
      </c>
      <c r="C197" s="175" t="s">
        <v>1629</v>
      </c>
      <c r="D197" s="183" t="s">
        <v>2729</v>
      </c>
      <c r="E197" s="181">
        <v>2434315.2999999998</v>
      </c>
      <c r="F197" s="178">
        <v>375732.73</v>
      </c>
      <c r="G197" s="178">
        <v>73249.33</v>
      </c>
      <c r="H197" s="179">
        <v>480948.21</v>
      </c>
      <c r="I197" s="179">
        <v>375634.4</v>
      </c>
      <c r="J197" s="179">
        <v>1017150.9</v>
      </c>
      <c r="K197" s="179">
        <v>111599.73</v>
      </c>
      <c r="L197" s="179">
        <v>0</v>
      </c>
      <c r="M197" s="179">
        <v>0</v>
      </c>
    </row>
    <row r="199" spans="1:13" x14ac:dyDescent="0.25">
      <c r="E199" s="186">
        <f>SUM(Table2[Total])</f>
        <v>94647108.610000014</v>
      </c>
    </row>
  </sheetData>
  <conditionalFormatting sqref="B2:B33 B44:B197">
    <cfRule type="expression" dxfId="0" priority="1" stopIfTrue="1">
      <formula>AND(COUNTIF($B$2:$B$33, B2)+COUNTIF($B$44:$B$170, B2)&gt;1,NOT(ISBLANK(B2)))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98EF-CA32-449C-A6B8-428F0EECD16B}">
  <dimension ref="A1:C307"/>
  <sheetViews>
    <sheetView topLeftCell="A258" workbookViewId="0">
      <selection activeCell="B2" sqref="B2:C307"/>
    </sheetView>
  </sheetViews>
  <sheetFormatPr defaultRowHeight="15.75" x14ac:dyDescent="0.25"/>
  <cols>
    <col min="2" max="3" width="15.44140625" style="187" bestFit="1" customWidth="1"/>
  </cols>
  <sheetData>
    <row r="1" spans="1:3" x14ac:dyDescent="0.25">
      <c r="A1" t="s">
        <v>2695</v>
      </c>
      <c r="B1" s="187" t="s">
        <v>2743</v>
      </c>
      <c r="C1" s="187" t="s">
        <v>2747</v>
      </c>
    </row>
    <row r="2" spans="1:3" x14ac:dyDescent="0.25">
      <c r="A2">
        <v>21041</v>
      </c>
      <c r="B2" s="187">
        <v>125373.1</v>
      </c>
      <c r="C2" s="187">
        <v>84107.62</v>
      </c>
    </row>
    <row r="3" spans="1:3" x14ac:dyDescent="0.25">
      <c r="A3">
        <v>21044</v>
      </c>
      <c r="B3" s="187">
        <v>12204</v>
      </c>
      <c r="C3" s="187">
        <v>1293.27</v>
      </c>
    </row>
    <row r="4" spans="1:3" x14ac:dyDescent="0.25">
      <c r="A4">
        <v>21047</v>
      </c>
      <c r="B4" s="187">
        <v>2750</v>
      </c>
      <c r="C4" s="187">
        <v>782.42</v>
      </c>
    </row>
    <row r="5" spans="1:3" x14ac:dyDescent="0.25">
      <c r="A5">
        <v>21048</v>
      </c>
      <c r="B5" s="187">
        <v>0</v>
      </c>
      <c r="C5" s="187">
        <v>774.46</v>
      </c>
    </row>
    <row r="6" spans="1:3" x14ac:dyDescent="0.25">
      <c r="A6">
        <v>21053</v>
      </c>
      <c r="B6" s="187">
        <v>6500</v>
      </c>
      <c r="C6" s="187">
        <v>4309.1099999999997</v>
      </c>
    </row>
    <row r="7" spans="1:3" x14ac:dyDescent="0.25">
      <c r="A7">
        <v>21056</v>
      </c>
      <c r="B7" s="187">
        <v>33205.15</v>
      </c>
      <c r="C7" s="187">
        <v>25679.260000000002</v>
      </c>
    </row>
    <row r="8" spans="1:3" x14ac:dyDescent="0.25">
      <c r="A8">
        <v>21057</v>
      </c>
      <c r="B8" s="187">
        <v>48099.55</v>
      </c>
      <c r="C8" s="187">
        <v>44805.259999999995</v>
      </c>
    </row>
    <row r="9" spans="1:3" x14ac:dyDescent="0.25">
      <c r="A9">
        <v>21060</v>
      </c>
      <c r="B9" s="187">
        <v>37381</v>
      </c>
      <c r="C9" s="187">
        <v>31694.84</v>
      </c>
    </row>
    <row r="10" spans="1:3" x14ac:dyDescent="0.25">
      <c r="A10">
        <v>21061</v>
      </c>
      <c r="B10" s="187">
        <v>568646.43000000005</v>
      </c>
      <c r="C10" s="187">
        <v>648982.12</v>
      </c>
    </row>
    <row r="11" spans="1:3" x14ac:dyDescent="0.25">
      <c r="A11">
        <v>21064</v>
      </c>
      <c r="B11" s="187">
        <v>4822163.09</v>
      </c>
      <c r="C11" s="187">
        <v>4171829.9299999997</v>
      </c>
    </row>
    <row r="12" spans="1:3" x14ac:dyDescent="0.25">
      <c r="A12">
        <v>21065</v>
      </c>
      <c r="B12" s="187">
        <v>157023.22999999998</v>
      </c>
      <c r="C12" s="187">
        <v>128331.50999999998</v>
      </c>
    </row>
    <row r="13" spans="1:3" x14ac:dyDescent="0.25">
      <c r="A13">
        <v>21067</v>
      </c>
      <c r="B13" s="187">
        <v>5359735.0999999996</v>
      </c>
      <c r="C13" s="187">
        <v>5568534.4400000004</v>
      </c>
    </row>
    <row r="14" spans="1:3" x14ac:dyDescent="0.25">
      <c r="A14">
        <v>21069</v>
      </c>
      <c r="B14" s="187">
        <v>775.13</v>
      </c>
      <c r="C14" s="187">
        <v>110.69</v>
      </c>
    </row>
    <row r="15" spans="1:3" x14ac:dyDescent="0.25">
      <c r="A15">
        <v>21070</v>
      </c>
      <c r="B15" s="187">
        <v>180933.21000000002</v>
      </c>
      <c r="C15" s="187">
        <v>128714.03000000001</v>
      </c>
    </row>
    <row r="16" spans="1:3" x14ac:dyDescent="0.25">
      <c r="A16">
        <v>21071</v>
      </c>
      <c r="B16" s="187">
        <v>502068.99</v>
      </c>
      <c r="C16" s="187">
        <v>438720.8</v>
      </c>
    </row>
    <row r="17" spans="1:3" x14ac:dyDescent="0.25">
      <c r="A17">
        <v>21072</v>
      </c>
      <c r="B17" s="187">
        <v>143426.54999999999</v>
      </c>
      <c r="C17" s="187">
        <v>106821.01</v>
      </c>
    </row>
    <row r="18" spans="1:3" x14ac:dyDescent="0.25">
      <c r="A18">
        <v>21074</v>
      </c>
      <c r="B18" s="187">
        <v>112064</v>
      </c>
      <c r="C18" s="187">
        <v>107152.08</v>
      </c>
    </row>
    <row r="19" spans="1:3" x14ac:dyDescent="0.25">
      <c r="A19">
        <v>21075</v>
      </c>
      <c r="B19" s="187">
        <v>2481896.61</v>
      </c>
      <c r="C19" s="187">
        <v>2164491.36</v>
      </c>
    </row>
    <row r="20" spans="1:3" x14ac:dyDescent="0.25">
      <c r="A20">
        <v>21077</v>
      </c>
      <c r="B20" s="187">
        <v>665309</v>
      </c>
      <c r="C20" s="187">
        <v>570382.30000000005</v>
      </c>
    </row>
    <row r="21" spans="1:3" x14ac:dyDescent="0.25">
      <c r="A21">
        <v>21078</v>
      </c>
      <c r="B21" s="187">
        <v>139128.07999999999</v>
      </c>
      <c r="C21" s="187">
        <v>97196.53</v>
      </c>
    </row>
    <row r="22" spans="1:3" x14ac:dyDescent="0.25">
      <c r="A22">
        <v>21079</v>
      </c>
      <c r="B22" s="187">
        <v>20988</v>
      </c>
      <c r="C22" s="187">
        <v>12420.76</v>
      </c>
    </row>
    <row r="23" spans="1:3" x14ac:dyDescent="0.25">
      <c r="A23">
        <v>21088</v>
      </c>
      <c r="B23" s="187">
        <v>136733.59</v>
      </c>
      <c r="C23" s="187">
        <v>117050.7</v>
      </c>
    </row>
    <row r="24" spans="1:3" x14ac:dyDescent="0.25">
      <c r="A24">
        <v>21089</v>
      </c>
      <c r="B24" s="187">
        <v>62143.1</v>
      </c>
      <c r="C24" s="187">
        <v>46128.07</v>
      </c>
    </row>
    <row r="25" spans="1:3" x14ac:dyDescent="0.25">
      <c r="A25">
        <v>21096</v>
      </c>
      <c r="B25" s="187">
        <v>139616.73000000001</v>
      </c>
      <c r="C25" s="187">
        <v>104411.71</v>
      </c>
    </row>
    <row r="26" spans="1:3" x14ac:dyDescent="0.25">
      <c r="A26">
        <v>21099</v>
      </c>
      <c r="B26" s="187">
        <v>64903</v>
      </c>
      <c r="C26" s="187">
        <v>51073.93</v>
      </c>
    </row>
    <row r="27" spans="1:3" x14ac:dyDescent="0.25">
      <c r="A27">
        <v>21103</v>
      </c>
      <c r="B27" s="187">
        <v>8240</v>
      </c>
      <c r="C27" s="187">
        <v>4129.1400000000003</v>
      </c>
    </row>
    <row r="28" spans="1:3" x14ac:dyDescent="0.25">
      <c r="A28">
        <v>21108</v>
      </c>
      <c r="B28" s="187">
        <v>292012.39999999997</v>
      </c>
      <c r="C28" s="187">
        <v>190968.11000000002</v>
      </c>
    </row>
    <row r="29" spans="1:3" x14ac:dyDescent="0.25">
      <c r="A29">
        <v>21113</v>
      </c>
      <c r="B29" s="187">
        <v>108532.75</v>
      </c>
      <c r="C29" s="187">
        <v>66124.47</v>
      </c>
    </row>
    <row r="30" spans="1:3" x14ac:dyDescent="0.25">
      <c r="A30">
        <v>21114</v>
      </c>
      <c r="B30" s="187">
        <v>3042755.34</v>
      </c>
      <c r="C30" s="187">
        <v>2558500.7400000002</v>
      </c>
    </row>
    <row r="31" spans="1:3" x14ac:dyDescent="0.25">
      <c r="A31">
        <v>21115</v>
      </c>
      <c r="B31" s="187">
        <v>1053236.9099999999</v>
      </c>
      <c r="C31" s="187">
        <v>1022109.97</v>
      </c>
    </row>
    <row r="32" spans="1:3" x14ac:dyDescent="0.25">
      <c r="A32">
        <v>21121</v>
      </c>
      <c r="B32" s="187">
        <v>76104.010000000009</v>
      </c>
      <c r="C32" s="187">
        <v>60491.9</v>
      </c>
    </row>
    <row r="33" spans="1:3" x14ac:dyDescent="0.25">
      <c r="A33">
        <v>21123</v>
      </c>
      <c r="B33" s="187">
        <v>130835</v>
      </c>
      <c r="C33" s="187">
        <v>115111.66</v>
      </c>
    </row>
    <row r="34" spans="1:3" x14ac:dyDescent="0.25">
      <c r="A34">
        <v>21124</v>
      </c>
      <c r="B34" s="187">
        <v>101184.61</v>
      </c>
      <c r="C34" s="187">
        <v>90244.15</v>
      </c>
    </row>
    <row r="35" spans="1:3" x14ac:dyDescent="0.25">
      <c r="A35">
        <v>21128</v>
      </c>
      <c r="B35" s="187">
        <v>0</v>
      </c>
      <c r="C35" s="187">
        <v>-1898.8300000000008</v>
      </c>
    </row>
    <row r="36" spans="1:3" x14ac:dyDescent="0.25">
      <c r="A36">
        <v>21129</v>
      </c>
      <c r="B36" s="187">
        <v>516738.6</v>
      </c>
      <c r="C36" s="187">
        <v>430691.70999999996</v>
      </c>
    </row>
    <row r="37" spans="1:3" x14ac:dyDescent="0.25">
      <c r="A37">
        <v>21130</v>
      </c>
      <c r="B37" s="187">
        <v>16585.189999999999</v>
      </c>
      <c r="C37" s="187">
        <v>14700.28</v>
      </c>
    </row>
    <row r="38" spans="1:3" x14ac:dyDescent="0.25">
      <c r="A38">
        <v>21131</v>
      </c>
      <c r="B38" s="187">
        <v>4961203.6899999995</v>
      </c>
      <c r="C38" s="187">
        <v>2694179.44</v>
      </c>
    </row>
    <row r="39" spans="1:3" x14ac:dyDescent="0.25">
      <c r="A39">
        <v>21132</v>
      </c>
      <c r="B39" s="187">
        <v>107043.8</v>
      </c>
      <c r="C39" s="187">
        <v>91795.36</v>
      </c>
    </row>
    <row r="40" spans="1:3" x14ac:dyDescent="0.25">
      <c r="A40">
        <v>21134</v>
      </c>
      <c r="B40" s="187">
        <v>18981</v>
      </c>
      <c r="C40" s="187">
        <v>10871.52</v>
      </c>
    </row>
    <row r="41" spans="1:3" x14ac:dyDescent="0.25">
      <c r="A41">
        <v>21135</v>
      </c>
      <c r="B41" s="187">
        <v>775765.17</v>
      </c>
      <c r="C41" s="187">
        <v>756555.52000000014</v>
      </c>
    </row>
    <row r="42" spans="1:3" x14ac:dyDescent="0.25">
      <c r="A42">
        <v>21137</v>
      </c>
      <c r="B42" s="187">
        <v>7612952</v>
      </c>
      <c r="C42" s="187">
        <v>6631760.8700000001</v>
      </c>
    </row>
    <row r="43" spans="1:3" x14ac:dyDescent="0.25">
      <c r="A43">
        <v>21143</v>
      </c>
      <c r="B43" s="187">
        <v>10751531.270000001</v>
      </c>
      <c r="C43" s="187">
        <v>10000884.34</v>
      </c>
    </row>
    <row r="44" spans="1:3" x14ac:dyDescent="0.25">
      <c r="A44">
        <v>21145</v>
      </c>
      <c r="B44" s="187">
        <v>3748513.81</v>
      </c>
      <c r="C44" s="187">
        <v>3497939.98</v>
      </c>
    </row>
    <row r="45" spans="1:3" x14ac:dyDescent="0.25">
      <c r="A45">
        <v>21149</v>
      </c>
      <c r="B45" s="187">
        <v>95320.07</v>
      </c>
      <c r="C45" s="187">
        <v>88079.05</v>
      </c>
    </row>
    <row r="46" spans="1:3" x14ac:dyDescent="0.25">
      <c r="A46">
        <v>21152</v>
      </c>
      <c r="B46" s="187">
        <v>1741729.31</v>
      </c>
      <c r="C46" s="187">
        <v>1513055.8399999999</v>
      </c>
    </row>
    <row r="47" spans="1:3" x14ac:dyDescent="0.25">
      <c r="A47">
        <v>21159</v>
      </c>
      <c r="B47" s="187">
        <v>606822.98</v>
      </c>
      <c r="C47" s="187">
        <v>584176.29</v>
      </c>
    </row>
    <row r="48" spans="1:3" x14ac:dyDescent="0.25">
      <c r="A48">
        <v>21162</v>
      </c>
      <c r="B48" s="187">
        <v>4440.18</v>
      </c>
      <c r="C48" s="187">
        <v>7822.8600000000006</v>
      </c>
    </row>
    <row r="49" spans="1:3" x14ac:dyDescent="0.25">
      <c r="A49">
        <v>21164</v>
      </c>
      <c r="B49" s="187">
        <v>1333671.9000000001</v>
      </c>
      <c r="C49" s="187">
        <v>1069473.51</v>
      </c>
    </row>
    <row r="50" spans="1:3" x14ac:dyDescent="0.25">
      <c r="A50">
        <v>21165</v>
      </c>
      <c r="B50" s="187">
        <v>825611.1</v>
      </c>
      <c r="C50" s="187">
        <v>694471.74</v>
      </c>
    </row>
    <row r="51" spans="1:3" x14ac:dyDescent="0.25">
      <c r="A51">
        <v>21170</v>
      </c>
      <c r="B51" s="187">
        <v>2430365.9500000002</v>
      </c>
      <c r="C51" s="187">
        <v>2464361.9900000002</v>
      </c>
    </row>
    <row r="52" spans="1:3" x14ac:dyDescent="0.25">
      <c r="A52">
        <v>21171</v>
      </c>
      <c r="B52" s="187">
        <v>37883.740000000005</v>
      </c>
      <c r="C52" s="187">
        <v>33776.75</v>
      </c>
    </row>
    <row r="53" spans="1:3" x14ac:dyDescent="0.25">
      <c r="A53">
        <v>21172</v>
      </c>
      <c r="B53" s="187">
        <v>3253665.15</v>
      </c>
      <c r="C53" s="187">
        <v>2867344.86</v>
      </c>
    </row>
    <row r="54" spans="1:3" x14ac:dyDescent="0.25">
      <c r="A54">
        <v>21173</v>
      </c>
      <c r="B54" s="187">
        <v>13192230.43</v>
      </c>
      <c r="C54" s="187">
        <v>10992077.99</v>
      </c>
    </row>
    <row r="55" spans="1:3" x14ac:dyDescent="0.25">
      <c r="A55">
        <v>21174</v>
      </c>
      <c r="B55" s="187">
        <v>452277.03</v>
      </c>
      <c r="C55" s="187">
        <v>376460.4</v>
      </c>
    </row>
    <row r="56" spans="1:3" x14ac:dyDescent="0.25">
      <c r="A56">
        <v>21178</v>
      </c>
      <c r="B56" s="187">
        <v>1621634.73</v>
      </c>
      <c r="C56" s="187">
        <v>1307309.26</v>
      </c>
    </row>
    <row r="57" spans="1:3" x14ac:dyDescent="0.25">
      <c r="A57">
        <v>21187</v>
      </c>
      <c r="B57" s="187">
        <v>269677.42</v>
      </c>
      <c r="C57" s="187">
        <v>249220.13999999998</v>
      </c>
    </row>
    <row r="58" spans="1:3" x14ac:dyDescent="0.25">
      <c r="A58">
        <v>21188</v>
      </c>
      <c r="B58" s="187">
        <v>8852969.7199999988</v>
      </c>
      <c r="C58" s="187">
        <v>7046167.6100000003</v>
      </c>
    </row>
    <row r="59" spans="1:3" x14ac:dyDescent="0.25">
      <c r="A59">
        <v>21189</v>
      </c>
      <c r="B59" s="187">
        <v>276545</v>
      </c>
      <c r="C59" s="187">
        <v>329088.45</v>
      </c>
    </row>
    <row r="60" spans="1:3" x14ac:dyDescent="0.25">
      <c r="A60">
        <v>21191</v>
      </c>
      <c r="B60" s="187">
        <v>14864.2</v>
      </c>
      <c r="C60" s="187">
        <v>14299.7</v>
      </c>
    </row>
    <row r="61" spans="1:3" x14ac:dyDescent="0.25">
      <c r="A61">
        <v>21196</v>
      </c>
      <c r="B61" s="187">
        <v>1249465.6299999999</v>
      </c>
      <c r="C61" s="187">
        <v>1176895.2000000002</v>
      </c>
    </row>
    <row r="62" spans="1:3" x14ac:dyDescent="0.25">
      <c r="A62">
        <v>21197</v>
      </c>
      <c r="B62" s="187">
        <v>10254518.15</v>
      </c>
      <c r="C62" s="187">
        <v>8508944.1500000004</v>
      </c>
    </row>
    <row r="63" spans="1:3" x14ac:dyDescent="0.25">
      <c r="A63">
        <v>21200</v>
      </c>
      <c r="B63" s="187">
        <v>6225</v>
      </c>
      <c r="C63" s="187">
        <v>5806.41</v>
      </c>
    </row>
    <row r="64" spans="1:3" x14ac:dyDescent="0.25">
      <c r="A64">
        <v>21202</v>
      </c>
      <c r="B64" s="187">
        <v>1550286</v>
      </c>
      <c r="C64" s="187">
        <v>1263189.5</v>
      </c>
    </row>
    <row r="65" spans="1:3" x14ac:dyDescent="0.25">
      <c r="A65">
        <v>21203</v>
      </c>
      <c r="B65" s="187">
        <v>1582687.3399999999</v>
      </c>
      <c r="C65" s="187">
        <v>1249018.2999999998</v>
      </c>
    </row>
    <row r="66" spans="1:3" x14ac:dyDescent="0.25">
      <c r="A66">
        <v>21208</v>
      </c>
      <c r="B66" s="187">
        <v>13476.7</v>
      </c>
      <c r="C66" s="187">
        <v>6292.4499999999989</v>
      </c>
    </row>
    <row r="67" spans="1:3" x14ac:dyDescent="0.25">
      <c r="A67">
        <v>21210</v>
      </c>
      <c r="B67" s="187">
        <v>3210831.08</v>
      </c>
      <c r="C67" s="187">
        <v>2376901.42</v>
      </c>
    </row>
    <row r="68" spans="1:3" x14ac:dyDescent="0.25">
      <c r="A68">
        <v>21213</v>
      </c>
      <c r="B68" s="187">
        <v>0</v>
      </c>
      <c r="C68" s="187">
        <v>29335.11</v>
      </c>
    </row>
    <row r="69" spans="1:3" x14ac:dyDescent="0.25">
      <c r="A69">
        <v>21214</v>
      </c>
      <c r="B69" s="187">
        <v>1614051.34</v>
      </c>
      <c r="C69" s="187">
        <v>1321687.53</v>
      </c>
    </row>
    <row r="70" spans="1:3" x14ac:dyDescent="0.25">
      <c r="A70">
        <v>21220</v>
      </c>
      <c r="B70" s="187">
        <v>19665.5</v>
      </c>
      <c r="C70" s="187">
        <v>9634.57</v>
      </c>
    </row>
    <row r="71" spans="1:3" x14ac:dyDescent="0.25">
      <c r="A71">
        <v>21221</v>
      </c>
      <c r="B71" s="187">
        <v>607812.61</v>
      </c>
      <c r="C71" s="187">
        <v>585921.61</v>
      </c>
    </row>
    <row r="72" spans="1:3" x14ac:dyDescent="0.25">
      <c r="A72">
        <v>21235</v>
      </c>
      <c r="B72" s="187">
        <v>181193.56</v>
      </c>
      <c r="C72" s="187">
        <v>119300.68000000001</v>
      </c>
    </row>
    <row r="73" spans="1:3" x14ac:dyDescent="0.25">
      <c r="A73">
        <v>21242</v>
      </c>
      <c r="B73" s="187">
        <v>230835.16</v>
      </c>
      <c r="C73" s="187">
        <v>211644.11</v>
      </c>
    </row>
    <row r="74" spans="1:3" x14ac:dyDescent="0.25">
      <c r="A74">
        <v>21244</v>
      </c>
      <c r="B74" s="187">
        <v>584496.56000000006</v>
      </c>
      <c r="C74" s="187">
        <v>447313.8</v>
      </c>
    </row>
    <row r="75" spans="1:3" x14ac:dyDescent="0.25">
      <c r="A75">
        <v>21245</v>
      </c>
      <c r="B75" s="187">
        <v>15725285.559999999</v>
      </c>
      <c r="C75" s="187">
        <v>12613796.16</v>
      </c>
    </row>
    <row r="76" spans="1:3" x14ac:dyDescent="0.25">
      <c r="A76">
        <v>21247</v>
      </c>
      <c r="B76" s="187">
        <v>2326600.8600000003</v>
      </c>
      <c r="C76" s="187">
        <v>2214162.85</v>
      </c>
    </row>
    <row r="77" spans="1:3" x14ac:dyDescent="0.25">
      <c r="A77">
        <v>21248</v>
      </c>
      <c r="B77" s="187">
        <v>220917.48</v>
      </c>
      <c r="C77" s="187">
        <v>169680.99</v>
      </c>
    </row>
    <row r="78" spans="1:3" x14ac:dyDescent="0.25">
      <c r="A78">
        <v>21249</v>
      </c>
      <c r="B78" s="187">
        <v>150485</v>
      </c>
      <c r="C78" s="187">
        <v>131070.99</v>
      </c>
    </row>
    <row r="79" spans="1:3" x14ac:dyDescent="0.25">
      <c r="A79">
        <v>21250</v>
      </c>
      <c r="B79" s="187">
        <v>175988</v>
      </c>
      <c r="C79" s="187">
        <v>151343.1</v>
      </c>
    </row>
    <row r="80" spans="1:3" x14ac:dyDescent="0.25">
      <c r="A80">
        <v>21255</v>
      </c>
      <c r="B80" s="187">
        <v>9958</v>
      </c>
      <c r="C80" s="187">
        <v>10881.849999999999</v>
      </c>
    </row>
    <row r="81" spans="1:3" x14ac:dyDescent="0.25">
      <c r="A81">
        <v>21258</v>
      </c>
      <c r="B81" s="187">
        <v>0</v>
      </c>
      <c r="C81" s="187">
        <v>2070.09</v>
      </c>
    </row>
    <row r="82" spans="1:3" x14ac:dyDescent="0.25">
      <c r="A82">
        <v>21261</v>
      </c>
      <c r="B82" s="187">
        <v>30576.38</v>
      </c>
      <c r="C82" s="187">
        <v>17617.810000000001</v>
      </c>
    </row>
    <row r="83" spans="1:3" x14ac:dyDescent="0.25">
      <c r="A83">
        <v>21262</v>
      </c>
      <c r="B83" s="187">
        <v>210295.02</v>
      </c>
      <c r="C83" s="187">
        <v>101510.11</v>
      </c>
    </row>
    <row r="84" spans="1:3" x14ac:dyDescent="0.25">
      <c r="A84">
        <v>21265</v>
      </c>
      <c r="B84" s="187">
        <v>23866.68</v>
      </c>
      <c r="C84" s="187">
        <v>47202.289999999994</v>
      </c>
    </row>
    <row r="85" spans="1:3" x14ac:dyDescent="0.25">
      <c r="A85">
        <v>21269</v>
      </c>
      <c r="B85" s="187">
        <v>274166</v>
      </c>
      <c r="C85" s="187">
        <v>238142.81</v>
      </c>
    </row>
    <row r="86" spans="1:3" x14ac:dyDescent="0.25">
      <c r="A86">
        <v>21271</v>
      </c>
      <c r="B86" s="187">
        <v>35250</v>
      </c>
      <c r="C86" s="187">
        <v>22051.469999999998</v>
      </c>
    </row>
    <row r="87" spans="1:3" x14ac:dyDescent="0.25">
      <c r="A87">
        <v>21273</v>
      </c>
      <c r="B87" s="187">
        <v>254930</v>
      </c>
      <c r="C87" s="187">
        <v>191143.94999999998</v>
      </c>
    </row>
    <row r="88" spans="1:3" x14ac:dyDescent="0.25">
      <c r="A88">
        <v>21276</v>
      </c>
      <c r="B88" s="187">
        <v>364659.19</v>
      </c>
      <c r="C88" s="187">
        <v>332660.58</v>
      </c>
    </row>
    <row r="89" spans="1:3" x14ac:dyDescent="0.25">
      <c r="A89">
        <v>21277</v>
      </c>
      <c r="B89" s="187">
        <v>460420.05</v>
      </c>
      <c r="C89" s="187">
        <v>414578.26</v>
      </c>
    </row>
    <row r="90" spans="1:3" x14ac:dyDescent="0.25">
      <c r="A90">
        <v>21279</v>
      </c>
      <c r="B90" s="187">
        <v>0</v>
      </c>
      <c r="C90" s="187">
        <v>2257.7399999999998</v>
      </c>
    </row>
    <row r="91" spans="1:3" x14ac:dyDescent="0.25">
      <c r="A91">
        <v>21280</v>
      </c>
      <c r="B91" s="187">
        <v>2113450.5499999998</v>
      </c>
      <c r="C91" s="187">
        <v>1805284.99</v>
      </c>
    </row>
    <row r="92" spans="1:3" x14ac:dyDescent="0.25">
      <c r="A92">
        <v>21281</v>
      </c>
      <c r="B92" s="187">
        <v>2437.5</v>
      </c>
      <c r="C92" s="187">
        <v>3519.86</v>
      </c>
    </row>
    <row r="93" spans="1:3" x14ac:dyDescent="0.25">
      <c r="A93">
        <v>21282</v>
      </c>
      <c r="B93" s="187">
        <v>29608.45</v>
      </c>
      <c r="C93" s="187">
        <v>7577.04</v>
      </c>
    </row>
    <row r="94" spans="1:3" x14ac:dyDescent="0.25">
      <c r="A94">
        <v>21283</v>
      </c>
      <c r="B94" s="187">
        <v>6838.89</v>
      </c>
      <c r="C94" s="187">
        <v>3432.53</v>
      </c>
    </row>
    <row r="95" spans="1:3" x14ac:dyDescent="0.25">
      <c r="A95">
        <v>21286</v>
      </c>
      <c r="B95" s="187">
        <v>1768855.2999999998</v>
      </c>
      <c r="C95" s="187">
        <v>2095448.64</v>
      </c>
    </row>
    <row r="96" spans="1:3" x14ac:dyDescent="0.25">
      <c r="A96">
        <v>21287</v>
      </c>
      <c r="B96" s="187">
        <v>931677.64999999991</v>
      </c>
      <c r="C96" s="187">
        <v>816553.35000000009</v>
      </c>
    </row>
    <row r="97" spans="1:3" x14ac:dyDescent="0.25">
      <c r="A97">
        <v>21288</v>
      </c>
      <c r="B97" s="187">
        <v>77676.800000000003</v>
      </c>
      <c r="C97" s="187">
        <v>79399.489999999991</v>
      </c>
    </row>
    <row r="98" spans="1:3" x14ac:dyDescent="0.25">
      <c r="A98">
        <v>21289</v>
      </c>
      <c r="B98" s="187">
        <v>191206.87</v>
      </c>
      <c r="C98" s="187">
        <v>159419.26</v>
      </c>
    </row>
    <row r="99" spans="1:3" x14ac:dyDescent="0.25">
      <c r="A99">
        <v>21290</v>
      </c>
      <c r="B99" s="187">
        <v>700244.64</v>
      </c>
      <c r="C99" s="187">
        <v>543089.91</v>
      </c>
    </row>
    <row r="100" spans="1:3" x14ac:dyDescent="0.25">
      <c r="A100">
        <v>21300</v>
      </c>
      <c r="B100" s="187">
        <v>1139669.79</v>
      </c>
      <c r="C100" s="187">
        <v>1060602.4000000001</v>
      </c>
    </row>
    <row r="101" spans="1:3" x14ac:dyDescent="0.25">
      <c r="A101">
        <v>21301</v>
      </c>
      <c r="B101" s="187">
        <v>138474.53</v>
      </c>
      <c r="C101" s="187">
        <v>164993.97</v>
      </c>
    </row>
    <row r="102" spans="1:3" x14ac:dyDescent="0.25">
      <c r="A102">
        <v>21302</v>
      </c>
      <c r="B102" s="187">
        <v>4751484.1000000006</v>
      </c>
      <c r="C102" s="187">
        <v>4534612.83</v>
      </c>
    </row>
    <row r="103" spans="1:3" x14ac:dyDescent="0.25">
      <c r="A103">
        <v>21303</v>
      </c>
      <c r="B103" s="187">
        <v>560</v>
      </c>
      <c r="C103" s="187">
        <v>243.26999999999998</v>
      </c>
    </row>
    <row r="104" spans="1:3" x14ac:dyDescent="0.25">
      <c r="A104">
        <v>21304</v>
      </c>
      <c r="B104" s="187">
        <v>15999594.41</v>
      </c>
      <c r="C104" s="187">
        <v>13886369.109999999</v>
      </c>
    </row>
    <row r="105" spans="1:3" x14ac:dyDescent="0.25">
      <c r="A105">
        <v>21306</v>
      </c>
      <c r="B105" s="187">
        <v>12540</v>
      </c>
      <c r="C105" s="187">
        <v>17156.8</v>
      </c>
    </row>
    <row r="106" spans="1:3" x14ac:dyDescent="0.25">
      <c r="A106">
        <v>21307</v>
      </c>
      <c r="B106" s="187">
        <v>930089.63</v>
      </c>
      <c r="C106" s="187">
        <v>691583.58</v>
      </c>
    </row>
    <row r="107" spans="1:3" x14ac:dyDescent="0.25">
      <c r="A107">
        <v>21309</v>
      </c>
      <c r="B107" s="187">
        <v>337069.47</v>
      </c>
      <c r="C107" s="187">
        <v>256091.34</v>
      </c>
    </row>
    <row r="108" spans="1:3" x14ac:dyDescent="0.25">
      <c r="A108">
        <v>21310</v>
      </c>
      <c r="B108" s="187">
        <v>60179588.839999996</v>
      </c>
      <c r="C108" s="187">
        <v>58374112.710000001</v>
      </c>
    </row>
    <row r="109" spans="1:3" x14ac:dyDescent="0.25">
      <c r="A109">
        <v>21311</v>
      </c>
      <c r="B109" s="187">
        <v>2690273.77</v>
      </c>
      <c r="C109" s="187">
        <v>2089351.01</v>
      </c>
    </row>
    <row r="110" spans="1:3" x14ac:dyDescent="0.25">
      <c r="A110">
        <v>21313</v>
      </c>
      <c r="B110" s="187">
        <v>3537969.79</v>
      </c>
      <c r="C110" s="187">
        <v>3125220.15</v>
      </c>
    </row>
    <row r="111" spans="1:3" x14ac:dyDescent="0.25">
      <c r="A111">
        <v>21315</v>
      </c>
      <c r="B111" s="187">
        <v>0</v>
      </c>
      <c r="C111" s="187">
        <v>47818.36</v>
      </c>
    </row>
    <row r="112" spans="1:3" x14ac:dyDescent="0.25">
      <c r="A112">
        <v>21332</v>
      </c>
      <c r="B112" s="187">
        <v>65146</v>
      </c>
      <c r="C112" s="187">
        <v>51229.87</v>
      </c>
    </row>
    <row r="113" spans="1:3" x14ac:dyDescent="0.25">
      <c r="A113">
        <v>21359</v>
      </c>
      <c r="B113" s="187">
        <v>163559.57999999999</v>
      </c>
      <c r="C113" s="187">
        <v>166297.96</v>
      </c>
    </row>
    <row r="114" spans="1:3" x14ac:dyDescent="0.25">
      <c r="A114">
        <v>21360</v>
      </c>
      <c r="B114" s="187">
        <v>16954</v>
      </c>
      <c r="C114" s="187">
        <v>12241.68</v>
      </c>
    </row>
    <row r="115" spans="1:3" x14ac:dyDescent="0.25">
      <c r="A115">
        <v>21364</v>
      </c>
      <c r="B115" s="187">
        <v>72859</v>
      </c>
      <c r="C115" s="187">
        <v>63969.31</v>
      </c>
    </row>
    <row r="116" spans="1:3" x14ac:dyDescent="0.25">
      <c r="A116">
        <v>21375</v>
      </c>
      <c r="B116" s="187">
        <v>327134.49</v>
      </c>
      <c r="C116" s="187">
        <v>246651</v>
      </c>
    </row>
    <row r="117" spans="1:3" x14ac:dyDescent="0.25">
      <c r="A117">
        <v>21381</v>
      </c>
      <c r="B117" s="187">
        <v>215058.7</v>
      </c>
      <c r="C117" s="187">
        <v>172333.21</v>
      </c>
    </row>
    <row r="118" spans="1:3" x14ac:dyDescent="0.25">
      <c r="A118">
        <v>21387</v>
      </c>
      <c r="B118" s="187">
        <v>8400</v>
      </c>
      <c r="C118" s="187">
        <v>6564.52</v>
      </c>
    </row>
    <row r="119" spans="1:3" x14ac:dyDescent="0.25">
      <c r="A119">
        <v>21388</v>
      </c>
      <c r="B119" s="187">
        <v>78301.62999999999</v>
      </c>
      <c r="C119" s="187">
        <v>58600.22</v>
      </c>
    </row>
    <row r="120" spans="1:3" x14ac:dyDescent="0.25">
      <c r="A120">
        <v>21391</v>
      </c>
      <c r="B120" s="187">
        <v>22889.29</v>
      </c>
      <c r="C120" s="187">
        <v>13262.34</v>
      </c>
    </row>
    <row r="121" spans="1:3" x14ac:dyDescent="0.25">
      <c r="A121">
        <v>21395</v>
      </c>
      <c r="B121" s="187">
        <v>121030</v>
      </c>
      <c r="C121" s="187">
        <v>94039.27</v>
      </c>
    </row>
    <row r="122" spans="1:3" x14ac:dyDescent="0.25">
      <c r="A122">
        <v>21398</v>
      </c>
      <c r="B122" s="187">
        <v>1858637.4300000002</v>
      </c>
      <c r="C122" s="187">
        <v>1520921.76</v>
      </c>
    </row>
    <row r="123" spans="1:3" x14ac:dyDescent="0.25">
      <c r="A123">
        <v>21402</v>
      </c>
      <c r="B123" s="187">
        <v>1203866.1200000001</v>
      </c>
      <c r="C123" s="187">
        <v>971926.02</v>
      </c>
    </row>
    <row r="124" spans="1:3" x14ac:dyDescent="0.25">
      <c r="A124">
        <v>21407</v>
      </c>
      <c r="B124" s="187">
        <v>1524157.8599999999</v>
      </c>
      <c r="C124" s="187">
        <v>1498782.81</v>
      </c>
    </row>
    <row r="125" spans="1:3" x14ac:dyDescent="0.25">
      <c r="A125">
        <v>21412</v>
      </c>
      <c r="B125" s="187">
        <v>28840.560000000001</v>
      </c>
      <c r="C125" s="187">
        <v>23560.93</v>
      </c>
    </row>
    <row r="126" spans="1:3" x14ac:dyDescent="0.25">
      <c r="A126">
        <v>21415</v>
      </c>
      <c r="B126" s="187">
        <v>308463</v>
      </c>
      <c r="C126" s="187">
        <v>318316.45</v>
      </c>
    </row>
    <row r="127" spans="1:3" x14ac:dyDescent="0.25">
      <c r="A127">
        <v>21419</v>
      </c>
      <c r="B127" s="187">
        <v>0</v>
      </c>
      <c r="C127" s="187">
        <v>0</v>
      </c>
    </row>
    <row r="128" spans="1:3" x14ac:dyDescent="0.25">
      <c r="A128">
        <v>21424</v>
      </c>
      <c r="B128" s="187">
        <v>42916.03</v>
      </c>
      <c r="C128" s="187">
        <v>40311.43</v>
      </c>
    </row>
    <row r="129" spans="1:3" x14ac:dyDescent="0.25">
      <c r="A129">
        <v>21431</v>
      </c>
      <c r="B129" s="187">
        <v>44934.720000000001</v>
      </c>
      <c r="C129" s="187">
        <v>33346.17</v>
      </c>
    </row>
    <row r="130" spans="1:3" x14ac:dyDescent="0.25">
      <c r="A130">
        <v>21432</v>
      </c>
      <c r="B130" s="187">
        <v>199561.94</v>
      </c>
      <c r="C130" s="187">
        <v>163410.87</v>
      </c>
    </row>
    <row r="131" spans="1:3" x14ac:dyDescent="0.25">
      <c r="A131">
        <v>21433</v>
      </c>
      <c r="B131" s="187">
        <v>1199115.3</v>
      </c>
      <c r="C131" s="187">
        <v>922134.14</v>
      </c>
    </row>
    <row r="132" spans="1:3" x14ac:dyDescent="0.25">
      <c r="A132">
        <v>21440</v>
      </c>
      <c r="B132" s="187">
        <v>23720</v>
      </c>
      <c r="C132" s="187">
        <v>20173.27</v>
      </c>
    </row>
    <row r="133" spans="1:3" x14ac:dyDescent="0.25">
      <c r="A133">
        <v>21444</v>
      </c>
      <c r="B133" s="187">
        <v>47075</v>
      </c>
      <c r="C133" s="187">
        <v>29571.449999999997</v>
      </c>
    </row>
    <row r="134" spans="1:3" x14ac:dyDescent="0.25">
      <c r="A134">
        <v>21450</v>
      </c>
      <c r="B134" s="187">
        <v>26082</v>
      </c>
      <c r="C134" s="187">
        <v>37738.04</v>
      </c>
    </row>
    <row r="135" spans="1:3" x14ac:dyDescent="0.25">
      <c r="A135">
        <v>21453</v>
      </c>
      <c r="B135" s="187">
        <v>391732.75999999995</v>
      </c>
      <c r="C135" s="187">
        <v>282672.96000000002</v>
      </c>
    </row>
    <row r="136" spans="1:3" x14ac:dyDescent="0.25">
      <c r="A136">
        <v>21454</v>
      </c>
      <c r="B136" s="187">
        <v>105093.45999999999</v>
      </c>
      <c r="C136" s="187">
        <v>66846.95</v>
      </c>
    </row>
    <row r="137" spans="1:3" x14ac:dyDescent="0.25">
      <c r="A137">
        <v>21458</v>
      </c>
      <c r="B137" s="187">
        <v>1445362.65</v>
      </c>
      <c r="C137" s="187">
        <v>1163143.42</v>
      </c>
    </row>
    <row r="138" spans="1:3" x14ac:dyDescent="0.25">
      <c r="A138">
        <v>21460</v>
      </c>
      <c r="B138" s="187">
        <v>124536.5</v>
      </c>
      <c r="C138" s="187">
        <v>114589.29</v>
      </c>
    </row>
    <row r="139" spans="1:3" x14ac:dyDescent="0.25">
      <c r="A139">
        <v>21462</v>
      </c>
      <c r="B139" s="187">
        <v>7098.1399999999994</v>
      </c>
      <c r="C139" s="187">
        <v>4036.4300000000003</v>
      </c>
    </row>
    <row r="140" spans="1:3" x14ac:dyDescent="0.25">
      <c r="A140">
        <v>21463</v>
      </c>
      <c r="B140" s="187">
        <v>131352.58000000002</v>
      </c>
      <c r="C140" s="187">
        <v>106553.62999999999</v>
      </c>
    </row>
    <row r="141" spans="1:3" x14ac:dyDescent="0.25">
      <c r="A141">
        <v>21465</v>
      </c>
      <c r="B141" s="187">
        <v>2912357.35</v>
      </c>
      <c r="C141" s="187">
        <v>2891407.4099999997</v>
      </c>
    </row>
    <row r="142" spans="1:3" x14ac:dyDescent="0.25">
      <c r="A142">
        <v>21471</v>
      </c>
      <c r="B142" s="187">
        <v>220711.97</v>
      </c>
      <c r="C142" s="187">
        <v>211934.13</v>
      </c>
    </row>
    <row r="143" spans="1:3" x14ac:dyDescent="0.25">
      <c r="A143">
        <v>21473</v>
      </c>
      <c r="B143" s="187">
        <v>0</v>
      </c>
      <c r="C143" s="187">
        <v>35036.089999999997</v>
      </c>
    </row>
    <row r="144" spans="1:3" x14ac:dyDescent="0.25">
      <c r="A144">
        <v>21483</v>
      </c>
      <c r="B144" s="187">
        <v>19764</v>
      </c>
      <c r="C144" s="187">
        <v>29187.58</v>
      </c>
    </row>
    <row r="145" spans="1:3" x14ac:dyDescent="0.25">
      <c r="A145">
        <v>21484</v>
      </c>
      <c r="B145" s="187">
        <v>2798213</v>
      </c>
      <c r="C145" s="187">
        <v>1462570.6500000001</v>
      </c>
    </row>
    <row r="146" spans="1:3" x14ac:dyDescent="0.25">
      <c r="A146">
        <v>21486</v>
      </c>
      <c r="B146" s="187">
        <v>372782.53</v>
      </c>
      <c r="C146" s="187">
        <v>425646.1</v>
      </c>
    </row>
    <row r="147" spans="1:3" x14ac:dyDescent="0.25">
      <c r="A147">
        <v>21488</v>
      </c>
      <c r="B147" s="187">
        <v>1888923.81</v>
      </c>
      <c r="C147" s="187">
        <v>1596741.49</v>
      </c>
    </row>
    <row r="148" spans="1:3" x14ac:dyDescent="0.25">
      <c r="A148">
        <v>21490</v>
      </c>
      <c r="B148" s="187">
        <v>0</v>
      </c>
      <c r="C148" s="187">
        <v>1076.22</v>
      </c>
    </row>
    <row r="149" spans="1:3" x14ac:dyDescent="0.25">
      <c r="A149">
        <v>21491</v>
      </c>
      <c r="B149" s="187">
        <v>10078084.34</v>
      </c>
      <c r="C149" s="187">
        <v>10388113.43</v>
      </c>
    </row>
    <row r="150" spans="1:3" x14ac:dyDescent="0.25">
      <c r="A150">
        <v>21493</v>
      </c>
      <c r="B150" s="187">
        <v>5030</v>
      </c>
      <c r="C150" s="187">
        <v>6391.11</v>
      </c>
    </row>
    <row r="151" spans="1:3" x14ac:dyDescent="0.25">
      <c r="A151">
        <v>21494</v>
      </c>
      <c r="B151" s="187">
        <v>2807096.3</v>
      </c>
      <c r="C151" s="187">
        <v>2474810.62</v>
      </c>
    </row>
    <row r="152" spans="1:3" x14ac:dyDescent="0.25">
      <c r="A152">
        <v>21496</v>
      </c>
      <c r="B152" s="187">
        <v>30785</v>
      </c>
      <c r="C152" s="187">
        <v>42289.86</v>
      </c>
    </row>
    <row r="153" spans="1:3" x14ac:dyDescent="0.25">
      <c r="A153">
        <v>21498</v>
      </c>
      <c r="B153" s="187">
        <v>13737871.65</v>
      </c>
      <c r="C153" s="187">
        <v>11261495.130000001</v>
      </c>
    </row>
    <row r="154" spans="1:3" x14ac:dyDescent="0.25">
      <c r="A154">
        <v>21500</v>
      </c>
      <c r="B154" s="187">
        <v>431754.76</v>
      </c>
      <c r="C154" s="187">
        <v>538838.42999999993</v>
      </c>
    </row>
    <row r="155" spans="1:3" x14ac:dyDescent="0.25">
      <c r="A155">
        <v>21501</v>
      </c>
      <c r="B155" s="187">
        <v>70590.600000000006</v>
      </c>
      <c r="C155" s="187">
        <v>37746.43</v>
      </c>
    </row>
    <row r="156" spans="1:3" x14ac:dyDescent="0.25">
      <c r="A156">
        <v>21502</v>
      </c>
      <c r="B156" s="187">
        <v>13334.1</v>
      </c>
      <c r="C156" s="187">
        <v>13805.78</v>
      </c>
    </row>
    <row r="157" spans="1:3" x14ac:dyDescent="0.25">
      <c r="A157">
        <v>21503</v>
      </c>
      <c r="B157" s="187">
        <v>1061605</v>
      </c>
      <c r="C157" s="187">
        <v>955831.59</v>
      </c>
    </row>
    <row r="158" spans="1:3" x14ac:dyDescent="0.25">
      <c r="A158">
        <v>21506</v>
      </c>
      <c r="B158" s="187">
        <v>8190</v>
      </c>
      <c r="C158" s="187">
        <v>6994.78</v>
      </c>
    </row>
    <row r="159" spans="1:3" x14ac:dyDescent="0.25">
      <c r="A159">
        <v>21507</v>
      </c>
      <c r="B159" s="187">
        <v>21107.85</v>
      </c>
      <c r="C159" s="187">
        <v>22300.66</v>
      </c>
    </row>
    <row r="160" spans="1:3" x14ac:dyDescent="0.25">
      <c r="A160">
        <v>21508</v>
      </c>
      <c r="B160" s="187">
        <v>18764.48</v>
      </c>
      <c r="C160" s="187">
        <v>9328.27</v>
      </c>
    </row>
    <row r="161" spans="1:3" x14ac:dyDescent="0.25">
      <c r="A161">
        <v>21509</v>
      </c>
      <c r="B161" s="187">
        <v>169757.96</v>
      </c>
      <c r="C161" s="187">
        <v>144413.11000000002</v>
      </c>
    </row>
    <row r="162" spans="1:3" x14ac:dyDescent="0.25">
      <c r="A162">
        <v>21510</v>
      </c>
      <c r="B162" s="187">
        <v>505900.26</v>
      </c>
      <c r="C162" s="187">
        <v>405659.41</v>
      </c>
    </row>
    <row r="163" spans="1:3" x14ac:dyDescent="0.25">
      <c r="A163">
        <v>21513</v>
      </c>
      <c r="B163" s="187">
        <v>615365.66</v>
      </c>
      <c r="C163" s="187">
        <v>595218.44000000006</v>
      </c>
    </row>
    <row r="164" spans="1:3" x14ac:dyDescent="0.25">
      <c r="A164">
        <v>21514</v>
      </c>
      <c r="B164" s="187">
        <v>1272433.7699999998</v>
      </c>
      <c r="C164" s="187">
        <v>1198260.1599999999</v>
      </c>
    </row>
    <row r="165" spans="1:3" x14ac:dyDescent="0.25">
      <c r="A165">
        <v>21518</v>
      </c>
      <c r="B165" s="187">
        <v>85466.17</v>
      </c>
      <c r="C165" s="187">
        <v>120053.56999999999</v>
      </c>
    </row>
    <row r="166" spans="1:3" x14ac:dyDescent="0.25">
      <c r="A166">
        <v>21526</v>
      </c>
      <c r="B166" s="187">
        <v>1774529.74</v>
      </c>
      <c r="C166" s="187">
        <v>1481814.8599999999</v>
      </c>
    </row>
    <row r="167" spans="1:3" x14ac:dyDescent="0.25">
      <c r="A167">
        <v>21527</v>
      </c>
      <c r="B167" s="187">
        <v>243514.86</v>
      </c>
      <c r="C167" s="187">
        <v>240736.13999999998</v>
      </c>
    </row>
    <row r="168" spans="1:3" x14ac:dyDescent="0.25">
      <c r="A168">
        <v>21529</v>
      </c>
      <c r="B168" s="187">
        <v>338552.68</v>
      </c>
      <c r="C168" s="187">
        <v>293852.63</v>
      </c>
    </row>
    <row r="169" spans="1:3" x14ac:dyDescent="0.25">
      <c r="A169">
        <v>21531</v>
      </c>
      <c r="B169" s="187">
        <v>415381.62</v>
      </c>
      <c r="C169" s="187">
        <v>383684.04</v>
      </c>
    </row>
    <row r="170" spans="1:3" x14ac:dyDescent="0.25">
      <c r="A170">
        <v>21533</v>
      </c>
      <c r="B170" s="187">
        <v>264289</v>
      </c>
      <c r="C170" s="187">
        <v>203881.38999999998</v>
      </c>
    </row>
    <row r="171" spans="1:3" x14ac:dyDescent="0.25">
      <c r="A171">
        <v>21536</v>
      </c>
      <c r="B171" s="187">
        <v>7358</v>
      </c>
      <c r="C171" s="187">
        <v>23841.07</v>
      </c>
    </row>
    <row r="172" spans="1:3" x14ac:dyDescent="0.25">
      <c r="A172">
        <v>21541</v>
      </c>
      <c r="B172" s="187">
        <v>1928606.92</v>
      </c>
      <c r="C172" s="187">
        <v>1725811.07</v>
      </c>
    </row>
    <row r="173" spans="1:3" x14ac:dyDescent="0.25">
      <c r="A173">
        <v>21544</v>
      </c>
      <c r="B173" s="187">
        <v>1506540.4700000002</v>
      </c>
      <c r="C173" s="187">
        <v>1333694.1300000001</v>
      </c>
    </row>
    <row r="174" spans="1:3" x14ac:dyDescent="0.25">
      <c r="A174">
        <v>21545</v>
      </c>
      <c r="B174" s="187">
        <v>2176452.7799999998</v>
      </c>
      <c r="C174" s="187">
        <v>1813657.8</v>
      </c>
    </row>
    <row r="175" spans="1:3" x14ac:dyDescent="0.25">
      <c r="A175">
        <v>21548</v>
      </c>
      <c r="B175" s="187">
        <v>13574.8</v>
      </c>
      <c r="C175" s="187">
        <v>13083.369999999999</v>
      </c>
    </row>
    <row r="176" spans="1:3" x14ac:dyDescent="0.25">
      <c r="A176">
        <v>21549</v>
      </c>
      <c r="B176" s="187">
        <v>489447.16</v>
      </c>
      <c r="C176" s="187">
        <v>597698.12</v>
      </c>
    </row>
    <row r="177" spans="1:3" x14ac:dyDescent="0.25">
      <c r="A177">
        <v>21550</v>
      </c>
      <c r="B177" s="187">
        <v>28475</v>
      </c>
      <c r="C177" s="187">
        <v>12454.77</v>
      </c>
    </row>
    <row r="178" spans="1:3" x14ac:dyDescent="0.25">
      <c r="A178">
        <v>21552</v>
      </c>
      <c r="B178" s="187">
        <v>344007.76</v>
      </c>
      <c r="C178" s="187">
        <v>296557.18</v>
      </c>
    </row>
    <row r="179" spans="1:3" x14ac:dyDescent="0.25">
      <c r="A179">
        <v>21554</v>
      </c>
      <c r="B179" s="187">
        <v>288201.2</v>
      </c>
      <c r="C179" s="187">
        <v>227325.24</v>
      </c>
    </row>
    <row r="180" spans="1:3" x14ac:dyDescent="0.25">
      <c r="A180">
        <v>21555</v>
      </c>
      <c r="B180" s="187">
        <v>3265800.88</v>
      </c>
      <c r="C180" s="187">
        <v>2174894.0499999998</v>
      </c>
    </row>
    <row r="181" spans="1:3" x14ac:dyDescent="0.25">
      <c r="A181">
        <v>21556</v>
      </c>
      <c r="B181" s="187">
        <v>287335</v>
      </c>
      <c r="C181" s="187">
        <v>343738.72</v>
      </c>
    </row>
    <row r="182" spans="1:3" x14ac:dyDescent="0.25">
      <c r="A182">
        <v>21557</v>
      </c>
      <c r="B182" s="187">
        <v>441403</v>
      </c>
      <c r="C182" s="187">
        <v>385108.46</v>
      </c>
    </row>
    <row r="183" spans="1:3" x14ac:dyDescent="0.25">
      <c r="A183">
        <v>21558</v>
      </c>
      <c r="B183" s="187">
        <v>2175562.98</v>
      </c>
      <c r="C183" s="187">
        <v>1861644.8699999999</v>
      </c>
    </row>
    <row r="184" spans="1:3" x14ac:dyDescent="0.25">
      <c r="A184">
        <v>21559</v>
      </c>
      <c r="B184" s="187">
        <v>12585.43</v>
      </c>
      <c r="C184" s="187">
        <v>10034.02</v>
      </c>
    </row>
    <row r="185" spans="1:3" x14ac:dyDescent="0.25">
      <c r="A185">
        <v>21561</v>
      </c>
      <c r="B185" s="187">
        <v>409561.47000000003</v>
      </c>
      <c r="C185" s="187">
        <v>272674.17</v>
      </c>
    </row>
    <row r="186" spans="1:3" x14ac:dyDescent="0.25">
      <c r="A186">
        <v>21565</v>
      </c>
      <c r="B186" s="187">
        <v>64886</v>
      </c>
      <c r="C186" s="187">
        <v>61645.56</v>
      </c>
    </row>
    <row r="187" spans="1:3" x14ac:dyDescent="0.25">
      <c r="A187">
        <v>21569</v>
      </c>
      <c r="B187" s="187">
        <v>83886</v>
      </c>
      <c r="C187" s="187">
        <v>56569.229999999996</v>
      </c>
    </row>
    <row r="188" spans="1:3" x14ac:dyDescent="0.25">
      <c r="A188">
        <v>21571</v>
      </c>
      <c r="B188" s="187">
        <v>0</v>
      </c>
      <c r="C188" s="187">
        <v>-84553.66</v>
      </c>
    </row>
    <row r="189" spans="1:3" x14ac:dyDescent="0.25">
      <c r="A189">
        <v>21572</v>
      </c>
      <c r="B189" s="187">
        <v>944750</v>
      </c>
      <c r="C189" s="187">
        <v>883231.53999999992</v>
      </c>
    </row>
    <row r="190" spans="1:3" x14ac:dyDescent="0.25">
      <c r="A190">
        <v>21575</v>
      </c>
      <c r="B190" s="187">
        <v>2614140.33</v>
      </c>
      <c r="C190" s="187">
        <v>2214812.2800000003</v>
      </c>
    </row>
    <row r="191" spans="1:3" x14ac:dyDescent="0.25">
      <c r="A191">
        <v>21579</v>
      </c>
      <c r="B191" s="187">
        <v>85176.52</v>
      </c>
      <c r="C191" s="187">
        <v>71641.240000000005</v>
      </c>
    </row>
    <row r="192" spans="1:3" x14ac:dyDescent="0.25">
      <c r="A192">
        <v>21581</v>
      </c>
      <c r="B192" s="187">
        <v>321125.3</v>
      </c>
      <c r="C192" s="187">
        <v>271150.06999999995</v>
      </c>
    </row>
    <row r="193" spans="1:3" x14ac:dyDescent="0.25">
      <c r="A193">
        <v>21583</v>
      </c>
      <c r="B193" s="187">
        <v>9755772.9400000013</v>
      </c>
      <c r="C193" s="187">
        <v>8376140.2999999998</v>
      </c>
    </row>
    <row r="194" spans="1:3" x14ac:dyDescent="0.25">
      <c r="A194">
        <v>21586</v>
      </c>
      <c r="B194" s="187">
        <v>440215.08</v>
      </c>
      <c r="C194" s="187">
        <v>335168.34999999998</v>
      </c>
    </row>
    <row r="195" spans="1:3" x14ac:dyDescent="0.25">
      <c r="A195">
        <v>21594</v>
      </c>
      <c r="B195" s="187">
        <v>1225081.4500000002</v>
      </c>
      <c r="C195" s="187">
        <v>918349.04999999993</v>
      </c>
    </row>
    <row r="196" spans="1:3" x14ac:dyDescent="0.25">
      <c r="A196">
        <v>21595</v>
      </c>
      <c r="B196" s="187">
        <v>5555237.9700000007</v>
      </c>
      <c r="C196" s="187">
        <v>4896830.54</v>
      </c>
    </row>
    <row r="197" spans="1:3" x14ac:dyDescent="0.25">
      <c r="A197">
        <v>21596</v>
      </c>
      <c r="B197" s="187">
        <v>3307333.9699999997</v>
      </c>
      <c r="C197" s="187">
        <v>3205474.18</v>
      </c>
    </row>
    <row r="198" spans="1:3" x14ac:dyDescent="0.25">
      <c r="A198">
        <v>21597</v>
      </c>
      <c r="B198" s="187">
        <v>386694.77</v>
      </c>
      <c r="C198" s="187">
        <v>362273.77</v>
      </c>
    </row>
    <row r="199" spans="1:3" x14ac:dyDescent="0.25">
      <c r="A199">
        <v>21604</v>
      </c>
      <c r="B199" s="187">
        <v>857411</v>
      </c>
      <c r="C199" s="187">
        <v>726865.57000000007</v>
      </c>
    </row>
    <row r="200" spans="1:3" x14ac:dyDescent="0.25">
      <c r="A200">
        <v>21612</v>
      </c>
      <c r="B200" s="187">
        <v>295464.40999999997</v>
      </c>
      <c r="C200" s="187">
        <v>231837.42</v>
      </c>
    </row>
    <row r="201" spans="1:3" x14ac:dyDescent="0.25">
      <c r="A201">
        <v>21614</v>
      </c>
      <c r="B201" s="187">
        <v>11954771.16</v>
      </c>
      <c r="C201" s="187">
        <v>8260884.9000000004</v>
      </c>
    </row>
    <row r="202" spans="1:3" x14ac:dyDescent="0.25">
      <c r="A202">
        <v>21618</v>
      </c>
      <c r="B202" s="187">
        <v>541877.18000000005</v>
      </c>
      <c r="C202" s="187">
        <v>405613.62</v>
      </c>
    </row>
    <row r="203" spans="1:3" x14ac:dyDescent="0.25">
      <c r="A203">
        <v>21619</v>
      </c>
      <c r="B203" s="187">
        <v>514.75</v>
      </c>
      <c r="C203" s="187">
        <v>435.83</v>
      </c>
    </row>
    <row r="204" spans="1:3" x14ac:dyDescent="0.25">
      <c r="A204">
        <v>21620</v>
      </c>
      <c r="B204" s="187">
        <v>2813400.33</v>
      </c>
      <c r="C204" s="187">
        <v>2227600.48</v>
      </c>
    </row>
    <row r="205" spans="1:3" x14ac:dyDescent="0.25">
      <c r="A205">
        <v>21621</v>
      </c>
      <c r="B205" s="187">
        <v>9879743.6499999985</v>
      </c>
      <c r="C205" s="187">
        <v>9928191.6099999994</v>
      </c>
    </row>
    <row r="206" spans="1:3" x14ac:dyDescent="0.25">
      <c r="A206">
        <v>21622</v>
      </c>
      <c r="B206" s="187">
        <v>1473704.66</v>
      </c>
      <c r="C206" s="187">
        <v>1212343.48</v>
      </c>
    </row>
    <row r="207" spans="1:3" x14ac:dyDescent="0.25">
      <c r="A207">
        <v>21623</v>
      </c>
      <c r="B207" s="187">
        <v>11695</v>
      </c>
      <c r="C207" s="187">
        <v>5398.6</v>
      </c>
    </row>
    <row r="208" spans="1:3" x14ac:dyDescent="0.25">
      <c r="A208">
        <v>21624</v>
      </c>
      <c r="B208" s="187">
        <v>9865761.4700000007</v>
      </c>
      <c r="C208" s="187">
        <v>8078254.8300000001</v>
      </c>
    </row>
    <row r="209" spans="1:3" x14ac:dyDescent="0.25">
      <c r="A209">
        <v>21628</v>
      </c>
      <c r="B209" s="187">
        <v>240683</v>
      </c>
      <c r="C209" s="187">
        <v>189455.12999999998</v>
      </c>
    </row>
    <row r="210" spans="1:3" x14ac:dyDescent="0.25">
      <c r="A210">
        <v>21630</v>
      </c>
      <c r="B210" s="187">
        <v>2053849.6400000001</v>
      </c>
      <c r="C210" s="187">
        <v>1812359.11</v>
      </c>
    </row>
    <row r="211" spans="1:3" x14ac:dyDescent="0.25">
      <c r="A211">
        <v>21635</v>
      </c>
      <c r="B211" s="187">
        <v>12130.64</v>
      </c>
      <c r="C211" s="187">
        <v>8783.08</v>
      </c>
    </row>
    <row r="212" spans="1:3" x14ac:dyDescent="0.25">
      <c r="A212">
        <v>21637</v>
      </c>
      <c r="B212" s="187">
        <v>1442192.8900000001</v>
      </c>
      <c r="C212" s="187">
        <v>1065428.0699999998</v>
      </c>
    </row>
    <row r="213" spans="1:3" x14ac:dyDescent="0.25">
      <c r="A213">
        <v>21638</v>
      </c>
      <c r="B213" s="187">
        <v>689352.72</v>
      </c>
      <c r="C213" s="187">
        <v>505598.01</v>
      </c>
    </row>
    <row r="214" spans="1:3" x14ac:dyDescent="0.25">
      <c r="A214">
        <v>21641</v>
      </c>
      <c r="B214" s="187">
        <v>2003084.85</v>
      </c>
      <c r="C214" s="187">
        <v>1234339.99</v>
      </c>
    </row>
    <row r="215" spans="1:3" x14ac:dyDescent="0.25">
      <c r="A215">
        <v>21642</v>
      </c>
      <c r="B215" s="187">
        <v>962.74</v>
      </c>
      <c r="C215" s="187">
        <v>3209.37</v>
      </c>
    </row>
    <row r="216" spans="1:3" x14ac:dyDescent="0.25">
      <c r="A216">
        <v>21643</v>
      </c>
      <c r="B216" s="187">
        <v>1254903.3799999999</v>
      </c>
      <c r="C216" s="187">
        <v>1179314.82</v>
      </c>
    </row>
    <row r="217" spans="1:3" x14ac:dyDescent="0.25">
      <c r="A217">
        <v>21648</v>
      </c>
      <c r="B217" s="187">
        <v>337431.37</v>
      </c>
      <c r="C217" s="187">
        <v>340197.03</v>
      </c>
    </row>
    <row r="218" spans="1:3" x14ac:dyDescent="0.25">
      <c r="A218">
        <v>21651</v>
      </c>
      <c r="B218" s="187">
        <v>8902342.0700000003</v>
      </c>
      <c r="C218" s="187">
        <v>8755043.5799999982</v>
      </c>
    </row>
    <row r="219" spans="1:3" x14ac:dyDescent="0.25">
      <c r="A219">
        <v>21654</v>
      </c>
      <c r="B219" s="187">
        <v>10003888.640000001</v>
      </c>
      <c r="C219" s="187">
        <v>6320657.1399999997</v>
      </c>
    </row>
    <row r="220" spans="1:3" x14ac:dyDescent="0.25">
      <c r="A220">
        <v>21655</v>
      </c>
      <c r="B220" s="187">
        <v>1451051.89</v>
      </c>
      <c r="C220" s="187">
        <v>1129446.6200000001</v>
      </c>
    </row>
    <row r="221" spans="1:3" x14ac:dyDescent="0.25">
      <c r="A221">
        <v>21660</v>
      </c>
      <c r="B221" s="187">
        <v>188470.28999999998</v>
      </c>
      <c r="C221" s="187">
        <v>144799.13999999998</v>
      </c>
    </row>
    <row r="222" spans="1:3" x14ac:dyDescent="0.25">
      <c r="A222">
        <v>21665</v>
      </c>
      <c r="B222" s="187">
        <v>4950</v>
      </c>
      <c r="C222" s="187">
        <v>4459.8899999999994</v>
      </c>
    </row>
    <row r="223" spans="1:3" x14ac:dyDescent="0.25">
      <c r="A223">
        <v>21666</v>
      </c>
      <c r="B223" s="187">
        <v>6240379.2799999993</v>
      </c>
      <c r="C223" s="187">
        <v>6022624.6499999994</v>
      </c>
    </row>
    <row r="224" spans="1:3" x14ac:dyDescent="0.25">
      <c r="A224">
        <v>21668</v>
      </c>
      <c r="B224" s="187">
        <v>3585274.14</v>
      </c>
      <c r="C224" s="187">
        <v>2752581.96</v>
      </c>
    </row>
    <row r="225" spans="1:3" x14ac:dyDescent="0.25">
      <c r="A225">
        <v>21670</v>
      </c>
      <c r="B225" s="187">
        <v>199317.22999999998</v>
      </c>
      <c r="C225" s="187">
        <v>146535.09</v>
      </c>
    </row>
    <row r="226" spans="1:3" x14ac:dyDescent="0.25">
      <c r="A226">
        <v>21672</v>
      </c>
      <c r="B226" s="187">
        <v>902969</v>
      </c>
      <c r="C226" s="187">
        <v>849107.64</v>
      </c>
    </row>
    <row r="227" spans="1:3" x14ac:dyDescent="0.25">
      <c r="A227">
        <v>21673</v>
      </c>
      <c r="B227" s="187">
        <v>0</v>
      </c>
      <c r="C227" s="187">
        <v>204.4</v>
      </c>
    </row>
    <row r="228" spans="1:3" x14ac:dyDescent="0.25">
      <c r="A228">
        <v>21674</v>
      </c>
      <c r="B228" s="187">
        <v>89496</v>
      </c>
      <c r="C228" s="187">
        <v>26801.31</v>
      </c>
    </row>
    <row r="229" spans="1:3" x14ac:dyDescent="0.25">
      <c r="A229">
        <v>21676</v>
      </c>
      <c r="B229" s="187">
        <v>190215.5</v>
      </c>
      <c r="C229" s="187">
        <v>176044.71</v>
      </c>
    </row>
    <row r="230" spans="1:3" x14ac:dyDescent="0.25">
      <c r="A230">
        <v>21677</v>
      </c>
      <c r="B230" s="187">
        <v>5115309.96</v>
      </c>
      <c r="C230" s="187">
        <v>4101468.58</v>
      </c>
    </row>
    <row r="231" spans="1:3" x14ac:dyDescent="0.25">
      <c r="A231">
        <v>21680</v>
      </c>
      <c r="B231" s="187">
        <v>22982.01</v>
      </c>
      <c r="C231" s="187">
        <v>15797.849999999999</v>
      </c>
    </row>
    <row r="232" spans="1:3" x14ac:dyDescent="0.25">
      <c r="A232">
        <v>21686</v>
      </c>
      <c r="B232" s="187">
        <v>208223.6</v>
      </c>
      <c r="C232" s="187">
        <v>157578.69</v>
      </c>
    </row>
    <row r="233" spans="1:3" x14ac:dyDescent="0.25">
      <c r="A233">
        <v>21687</v>
      </c>
      <c r="B233" s="187">
        <v>634337.05000000005</v>
      </c>
      <c r="C233" s="187">
        <v>520744.47000000003</v>
      </c>
    </row>
    <row r="234" spans="1:3" x14ac:dyDescent="0.25">
      <c r="A234">
        <v>21849</v>
      </c>
      <c r="B234" s="187">
        <v>15901.16</v>
      </c>
      <c r="C234" s="187">
        <v>23703.78</v>
      </c>
    </row>
    <row r="235" spans="1:3" x14ac:dyDescent="0.25">
      <c r="A235">
        <v>21850</v>
      </c>
      <c r="B235" s="187">
        <v>1085586.55</v>
      </c>
      <c r="C235" s="187">
        <v>532190.94999999995</v>
      </c>
    </row>
    <row r="236" spans="1:3" x14ac:dyDescent="0.25">
      <c r="A236">
        <v>21875</v>
      </c>
      <c r="B236" s="187">
        <v>31298.75</v>
      </c>
      <c r="C236" s="187">
        <v>20578.900000000001</v>
      </c>
    </row>
    <row r="237" spans="1:3" x14ac:dyDescent="0.25">
      <c r="A237">
        <v>21878</v>
      </c>
      <c r="B237" s="187">
        <v>484502</v>
      </c>
      <c r="C237" s="187">
        <v>503204.09</v>
      </c>
    </row>
    <row r="238" spans="1:3" x14ac:dyDescent="0.25">
      <c r="A238">
        <v>21879</v>
      </c>
      <c r="B238" s="187">
        <v>15935</v>
      </c>
      <c r="C238" s="187">
        <v>10757.85</v>
      </c>
    </row>
    <row r="239" spans="1:3" x14ac:dyDescent="0.25">
      <c r="A239">
        <v>21880</v>
      </c>
      <c r="B239" s="187">
        <v>17002.759999999998</v>
      </c>
      <c r="C239" s="187">
        <v>32019.27</v>
      </c>
    </row>
    <row r="240" spans="1:3" x14ac:dyDescent="0.25">
      <c r="A240">
        <v>21881</v>
      </c>
      <c r="B240" s="187">
        <v>99522.16</v>
      </c>
      <c r="C240" s="187">
        <v>152797.72</v>
      </c>
    </row>
    <row r="241" spans="1:3" x14ac:dyDescent="0.25">
      <c r="A241">
        <v>21882</v>
      </c>
      <c r="B241" s="187">
        <v>2645.73</v>
      </c>
      <c r="C241" s="187">
        <v>5090.72</v>
      </c>
    </row>
    <row r="242" spans="1:3" x14ac:dyDescent="0.25">
      <c r="A242">
        <v>21883</v>
      </c>
      <c r="B242" s="187">
        <v>6799.35</v>
      </c>
      <c r="C242" s="187">
        <v>8900.57</v>
      </c>
    </row>
    <row r="243" spans="1:3" x14ac:dyDescent="0.25">
      <c r="A243">
        <v>21884</v>
      </c>
      <c r="B243" s="187">
        <v>26974.3</v>
      </c>
      <c r="C243" s="187">
        <v>47550.22</v>
      </c>
    </row>
    <row r="244" spans="1:3" x14ac:dyDescent="0.25">
      <c r="A244">
        <v>21885</v>
      </c>
      <c r="B244" s="187">
        <v>75216.2</v>
      </c>
      <c r="C244" s="187">
        <v>117258.4</v>
      </c>
    </row>
    <row r="245" spans="1:3" x14ac:dyDescent="0.25">
      <c r="A245">
        <v>21886</v>
      </c>
      <c r="B245" s="187">
        <v>34486.910000000003</v>
      </c>
      <c r="C245" s="187">
        <v>48690.98</v>
      </c>
    </row>
    <row r="246" spans="1:3" x14ac:dyDescent="0.25">
      <c r="A246">
        <v>21887</v>
      </c>
      <c r="B246" s="187">
        <v>17973.11</v>
      </c>
      <c r="C246" s="187">
        <v>25254.51</v>
      </c>
    </row>
    <row r="247" spans="1:3" x14ac:dyDescent="0.25">
      <c r="A247">
        <v>21888</v>
      </c>
      <c r="B247" s="187">
        <v>10365</v>
      </c>
      <c r="C247" s="187">
        <v>7511.89</v>
      </c>
    </row>
    <row r="248" spans="1:3" x14ac:dyDescent="0.25">
      <c r="A248">
        <v>21889</v>
      </c>
      <c r="B248" s="187">
        <v>37101.75</v>
      </c>
      <c r="C248" s="187">
        <v>51524.06</v>
      </c>
    </row>
    <row r="249" spans="1:3" x14ac:dyDescent="0.25">
      <c r="A249">
        <v>21892</v>
      </c>
      <c r="B249" s="187">
        <v>186595.42</v>
      </c>
      <c r="C249" s="187">
        <v>103461.33</v>
      </c>
    </row>
    <row r="250" spans="1:3" x14ac:dyDescent="0.25">
      <c r="A250">
        <v>21893</v>
      </c>
      <c r="B250" s="187">
        <v>522950.61</v>
      </c>
      <c r="C250" s="187">
        <v>654873.86</v>
      </c>
    </row>
    <row r="251" spans="1:3" x14ac:dyDescent="0.25">
      <c r="A251">
        <v>21895</v>
      </c>
      <c r="B251" s="187">
        <v>72445.31</v>
      </c>
      <c r="C251" s="187">
        <v>58252.09</v>
      </c>
    </row>
    <row r="252" spans="1:3" x14ac:dyDescent="0.25">
      <c r="A252">
        <v>21897</v>
      </c>
      <c r="B252" s="187">
        <v>498025.55</v>
      </c>
      <c r="C252" s="187">
        <v>397316.71</v>
      </c>
    </row>
    <row r="253" spans="1:3" x14ac:dyDescent="0.25">
      <c r="A253">
        <v>21898</v>
      </c>
      <c r="B253" s="187">
        <v>2775</v>
      </c>
      <c r="C253" s="187">
        <v>2404.5700000000002</v>
      </c>
    </row>
    <row r="254" spans="1:3" x14ac:dyDescent="0.25">
      <c r="A254">
        <v>21899</v>
      </c>
      <c r="B254" s="187">
        <v>5896.82</v>
      </c>
      <c r="C254" s="187">
        <v>2607.89</v>
      </c>
    </row>
    <row r="255" spans="1:3" x14ac:dyDescent="0.25">
      <c r="A255">
        <v>21902</v>
      </c>
      <c r="B255" s="187">
        <v>8786</v>
      </c>
      <c r="C255" s="187">
        <v>3392.12</v>
      </c>
    </row>
    <row r="256" spans="1:3" x14ac:dyDescent="0.25">
      <c r="A256">
        <v>21903</v>
      </c>
      <c r="B256" s="187">
        <v>51720.160000000003</v>
      </c>
      <c r="C256" s="187">
        <v>45205.919999999998</v>
      </c>
    </row>
    <row r="257" spans="1:3" x14ac:dyDescent="0.25">
      <c r="A257">
        <v>21904</v>
      </c>
      <c r="B257" s="187">
        <v>7200</v>
      </c>
      <c r="C257" s="187">
        <v>9041</v>
      </c>
    </row>
    <row r="258" spans="1:3" x14ac:dyDescent="0.25">
      <c r="A258">
        <v>21906</v>
      </c>
      <c r="B258" s="187">
        <v>150028.6</v>
      </c>
      <c r="C258" s="187">
        <v>112090.02</v>
      </c>
    </row>
    <row r="259" spans="1:3" x14ac:dyDescent="0.25">
      <c r="A259">
        <v>21920</v>
      </c>
      <c r="B259" s="187">
        <v>7905</v>
      </c>
      <c r="C259" s="187">
        <v>5423.01</v>
      </c>
    </row>
    <row r="260" spans="1:3" x14ac:dyDescent="0.25">
      <c r="A260">
        <v>21921</v>
      </c>
      <c r="B260" s="187">
        <v>890</v>
      </c>
      <c r="C260" s="187">
        <v>1675.43</v>
      </c>
    </row>
    <row r="261" spans="1:3" x14ac:dyDescent="0.25">
      <c r="A261">
        <v>21922</v>
      </c>
      <c r="B261" s="187">
        <v>144125.82</v>
      </c>
      <c r="C261" s="187">
        <v>86076.79</v>
      </c>
    </row>
    <row r="262" spans="1:3" x14ac:dyDescent="0.25">
      <c r="A262">
        <v>21938</v>
      </c>
      <c r="B262" s="187">
        <v>37390.800000000003</v>
      </c>
      <c r="C262" s="187">
        <v>20951.38</v>
      </c>
    </row>
    <row r="263" spans="1:3" x14ac:dyDescent="0.25">
      <c r="A263">
        <v>21945</v>
      </c>
      <c r="B263" s="187">
        <v>708723.39</v>
      </c>
      <c r="C263" s="187">
        <v>674648.87</v>
      </c>
    </row>
    <row r="264" spans="1:3" x14ac:dyDescent="0.25">
      <c r="A264">
        <v>21946</v>
      </c>
      <c r="B264" s="187">
        <v>78444.56</v>
      </c>
      <c r="C264" s="187">
        <v>52348.65</v>
      </c>
    </row>
    <row r="265" spans="1:3" x14ac:dyDescent="0.25">
      <c r="A265">
        <v>21948</v>
      </c>
      <c r="B265" s="187">
        <v>49310.12</v>
      </c>
      <c r="C265" s="187">
        <v>12459.13</v>
      </c>
    </row>
    <row r="266" spans="1:3" x14ac:dyDescent="0.25">
      <c r="A266">
        <v>21949</v>
      </c>
      <c r="B266" s="187">
        <v>274656</v>
      </c>
      <c r="C266" s="187">
        <v>283071.98</v>
      </c>
    </row>
    <row r="267" spans="1:3" x14ac:dyDescent="0.25">
      <c r="A267">
        <v>21951</v>
      </c>
      <c r="B267" s="187">
        <v>11365</v>
      </c>
      <c r="C267" s="187">
        <v>7064.58</v>
      </c>
    </row>
    <row r="268" spans="1:3" x14ac:dyDescent="0.25">
      <c r="A268">
        <v>21953</v>
      </c>
      <c r="B268" s="187">
        <v>21817.5</v>
      </c>
      <c r="C268" s="187">
        <v>13383.69</v>
      </c>
    </row>
    <row r="269" spans="1:3" x14ac:dyDescent="0.25">
      <c r="A269">
        <v>21954</v>
      </c>
      <c r="B269" s="187">
        <v>176310.6</v>
      </c>
      <c r="C269" s="187">
        <v>140101.37</v>
      </c>
    </row>
    <row r="270" spans="1:3" x14ac:dyDescent="0.25">
      <c r="A270">
        <v>21957</v>
      </c>
      <c r="B270" s="187">
        <v>4466.3999999999996</v>
      </c>
      <c r="C270" s="187">
        <v>2389.62</v>
      </c>
    </row>
    <row r="271" spans="1:3" x14ac:dyDescent="0.25">
      <c r="A271">
        <v>21958</v>
      </c>
      <c r="B271" s="187">
        <v>0</v>
      </c>
      <c r="C271" s="187">
        <v>5450</v>
      </c>
    </row>
    <row r="272" spans="1:3" x14ac:dyDescent="0.25">
      <c r="A272">
        <v>21963</v>
      </c>
      <c r="B272" s="187">
        <v>146967.79999999999</v>
      </c>
      <c r="C272" s="187">
        <v>106547.66</v>
      </c>
    </row>
    <row r="273" spans="1:3" x14ac:dyDescent="0.25">
      <c r="A273">
        <v>21969</v>
      </c>
      <c r="B273" s="187">
        <v>70435.240000000005</v>
      </c>
      <c r="C273" s="187">
        <v>42249.52</v>
      </c>
    </row>
    <row r="274" spans="1:3" x14ac:dyDescent="0.25">
      <c r="A274">
        <v>21987</v>
      </c>
      <c r="B274" s="187">
        <v>300311.95</v>
      </c>
      <c r="C274" s="187">
        <v>211600.48</v>
      </c>
    </row>
    <row r="275" spans="1:3" x14ac:dyDescent="0.25">
      <c r="A275">
        <v>21988</v>
      </c>
      <c r="B275" s="187">
        <v>76290.600000000006</v>
      </c>
      <c r="C275" s="187">
        <v>52100.12</v>
      </c>
    </row>
    <row r="276" spans="1:3" x14ac:dyDescent="0.25">
      <c r="A276">
        <v>21989</v>
      </c>
      <c r="B276" s="187">
        <v>4475</v>
      </c>
      <c r="C276" s="187">
        <v>4850.79</v>
      </c>
    </row>
    <row r="277" spans="1:3" x14ac:dyDescent="0.25">
      <c r="A277">
        <v>21996</v>
      </c>
      <c r="B277" s="187">
        <v>126345.12</v>
      </c>
      <c r="C277" s="187">
        <v>68158.850000000006</v>
      </c>
    </row>
    <row r="278" spans="1:3" x14ac:dyDescent="0.25">
      <c r="A278">
        <v>22000</v>
      </c>
      <c r="B278" s="187">
        <v>128539.8</v>
      </c>
      <c r="C278" s="187">
        <v>99392.24</v>
      </c>
    </row>
    <row r="279" spans="1:3" x14ac:dyDescent="0.25">
      <c r="A279">
        <v>22001</v>
      </c>
      <c r="B279" s="187">
        <v>306092.3</v>
      </c>
      <c r="C279" s="187">
        <v>239746.96</v>
      </c>
    </row>
    <row r="280" spans="1:3" x14ac:dyDescent="0.25">
      <c r="A280">
        <v>22002</v>
      </c>
      <c r="B280" s="187">
        <v>206747</v>
      </c>
      <c r="C280" s="187">
        <v>149865.82999999999</v>
      </c>
    </row>
    <row r="281" spans="1:3" x14ac:dyDescent="0.25">
      <c r="A281">
        <v>22003</v>
      </c>
      <c r="B281" s="187">
        <v>2907.44</v>
      </c>
      <c r="C281" s="187">
        <v>38426.47</v>
      </c>
    </row>
    <row r="282" spans="1:3" x14ac:dyDescent="0.25">
      <c r="A282">
        <v>22008</v>
      </c>
      <c r="B282" s="187">
        <v>227167.44</v>
      </c>
      <c r="C282" s="187">
        <v>177646.56</v>
      </c>
    </row>
    <row r="283" spans="1:3" x14ac:dyDescent="0.25">
      <c r="A283">
        <v>22016</v>
      </c>
      <c r="B283" s="187">
        <v>102109.22</v>
      </c>
      <c r="C283" s="187">
        <v>73862.06</v>
      </c>
    </row>
    <row r="284" spans="1:3" x14ac:dyDescent="0.25">
      <c r="A284">
        <v>22017</v>
      </c>
      <c r="B284" s="187">
        <v>190304.42</v>
      </c>
      <c r="C284" s="187">
        <v>150133.53</v>
      </c>
    </row>
    <row r="285" spans="1:3" x14ac:dyDescent="0.25">
      <c r="A285">
        <v>22025</v>
      </c>
      <c r="B285" s="187">
        <v>0</v>
      </c>
      <c r="C285" s="187">
        <v>1515.55</v>
      </c>
    </row>
    <row r="286" spans="1:3" x14ac:dyDescent="0.25">
      <c r="A286">
        <v>22048</v>
      </c>
      <c r="B286" s="187">
        <v>8540.16</v>
      </c>
      <c r="C286" s="187">
        <v>1117.29</v>
      </c>
    </row>
    <row r="287" spans="1:3" x14ac:dyDescent="0.25">
      <c r="A287">
        <v>22056</v>
      </c>
      <c r="B287" s="187">
        <v>8840</v>
      </c>
      <c r="C287" s="187">
        <v>10291.629999999999</v>
      </c>
    </row>
    <row r="288" spans="1:3" x14ac:dyDescent="0.25">
      <c r="A288">
        <v>22062</v>
      </c>
      <c r="B288" s="187">
        <v>3870</v>
      </c>
      <c r="C288" s="187">
        <v>842.03</v>
      </c>
    </row>
    <row r="289" spans="1:3" x14ac:dyDescent="0.25">
      <c r="A289">
        <v>22069</v>
      </c>
      <c r="B289" s="187">
        <v>80230</v>
      </c>
      <c r="C289" s="187">
        <v>51927.67</v>
      </c>
    </row>
    <row r="290" spans="1:3" x14ac:dyDescent="0.25">
      <c r="A290">
        <v>22072</v>
      </c>
      <c r="B290" s="187">
        <v>1098</v>
      </c>
      <c r="C290" s="187">
        <v>1495.69</v>
      </c>
    </row>
    <row r="291" spans="1:3" x14ac:dyDescent="0.25">
      <c r="A291">
        <v>22075</v>
      </c>
      <c r="B291" s="187">
        <v>15386.7</v>
      </c>
      <c r="C291" s="187">
        <v>14518.87</v>
      </c>
    </row>
    <row r="292" spans="1:3" x14ac:dyDescent="0.25">
      <c r="A292">
        <v>22076</v>
      </c>
      <c r="B292" s="187">
        <v>206709.24</v>
      </c>
      <c r="C292" s="187">
        <v>139300.89000000001</v>
      </c>
    </row>
    <row r="293" spans="1:3" x14ac:dyDescent="0.25">
      <c r="A293">
        <v>22077</v>
      </c>
      <c r="B293" s="187">
        <v>65297.85</v>
      </c>
      <c r="C293" s="187">
        <v>56704.52</v>
      </c>
    </row>
    <row r="294" spans="1:3" x14ac:dyDescent="0.25">
      <c r="A294">
        <v>22080</v>
      </c>
      <c r="B294" s="187">
        <v>32571.5</v>
      </c>
      <c r="C294" s="187">
        <v>5600.89</v>
      </c>
    </row>
    <row r="295" spans="1:3" x14ac:dyDescent="0.25">
      <c r="A295">
        <v>22098</v>
      </c>
      <c r="B295" s="187">
        <v>0</v>
      </c>
      <c r="C295" s="187">
        <v>-450</v>
      </c>
    </row>
    <row r="296" spans="1:3" x14ac:dyDescent="0.25">
      <c r="A296">
        <v>22102</v>
      </c>
      <c r="B296" s="187">
        <v>24534</v>
      </c>
      <c r="C296" s="187">
        <v>22895.21</v>
      </c>
    </row>
    <row r="297" spans="1:3" x14ac:dyDescent="0.25">
      <c r="A297">
        <v>22108</v>
      </c>
      <c r="B297" s="187">
        <v>11871.35</v>
      </c>
      <c r="C297" s="187">
        <v>3018.82</v>
      </c>
    </row>
    <row r="298" spans="1:3" x14ac:dyDescent="0.25">
      <c r="A298">
        <v>22834</v>
      </c>
      <c r="B298" s="187">
        <v>410.38</v>
      </c>
      <c r="C298" s="187">
        <v>323.91000000000003</v>
      </c>
    </row>
    <row r="299" spans="1:3" x14ac:dyDescent="0.25">
      <c r="A299">
        <v>22849</v>
      </c>
      <c r="B299" s="187">
        <v>18388</v>
      </c>
      <c r="C299" s="187">
        <v>22011.8</v>
      </c>
    </row>
    <row r="300" spans="1:3" x14ac:dyDescent="0.25">
      <c r="A300">
        <v>22862</v>
      </c>
      <c r="B300" s="187">
        <v>0</v>
      </c>
      <c r="C300" s="187">
        <v>6189.9</v>
      </c>
    </row>
    <row r="301" spans="1:3" x14ac:dyDescent="0.25">
      <c r="A301">
        <v>22870</v>
      </c>
      <c r="B301" s="187">
        <v>15384.04</v>
      </c>
      <c r="C301" s="187">
        <v>10670.08</v>
      </c>
    </row>
    <row r="302" spans="1:3" x14ac:dyDescent="0.25">
      <c r="A302">
        <v>22871</v>
      </c>
      <c r="B302" s="187">
        <v>0</v>
      </c>
      <c r="C302" s="187">
        <v>70.88</v>
      </c>
    </row>
    <row r="303" spans="1:3" x14ac:dyDescent="0.25">
      <c r="A303">
        <v>22873</v>
      </c>
      <c r="B303" s="187">
        <v>20003.5</v>
      </c>
      <c r="C303" s="187">
        <v>24897.31</v>
      </c>
    </row>
    <row r="304" spans="1:3" x14ac:dyDescent="0.25">
      <c r="A304">
        <v>22917</v>
      </c>
      <c r="B304" s="187">
        <v>23629</v>
      </c>
      <c r="C304" s="187">
        <v>6189.03</v>
      </c>
    </row>
    <row r="305" spans="1:3" x14ac:dyDescent="0.25">
      <c r="A305">
        <v>22932</v>
      </c>
      <c r="B305" s="187">
        <v>0</v>
      </c>
      <c r="C305" s="187">
        <v>583.70000000000005</v>
      </c>
    </row>
    <row r="306" spans="1:3" x14ac:dyDescent="0.25">
      <c r="A306">
        <v>22951</v>
      </c>
      <c r="B306" s="187">
        <v>0</v>
      </c>
      <c r="C306" s="187">
        <v>9515.82</v>
      </c>
    </row>
    <row r="307" spans="1:3" x14ac:dyDescent="0.25">
      <c r="A307">
        <v>22952</v>
      </c>
      <c r="B307" s="187">
        <v>0</v>
      </c>
      <c r="C307" s="187">
        <v>2787.77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36A6-C75B-46A6-853B-CEC4D621647A}">
  <dimension ref="A1:S501"/>
  <sheetViews>
    <sheetView workbookViewId="0">
      <selection activeCell="A2" sqref="A2:S501"/>
    </sheetView>
  </sheetViews>
  <sheetFormatPr defaultRowHeight="15.75" x14ac:dyDescent="0.25"/>
  <sheetData>
    <row r="1" spans="1:19" x14ac:dyDescent="0.25">
      <c r="A1" t="s">
        <v>2695</v>
      </c>
      <c r="B1" t="s">
        <v>2783</v>
      </c>
      <c r="C1" s="6" t="s">
        <v>2784</v>
      </c>
      <c r="D1" t="s">
        <v>2785</v>
      </c>
      <c r="E1" t="s">
        <v>2786</v>
      </c>
      <c r="F1" t="s">
        <v>2787</v>
      </c>
      <c r="G1" t="s">
        <v>2788</v>
      </c>
      <c r="H1" t="s">
        <v>2789</v>
      </c>
      <c r="I1" t="s">
        <v>2790</v>
      </c>
      <c r="J1" t="s">
        <v>2791</v>
      </c>
      <c r="K1" t="s">
        <v>2792</v>
      </c>
      <c r="L1" t="s">
        <v>2793</v>
      </c>
      <c r="M1" t="s">
        <v>2794</v>
      </c>
      <c r="N1" t="s">
        <v>2795</v>
      </c>
      <c r="O1" t="s">
        <v>2796</v>
      </c>
      <c r="P1" t="s">
        <v>2797</v>
      </c>
      <c r="Q1" t="s">
        <v>2798</v>
      </c>
      <c r="R1" t="s">
        <v>2799</v>
      </c>
      <c r="S1" t="s">
        <v>2800</v>
      </c>
    </row>
    <row r="2" spans="1:19" x14ac:dyDescent="0.25">
      <c r="A2">
        <v>20016</v>
      </c>
      <c r="B2">
        <v>25634</v>
      </c>
      <c r="C2">
        <v>84.11</v>
      </c>
      <c r="D2" s="220" t="s">
        <v>2995</v>
      </c>
      <c r="E2">
        <v>8615.08</v>
      </c>
      <c r="F2" s="220" t="s">
        <v>2996</v>
      </c>
      <c r="G2" s="220" t="s">
        <v>2997</v>
      </c>
      <c r="H2">
        <v>54188</v>
      </c>
      <c r="I2">
        <v>269.75</v>
      </c>
      <c r="J2" s="220" t="s">
        <v>2998</v>
      </c>
      <c r="K2">
        <v>24051.24</v>
      </c>
      <c r="L2" s="220">
        <v>89.161223354958295</v>
      </c>
      <c r="M2" s="220" t="s">
        <v>2999</v>
      </c>
      <c r="N2">
        <v>55368.5</v>
      </c>
      <c r="O2">
        <v>400.22</v>
      </c>
      <c r="P2" s="220" t="s">
        <v>3000</v>
      </c>
      <c r="Q2">
        <v>26590.12</v>
      </c>
      <c r="R2" s="220">
        <v>66.438758682724497</v>
      </c>
      <c r="S2" s="220" t="s">
        <v>3001</v>
      </c>
    </row>
    <row r="3" spans="1:19" x14ac:dyDescent="0.25">
      <c r="A3">
        <v>20017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-321277.46999999997</v>
      </c>
      <c r="O3">
        <v>0</v>
      </c>
      <c r="P3" s="220">
        <v>0</v>
      </c>
      <c r="Q3">
        <v>0</v>
      </c>
      <c r="R3" s="220">
        <v>0</v>
      </c>
      <c r="S3" s="220">
        <v>0</v>
      </c>
    </row>
    <row r="4" spans="1:19" x14ac:dyDescent="0.25">
      <c r="A4">
        <v>20021</v>
      </c>
      <c r="B4">
        <v>0</v>
      </c>
      <c r="C4">
        <v>0</v>
      </c>
      <c r="D4">
        <v>0</v>
      </c>
      <c r="E4">
        <v>0</v>
      </c>
      <c r="F4" s="220">
        <v>0</v>
      </c>
      <c r="G4">
        <v>0</v>
      </c>
      <c r="H4">
        <v>0</v>
      </c>
      <c r="I4">
        <v>0</v>
      </c>
      <c r="J4">
        <v>0</v>
      </c>
      <c r="K4">
        <v>0</v>
      </c>
      <c r="L4" s="220">
        <v>0</v>
      </c>
      <c r="M4">
        <v>0</v>
      </c>
      <c r="N4">
        <v>-116936.26</v>
      </c>
      <c r="O4">
        <v>193.78</v>
      </c>
      <c r="P4" s="220">
        <v>-603.44854990194995</v>
      </c>
      <c r="Q4">
        <v>9148.6200000000008</v>
      </c>
      <c r="R4" s="220" t="s">
        <v>3002</v>
      </c>
      <c r="S4">
        <v>-7.8235955211839306E-2</v>
      </c>
    </row>
    <row r="5" spans="1:19" x14ac:dyDescent="0.25">
      <c r="A5">
        <v>20025</v>
      </c>
      <c r="B5">
        <v>33464.959999999999</v>
      </c>
      <c r="C5">
        <v>601.88</v>
      </c>
      <c r="D5" t="s">
        <v>3003</v>
      </c>
      <c r="E5">
        <v>21498.52</v>
      </c>
      <c r="F5" t="s">
        <v>3004</v>
      </c>
      <c r="G5" t="s">
        <v>3005</v>
      </c>
      <c r="H5">
        <v>110295.34</v>
      </c>
      <c r="I5">
        <v>1347.18</v>
      </c>
      <c r="J5" t="s">
        <v>3006</v>
      </c>
      <c r="K5">
        <v>48768.53</v>
      </c>
      <c r="L5" t="s">
        <v>3007</v>
      </c>
      <c r="M5" t="s">
        <v>3008</v>
      </c>
      <c r="N5">
        <v>138533.76999999999</v>
      </c>
      <c r="O5">
        <v>1564.77</v>
      </c>
      <c r="P5" s="220" t="s">
        <v>3009</v>
      </c>
      <c r="Q5">
        <v>56541.3</v>
      </c>
      <c r="R5" s="220" t="s">
        <v>3010</v>
      </c>
      <c r="S5" s="220" t="s">
        <v>3011</v>
      </c>
    </row>
    <row r="6" spans="1:19" x14ac:dyDescent="0.25">
      <c r="A6">
        <v>20040</v>
      </c>
      <c r="B6">
        <v>9821.8799999999992</v>
      </c>
      <c r="C6">
        <v>19.760000000000002</v>
      </c>
      <c r="D6" t="s">
        <v>3012</v>
      </c>
      <c r="E6">
        <v>538.71</v>
      </c>
      <c r="F6" t="s">
        <v>3013</v>
      </c>
      <c r="G6" t="s">
        <v>3014</v>
      </c>
      <c r="H6">
        <v>12798.21</v>
      </c>
      <c r="I6">
        <v>165.66</v>
      </c>
      <c r="J6" t="s">
        <v>3015</v>
      </c>
      <c r="K6">
        <v>5249.55</v>
      </c>
      <c r="L6" t="s">
        <v>3016</v>
      </c>
      <c r="M6" t="s">
        <v>3017</v>
      </c>
      <c r="N6">
        <v>38893.29</v>
      </c>
      <c r="O6">
        <v>585.73</v>
      </c>
      <c r="P6" s="220" t="s">
        <v>3018</v>
      </c>
      <c r="Q6">
        <v>18639.259999999998</v>
      </c>
      <c r="R6" s="220" t="s">
        <v>3019</v>
      </c>
      <c r="S6" s="220" t="s">
        <v>3020</v>
      </c>
    </row>
    <row r="7" spans="1:19" x14ac:dyDescent="0.25">
      <c r="A7">
        <v>20042</v>
      </c>
      <c r="B7">
        <v>0</v>
      </c>
      <c r="C7">
        <v>0</v>
      </c>
      <c r="D7" s="220">
        <v>0</v>
      </c>
      <c r="E7">
        <v>0</v>
      </c>
      <c r="F7" s="220">
        <v>0</v>
      </c>
      <c r="G7">
        <v>0</v>
      </c>
      <c r="H7">
        <v>0</v>
      </c>
      <c r="I7">
        <v>0</v>
      </c>
      <c r="J7" s="220">
        <v>0</v>
      </c>
      <c r="K7">
        <v>0</v>
      </c>
      <c r="L7" s="220">
        <v>0</v>
      </c>
      <c r="M7">
        <v>0</v>
      </c>
      <c r="N7">
        <v>-766.95</v>
      </c>
      <c r="O7">
        <v>0</v>
      </c>
      <c r="P7" s="220">
        <v>0</v>
      </c>
      <c r="Q7">
        <v>0</v>
      </c>
      <c r="R7" s="220">
        <v>0</v>
      </c>
      <c r="S7" s="220">
        <v>0</v>
      </c>
    </row>
    <row r="8" spans="1:19" x14ac:dyDescent="0.25">
      <c r="A8">
        <v>20045</v>
      </c>
      <c r="B8">
        <v>0</v>
      </c>
      <c r="C8">
        <v>0</v>
      </c>
      <c r="D8" s="220">
        <v>0</v>
      </c>
      <c r="E8">
        <v>0</v>
      </c>
      <c r="F8" s="220">
        <v>0</v>
      </c>
      <c r="G8" s="220">
        <v>0</v>
      </c>
      <c r="H8">
        <v>0</v>
      </c>
      <c r="I8">
        <v>0</v>
      </c>
      <c r="J8" s="220">
        <v>0</v>
      </c>
      <c r="K8">
        <v>0</v>
      </c>
      <c r="L8" s="220">
        <v>0</v>
      </c>
      <c r="M8" s="220">
        <v>0</v>
      </c>
      <c r="N8">
        <v>-97777.93</v>
      </c>
      <c r="O8">
        <v>38.58</v>
      </c>
      <c r="P8" s="220">
        <v>-2534.4201658890602</v>
      </c>
      <c r="Q8">
        <v>6543.16</v>
      </c>
      <c r="R8" s="220" t="s">
        <v>3021</v>
      </c>
      <c r="S8" s="220">
        <v>-6.6918577638123394E-2</v>
      </c>
    </row>
    <row r="9" spans="1:19" x14ac:dyDescent="0.25">
      <c r="A9">
        <v>20047</v>
      </c>
      <c r="B9">
        <v>0</v>
      </c>
      <c r="C9">
        <v>0</v>
      </c>
      <c r="D9">
        <v>0</v>
      </c>
      <c r="E9">
        <v>0</v>
      </c>
      <c r="F9" s="220">
        <v>0</v>
      </c>
      <c r="G9" s="220">
        <v>0</v>
      </c>
      <c r="H9">
        <v>0</v>
      </c>
      <c r="I9">
        <v>0</v>
      </c>
      <c r="J9">
        <v>0</v>
      </c>
      <c r="K9">
        <v>0</v>
      </c>
      <c r="L9" s="220">
        <v>0</v>
      </c>
      <c r="M9" s="220">
        <v>0</v>
      </c>
      <c r="N9">
        <v>3159.33</v>
      </c>
      <c r="O9">
        <v>0</v>
      </c>
      <c r="P9" s="220">
        <v>0</v>
      </c>
      <c r="Q9">
        <v>0</v>
      </c>
      <c r="R9" s="220">
        <v>0</v>
      </c>
      <c r="S9" s="220">
        <v>0</v>
      </c>
    </row>
    <row r="10" spans="1:19" x14ac:dyDescent="0.25">
      <c r="A10">
        <v>20049</v>
      </c>
      <c r="B10">
        <v>0</v>
      </c>
      <c r="C10">
        <v>80</v>
      </c>
      <c r="D10">
        <v>0</v>
      </c>
      <c r="E10">
        <v>4796.0600000000004</v>
      </c>
      <c r="F10">
        <v>59.950749999999999</v>
      </c>
      <c r="G10">
        <v>0</v>
      </c>
      <c r="H10">
        <v>28658</v>
      </c>
      <c r="I10">
        <v>124.99</v>
      </c>
      <c r="J10">
        <v>229.28234258740699</v>
      </c>
      <c r="K10">
        <v>4796.0600000000004</v>
      </c>
      <c r="L10" t="s">
        <v>3022</v>
      </c>
      <c r="M10" t="s">
        <v>3023</v>
      </c>
      <c r="N10">
        <v>53261</v>
      </c>
      <c r="O10">
        <v>261.73</v>
      </c>
      <c r="P10" s="220" t="s">
        <v>3024</v>
      </c>
      <c r="Q10">
        <v>-5755.18</v>
      </c>
      <c r="R10">
        <v>-21.988996293890601</v>
      </c>
      <c r="S10" s="220">
        <v>-0.10805617618895599</v>
      </c>
    </row>
    <row r="11" spans="1:19" x14ac:dyDescent="0.25">
      <c r="A11">
        <v>20053</v>
      </c>
      <c r="B11">
        <v>437.57</v>
      </c>
      <c r="C11">
        <v>29.17</v>
      </c>
      <c r="D11" s="220" t="s">
        <v>3025</v>
      </c>
      <c r="E11">
        <v>871.78</v>
      </c>
      <c r="F11" s="220" t="s">
        <v>3026</v>
      </c>
      <c r="G11" t="s">
        <v>3027</v>
      </c>
      <c r="H11">
        <v>2207.1</v>
      </c>
      <c r="I11">
        <v>55.86</v>
      </c>
      <c r="J11" s="220" t="s">
        <v>3028</v>
      </c>
      <c r="K11">
        <v>1707.24</v>
      </c>
      <c r="L11" s="220" t="s">
        <v>3029</v>
      </c>
      <c r="M11" t="s">
        <v>3030</v>
      </c>
      <c r="N11">
        <v>6618.3</v>
      </c>
      <c r="O11">
        <v>189.46</v>
      </c>
      <c r="P11" s="220">
        <v>34.932439565079697</v>
      </c>
      <c r="Q11">
        <v>5753.32</v>
      </c>
      <c r="R11" s="220" t="s">
        <v>3031</v>
      </c>
      <c r="S11" t="s">
        <v>3032</v>
      </c>
    </row>
    <row r="12" spans="1:19" x14ac:dyDescent="0.25">
      <c r="A12">
        <v>20055</v>
      </c>
      <c r="B12">
        <v>0</v>
      </c>
      <c r="C12">
        <v>0</v>
      </c>
      <c r="D12" s="220">
        <v>0</v>
      </c>
      <c r="E12">
        <v>0</v>
      </c>
      <c r="F12" s="220">
        <v>0</v>
      </c>
      <c r="G12" s="220">
        <v>0</v>
      </c>
      <c r="H12">
        <v>0</v>
      </c>
      <c r="I12">
        <v>0</v>
      </c>
      <c r="J12" s="220">
        <v>0</v>
      </c>
      <c r="K12">
        <v>0</v>
      </c>
      <c r="L12" s="220">
        <v>0</v>
      </c>
      <c r="M12" s="220">
        <v>0</v>
      </c>
      <c r="N12">
        <v>-863.17</v>
      </c>
      <c r="O12">
        <v>0</v>
      </c>
      <c r="P12" s="220">
        <v>0</v>
      </c>
      <c r="Q12">
        <v>0</v>
      </c>
      <c r="R12" s="220">
        <v>0</v>
      </c>
      <c r="S12" s="220">
        <v>0</v>
      </c>
    </row>
    <row r="13" spans="1:19" x14ac:dyDescent="0.25">
      <c r="A13">
        <v>20059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-1116.95</v>
      </c>
      <c r="O13">
        <v>0</v>
      </c>
      <c r="P13">
        <v>0</v>
      </c>
      <c r="Q13">
        <v>0</v>
      </c>
      <c r="R13" s="220">
        <v>0</v>
      </c>
      <c r="S13">
        <v>0</v>
      </c>
    </row>
    <row r="14" spans="1:19" x14ac:dyDescent="0.25">
      <c r="A14">
        <v>20060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-12848.08</v>
      </c>
      <c r="O14">
        <v>0</v>
      </c>
      <c r="P14" s="220">
        <v>0</v>
      </c>
      <c r="Q14">
        <v>0</v>
      </c>
      <c r="R14" s="220">
        <v>0</v>
      </c>
      <c r="S14" s="220">
        <v>0</v>
      </c>
    </row>
    <row r="15" spans="1:19" x14ac:dyDescent="0.25">
      <c r="A15">
        <v>20064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-8012.89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20069</v>
      </c>
      <c r="B16">
        <v>181772.02</v>
      </c>
      <c r="C16">
        <v>1857.58</v>
      </c>
      <c r="D16" t="s">
        <v>3033</v>
      </c>
      <c r="E16">
        <v>58855.76</v>
      </c>
      <c r="F16" t="s">
        <v>3034</v>
      </c>
      <c r="G16" t="s">
        <v>3035</v>
      </c>
      <c r="H16">
        <v>675919.19</v>
      </c>
      <c r="I16">
        <v>4651.88</v>
      </c>
      <c r="J16" t="s">
        <v>3036</v>
      </c>
      <c r="K16">
        <v>150399.4</v>
      </c>
      <c r="L16" t="s">
        <v>3037</v>
      </c>
      <c r="M16" t="s">
        <v>3038</v>
      </c>
      <c r="N16">
        <v>691401.37</v>
      </c>
      <c r="O16">
        <v>5055.6099999999997</v>
      </c>
      <c r="P16" t="s">
        <v>3039</v>
      </c>
      <c r="Q16">
        <v>166642.4</v>
      </c>
      <c r="R16" s="220" t="s">
        <v>3040</v>
      </c>
      <c r="S16" s="220" t="s">
        <v>3041</v>
      </c>
    </row>
    <row r="17" spans="1:19" x14ac:dyDescent="0.25">
      <c r="A17">
        <v>20073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-4384.76</v>
      </c>
      <c r="O17">
        <v>0</v>
      </c>
      <c r="P17" s="220">
        <v>0</v>
      </c>
      <c r="Q17">
        <v>0</v>
      </c>
      <c r="R17" s="220">
        <v>0</v>
      </c>
      <c r="S17" s="220">
        <v>0</v>
      </c>
    </row>
    <row r="18" spans="1:19" x14ac:dyDescent="0.25">
      <c r="A18">
        <v>20077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-237579.33</v>
      </c>
      <c r="O18">
        <v>0</v>
      </c>
      <c r="P18" s="220">
        <v>0</v>
      </c>
      <c r="Q18">
        <v>0</v>
      </c>
      <c r="R18" s="220">
        <v>0</v>
      </c>
      <c r="S18" s="220">
        <v>0</v>
      </c>
    </row>
    <row r="19" spans="1:19" x14ac:dyDescent="0.25">
      <c r="A19">
        <v>20080</v>
      </c>
      <c r="B19">
        <v>0</v>
      </c>
      <c r="C19">
        <v>0</v>
      </c>
      <c r="D19" s="220">
        <v>0</v>
      </c>
      <c r="E19">
        <v>0</v>
      </c>
      <c r="F19" s="220">
        <v>0</v>
      </c>
      <c r="G19" s="220">
        <v>0</v>
      </c>
      <c r="H19">
        <v>0</v>
      </c>
      <c r="I19">
        <v>0</v>
      </c>
      <c r="J19" s="220">
        <v>0</v>
      </c>
      <c r="K19">
        <v>0</v>
      </c>
      <c r="L19" s="220">
        <v>0</v>
      </c>
      <c r="M19" s="220">
        <v>0</v>
      </c>
      <c r="N19">
        <v>-100362.2</v>
      </c>
      <c r="O19">
        <v>0</v>
      </c>
      <c r="P19" s="220">
        <v>0</v>
      </c>
      <c r="Q19">
        <v>0</v>
      </c>
      <c r="R19" s="220">
        <v>0</v>
      </c>
      <c r="S19" s="220">
        <v>0</v>
      </c>
    </row>
    <row r="20" spans="1:19" x14ac:dyDescent="0.25">
      <c r="A20">
        <v>20081</v>
      </c>
      <c r="B20">
        <v>11042.05</v>
      </c>
      <c r="C20">
        <v>220.52</v>
      </c>
      <c r="D20" t="s">
        <v>3042</v>
      </c>
      <c r="E20">
        <v>6618.53</v>
      </c>
      <c r="F20" t="s">
        <v>3043</v>
      </c>
      <c r="G20" t="s">
        <v>3044</v>
      </c>
      <c r="H20">
        <v>11042.05</v>
      </c>
      <c r="I20">
        <v>220.52</v>
      </c>
      <c r="J20" t="s">
        <v>3042</v>
      </c>
      <c r="K20">
        <v>6618.53</v>
      </c>
      <c r="L20" t="s">
        <v>3043</v>
      </c>
      <c r="M20" t="s">
        <v>3044</v>
      </c>
      <c r="N20">
        <v>11042.05</v>
      </c>
      <c r="O20">
        <v>220.52</v>
      </c>
      <c r="P20" t="s">
        <v>3042</v>
      </c>
      <c r="Q20">
        <v>6618.53</v>
      </c>
      <c r="R20" t="s">
        <v>3043</v>
      </c>
      <c r="S20" t="s">
        <v>3044</v>
      </c>
    </row>
    <row r="21" spans="1:19" x14ac:dyDescent="0.25">
      <c r="A21">
        <v>20082</v>
      </c>
      <c r="B21">
        <v>9839.7000000000007</v>
      </c>
      <c r="C21">
        <v>70.61</v>
      </c>
      <c r="D21" t="s">
        <v>3045</v>
      </c>
      <c r="E21">
        <v>2283.2800000000002</v>
      </c>
      <c r="F21" t="s">
        <v>3046</v>
      </c>
      <c r="G21" t="s">
        <v>3047</v>
      </c>
      <c r="H21">
        <v>9839.7000000000007</v>
      </c>
      <c r="I21">
        <v>18.54</v>
      </c>
      <c r="J21" t="s">
        <v>3048</v>
      </c>
      <c r="K21">
        <v>4281.3500000000004</v>
      </c>
      <c r="L21" t="s">
        <v>3049</v>
      </c>
      <c r="M21" t="s">
        <v>3050</v>
      </c>
      <c r="N21">
        <v>24552.6</v>
      </c>
      <c r="O21">
        <v>4867.37</v>
      </c>
      <c r="P21" s="220" t="s">
        <v>3051</v>
      </c>
      <c r="Q21">
        <v>113532.86</v>
      </c>
      <c r="R21" s="220" t="s">
        <v>3052</v>
      </c>
      <c r="S21" s="220" t="s">
        <v>3053</v>
      </c>
    </row>
    <row r="22" spans="1:19" x14ac:dyDescent="0.25">
      <c r="A22">
        <v>20083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-134732.62</v>
      </c>
      <c r="O22">
        <v>0</v>
      </c>
      <c r="P22">
        <v>0</v>
      </c>
      <c r="Q22">
        <v>0</v>
      </c>
      <c r="R22" s="220">
        <v>0</v>
      </c>
      <c r="S22">
        <v>0</v>
      </c>
    </row>
    <row r="23" spans="1:19" x14ac:dyDescent="0.25">
      <c r="A23">
        <v>20086</v>
      </c>
      <c r="B23">
        <v>4023.32</v>
      </c>
      <c r="C23">
        <v>143.72</v>
      </c>
      <c r="D23" t="s">
        <v>3054</v>
      </c>
      <c r="E23">
        <v>4316.59</v>
      </c>
      <c r="F23" t="s">
        <v>3055</v>
      </c>
      <c r="G23" t="s">
        <v>3056</v>
      </c>
      <c r="H23">
        <v>9806.2999999999993</v>
      </c>
      <c r="I23">
        <v>318.47000000000003</v>
      </c>
      <c r="J23" t="s">
        <v>3057</v>
      </c>
      <c r="K23">
        <v>9081.76</v>
      </c>
      <c r="L23" t="s">
        <v>3058</v>
      </c>
      <c r="M23">
        <v>0.92611484453871495</v>
      </c>
      <c r="N23">
        <v>57423.41</v>
      </c>
      <c r="O23">
        <v>862.26</v>
      </c>
      <c r="P23" t="s">
        <v>3059</v>
      </c>
      <c r="Q23">
        <v>27842.880000000001</v>
      </c>
      <c r="R23" s="220" t="s">
        <v>3060</v>
      </c>
      <c r="S23" s="220" t="s">
        <v>3061</v>
      </c>
    </row>
    <row r="24" spans="1:19" x14ac:dyDescent="0.25">
      <c r="A24">
        <v>20087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3555.68</v>
      </c>
      <c r="I24">
        <v>0</v>
      </c>
      <c r="J24">
        <v>0</v>
      </c>
      <c r="K24">
        <v>0</v>
      </c>
      <c r="L24">
        <v>0</v>
      </c>
      <c r="M24">
        <v>0</v>
      </c>
      <c r="N24">
        <v>44454.45</v>
      </c>
      <c r="O24">
        <v>701.48</v>
      </c>
      <c r="P24" s="220" t="s">
        <v>3062</v>
      </c>
      <c r="Q24">
        <v>10902.2</v>
      </c>
      <c r="R24" s="220" t="s">
        <v>3063</v>
      </c>
      <c r="S24" s="220" t="s">
        <v>3064</v>
      </c>
    </row>
    <row r="25" spans="1:19" x14ac:dyDescent="0.25">
      <c r="A25">
        <v>20088</v>
      </c>
      <c r="B25">
        <v>0</v>
      </c>
      <c r="C25">
        <v>16.62</v>
      </c>
      <c r="D25">
        <v>0</v>
      </c>
      <c r="E25">
        <v>478.32</v>
      </c>
      <c r="F25" t="s">
        <v>3065</v>
      </c>
      <c r="G25">
        <v>0</v>
      </c>
      <c r="H25">
        <v>45</v>
      </c>
      <c r="I25">
        <v>36.119999999999997</v>
      </c>
      <c r="J25" t="s">
        <v>3066</v>
      </c>
      <c r="K25">
        <v>1039.53</v>
      </c>
      <c r="L25" t="s">
        <v>3067</v>
      </c>
      <c r="M25" t="s">
        <v>3068</v>
      </c>
      <c r="N25">
        <v>960</v>
      </c>
      <c r="O25">
        <v>117.76</v>
      </c>
      <c r="P25" t="s">
        <v>3069</v>
      </c>
      <c r="Q25">
        <v>3619.23</v>
      </c>
      <c r="R25" t="s">
        <v>3070</v>
      </c>
      <c r="S25">
        <v>3.7700312500000002</v>
      </c>
    </row>
    <row r="26" spans="1:19" x14ac:dyDescent="0.25">
      <c r="A26">
        <v>20091</v>
      </c>
      <c r="B26">
        <v>-2444.75</v>
      </c>
      <c r="C26">
        <v>0</v>
      </c>
      <c r="D26">
        <v>0</v>
      </c>
      <c r="E26">
        <v>0</v>
      </c>
      <c r="F26">
        <v>0</v>
      </c>
      <c r="G26">
        <v>0</v>
      </c>
      <c r="H26">
        <v>-2444.75</v>
      </c>
      <c r="I26">
        <v>0</v>
      </c>
      <c r="J26">
        <v>0</v>
      </c>
      <c r="K26">
        <v>0</v>
      </c>
      <c r="L26">
        <v>0</v>
      </c>
      <c r="M26">
        <v>0</v>
      </c>
      <c r="N26">
        <v>-3994.75</v>
      </c>
      <c r="O26">
        <v>0</v>
      </c>
      <c r="P26" s="220">
        <v>0</v>
      </c>
      <c r="Q26">
        <v>0</v>
      </c>
      <c r="R26" s="220">
        <v>0</v>
      </c>
      <c r="S26" s="220">
        <v>0</v>
      </c>
    </row>
    <row r="27" spans="1:19" x14ac:dyDescent="0.25">
      <c r="A27">
        <v>20092</v>
      </c>
      <c r="B27">
        <v>0</v>
      </c>
      <c r="C27">
        <v>0</v>
      </c>
      <c r="D27" s="220">
        <v>0</v>
      </c>
      <c r="E27">
        <v>0</v>
      </c>
      <c r="F27" s="220">
        <v>0</v>
      </c>
      <c r="G27" s="220">
        <v>0</v>
      </c>
      <c r="H27">
        <v>0</v>
      </c>
      <c r="I27">
        <v>0</v>
      </c>
      <c r="J27" s="220">
        <v>0</v>
      </c>
      <c r="K27">
        <v>0</v>
      </c>
      <c r="L27" s="220">
        <v>0</v>
      </c>
      <c r="M27" s="220">
        <v>0</v>
      </c>
      <c r="N27">
        <v>-21167.8</v>
      </c>
      <c r="O27">
        <v>0</v>
      </c>
      <c r="P27" s="220">
        <v>0</v>
      </c>
      <c r="Q27">
        <v>0</v>
      </c>
      <c r="R27" s="220">
        <v>0</v>
      </c>
      <c r="S27" s="220">
        <v>0</v>
      </c>
    </row>
    <row r="28" spans="1:19" x14ac:dyDescent="0.25">
      <c r="A28">
        <v>20097</v>
      </c>
      <c r="B28">
        <v>0</v>
      </c>
      <c r="C28">
        <v>0</v>
      </c>
      <c r="D28" s="220">
        <v>0</v>
      </c>
      <c r="E28">
        <v>0</v>
      </c>
      <c r="F28" s="220">
        <v>0</v>
      </c>
      <c r="G28" s="220">
        <v>0</v>
      </c>
      <c r="H28">
        <v>0</v>
      </c>
      <c r="I28">
        <v>0</v>
      </c>
      <c r="J28" s="220">
        <v>0</v>
      </c>
      <c r="K28">
        <v>0</v>
      </c>
      <c r="L28" s="220">
        <v>0</v>
      </c>
      <c r="M28" s="220">
        <v>0</v>
      </c>
      <c r="N28">
        <v>-119536.26</v>
      </c>
      <c r="O28">
        <v>112.52</v>
      </c>
      <c r="P28" s="220">
        <v>-1062.35567010309</v>
      </c>
      <c r="Q28">
        <v>4040.88</v>
      </c>
      <c r="R28" s="220" t="s">
        <v>3071</v>
      </c>
      <c r="S28" s="220">
        <v>-3.3804638023642301E-2</v>
      </c>
    </row>
    <row r="29" spans="1:19" x14ac:dyDescent="0.25">
      <c r="A29">
        <v>20100</v>
      </c>
      <c r="B29">
        <v>94.38</v>
      </c>
      <c r="C29">
        <v>21.41</v>
      </c>
      <c r="D29" t="s">
        <v>3072</v>
      </c>
      <c r="E29">
        <v>541.71</v>
      </c>
      <c r="F29" t="s">
        <v>3073</v>
      </c>
      <c r="G29" t="s">
        <v>3074</v>
      </c>
      <c r="H29">
        <v>7678.28</v>
      </c>
      <c r="I29">
        <v>158.9</v>
      </c>
      <c r="J29">
        <v>48.3214600377596</v>
      </c>
      <c r="K29">
        <v>4421.07</v>
      </c>
      <c r="L29" t="s">
        <v>3075</v>
      </c>
      <c r="M29" t="s">
        <v>3076</v>
      </c>
      <c r="N29">
        <v>20708.169999999998</v>
      </c>
      <c r="O29">
        <v>409.41</v>
      </c>
      <c r="P29" s="220" t="s">
        <v>3077</v>
      </c>
      <c r="Q29">
        <v>12553.23</v>
      </c>
      <c r="R29" s="220" t="s">
        <v>3078</v>
      </c>
      <c r="S29" s="220" t="s">
        <v>3079</v>
      </c>
    </row>
    <row r="30" spans="1:19" x14ac:dyDescent="0.25">
      <c r="A30">
        <v>20101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-65552.95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20106</v>
      </c>
      <c r="B31">
        <v>0</v>
      </c>
      <c r="C31">
        <v>0</v>
      </c>
      <c r="D31">
        <v>0</v>
      </c>
      <c r="E31">
        <v>0</v>
      </c>
      <c r="F31" s="220">
        <v>0</v>
      </c>
      <c r="G31" s="220">
        <v>0</v>
      </c>
      <c r="H31">
        <v>303</v>
      </c>
      <c r="I31">
        <v>8.94</v>
      </c>
      <c r="J31" t="s">
        <v>3080</v>
      </c>
      <c r="K31">
        <v>494.26</v>
      </c>
      <c r="L31" s="220" t="s">
        <v>3081</v>
      </c>
      <c r="M31" s="220" t="s">
        <v>3082</v>
      </c>
      <c r="N31">
        <v>26201.08</v>
      </c>
      <c r="O31">
        <v>112.54</v>
      </c>
      <c r="P31" s="220" t="s">
        <v>3083</v>
      </c>
      <c r="Q31">
        <v>7260.49</v>
      </c>
      <c r="R31" s="220" t="s">
        <v>3084</v>
      </c>
      <c r="S31" s="220" t="s">
        <v>3085</v>
      </c>
    </row>
    <row r="32" spans="1:19" x14ac:dyDescent="0.25">
      <c r="A32">
        <v>20109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-18200.7</v>
      </c>
      <c r="O32">
        <v>15.28</v>
      </c>
      <c r="P32" s="220">
        <v>-1191.14528795811</v>
      </c>
      <c r="Q32">
        <v>885.54</v>
      </c>
      <c r="R32" s="220" t="s">
        <v>3086</v>
      </c>
      <c r="S32" s="220">
        <v>-4.8654172641711499E-2</v>
      </c>
    </row>
    <row r="33" spans="1:19" x14ac:dyDescent="0.25">
      <c r="A33">
        <v>20111</v>
      </c>
      <c r="B33">
        <v>0</v>
      </c>
      <c r="C33">
        <v>0</v>
      </c>
      <c r="D33">
        <v>0</v>
      </c>
      <c r="E33">
        <v>0</v>
      </c>
      <c r="F33" s="220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220">
        <v>0</v>
      </c>
      <c r="M33">
        <v>0</v>
      </c>
      <c r="N33">
        <v>-96954.05</v>
      </c>
      <c r="O33">
        <v>14.65</v>
      </c>
      <c r="P33" s="220">
        <v>-6618.0238907849798</v>
      </c>
      <c r="Q33">
        <v>1868.02</v>
      </c>
      <c r="R33" s="220" t="s">
        <v>3087</v>
      </c>
      <c r="S33" s="220">
        <v>-1.92670651715941E-2</v>
      </c>
    </row>
    <row r="34" spans="1:19" x14ac:dyDescent="0.25">
      <c r="A34">
        <v>20113</v>
      </c>
      <c r="B34">
        <v>0</v>
      </c>
      <c r="C34">
        <v>0</v>
      </c>
      <c r="D34" s="220">
        <v>0</v>
      </c>
      <c r="E34">
        <v>0</v>
      </c>
      <c r="F34" s="220">
        <v>0</v>
      </c>
      <c r="G34" s="220">
        <v>0</v>
      </c>
      <c r="H34">
        <v>-19218.78</v>
      </c>
      <c r="I34">
        <v>0</v>
      </c>
      <c r="J34" s="220">
        <v>0</v>
      </c>
      <c r="K34">
        <v>0</v>
      </c>
      <c r="L34" s="220">
        <v>0</v>
      </c>
      <c r="M34" s="220">
        <v>0</v>
      </c>
      <c r="N34">
        <v>-19218.78</v>
      </c>
      <c r="O34">
        <v>0</v>
      </c>
      <c r="P34" s="220">
        <v>0</v>
      </c>
      <c r="Q34">
        <v>0</v>
      </c>
      <c r="R34" s="220">
        <v>0</v>
      </c>
      <c r="S34" s="220">
        <v>0</v>
      </c>
    </row>
    <row r="35" spans="1:19" x14ac:dyDescent="0.25">
      <c r="A35">
        <v>20115</v>
      </c>
      <c r="B35">
        <v>0</v>
      </c>
      <c r="C35">
        <v>0</v>
      </c>
      <c r="D35">
        <v>0</v>
      </c>
      <c r="E35">
        <v>0</v>
      </c>
      <c r="F35" s="220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220">
        <v>0</v>
      </c>
      <c r="M35">
        <v>0</v>
      </c>
      <c r="N35">
        <v>-7790.21</v>
      </c>
      <c r="O35">
        <v>0</v>
      </c>
      <c r="P35" s="220">
        <v>0</v>
      </c>
      <c r="Q35">
        <v>0</v>
      </c>
      <c r="R35" s="220">
        <v>0</v>
      </c>
      <c r="S35" s="220">
        <v>0</v>
      </c>
    </row>
    <row r="36" spans="1:19" x14ac:dyDescent="0.25">
      <c r="A36">
        <v>20116</v>
      </c>
      <c r="B36">
        <v>0</v>
      </c>
      <c r="C36">
        <v>0</v>
      </c>
      <c r="D36" s="220">
        <v>0</v>
      </c>
      <c r="E36">
        <v>0</v>
      </c>
      <c r="F36" s="220">
        <v>0</v>
      </c>
      <c r="G36">
        <v>0</v>
      </c>
      <c r="H36">
        <v>0</v>
      </c>
      <c r="I36">
        <v>0</v>
      </c>
      <c r="J36" s="220">
        <v>0</v>
      </c>
      <c r="K36">
        <v>0</v>
      </c>
      <c r="L36" s="220">
        <v>0</v>
      </c>
      <c r="M36">
        <v>0</v>
      </c>
      <c r="N36">
        <v>3668.4</v>
      </c>
      <c r="O36">
        <v>71.87</v>
      </c>
      <c r="P36" t="s">
        <v>3088</v>
      </c>
      <c r="Q36">
        <v>1996.06</v>
      </c>
      <c r="R36" s="220" t="s">
        <v>3089</v>
      </c>
      <c r="S36" s="220" t="s">
        <v>3090</v>
      </c>
    </row>
    <row r="37" spans="1:19" x14ac:dyDescent="0.25">
      <c r="A37">
        <v>20120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-14621.25</v>
      </c>
      <c r="O37">
        <v>92.63</v>
      </c>
      <c r="P37">
        <v>-157.84573032494799</v>
      </c>
      <c r="Q37">
        <v>2640.1</v>
      </c>
      <c r="R37" t="s">
        <v>3091</v>
      </c>
      <c r="S37">
        <v>-0.18056595708301201</v>
      </c>
    </row>
    <row r="38" spans="1:19" x14ac:dyDescent="0.25">
      <c r="A38">
        <v>20121</v>
      </c>
      <c r="B38">
        <v>7398</v>
      </c>
      <c r="C38">
        <v>22.71</v>
      </c>
      <c r="D38" s="220" t="s">
        <v>3092</v>
      </c>
      <c r="E38">
        <v>785.55</v>
      </c>
      <c r="F38" s="220" t="s">
        <v>3093</v>
      </c>
      <c r="G38" s="220" t="s">
        <v>3094</v>
      </c>
      <c r="H38">
        <v>7398</v>
      </c>
      <c r="I38">
        <v>22.71</v>
      </c>
      <c r="J38" s="220" t="s">
        <v>3092</v>
      </c>
      <c r="K38">
        <v>785.55</v>
      </c>
      <c r="L38" s="220" t="s">
        <v>3093</v>
      </c>
      <c r="M38" s="220" t="s">
        <v>3094</v>
      </c>
      <c r="N38">
        <v>7398</v>
      </c>
      <c r="O38">
        <v>22.71</v>
      </c>
      <c r="P38" s="220" t="s">
        <v>3092</v>
      </c>
      <c r="Q38">
        <v>785.55</v>
      </c>
      <c r="R38" s="220" t="s">
        <v>3093</v>
      </c>
      <c r="S38" s="220" t="s">
        <v>3094</v>
      </c>
    </row>
    <row r="39" spans="1:19" x14ac:dyDescent="0.25">
      <c r="A39">
        <v>20124</v>
      </c>
      <c r="B39">
        <v>0</v>
      </c>
      <c r="C39">
        <v>0</v>
      </c>
      <c r="D39" s="220">
        <v>0</v>
      </c>
      <c r="E39">
        <v>0</v>
      </c>
      <c r="F39" s="220">
        <v>0</v>
      </c>
      <c r="G39" s="220">
        <v>0</v>
      </c>
      <c r="H39">
        <v>-39.11</v>
      </c>
      <c r="I39">
        <v>0</v>
      </c>
      <c r="J39" s="220">
        <v>0</v>
      </c>
      <c r="K39">
        <v>0</v>
      </c>
      <c r="L39" s="220">
        <v>0</v>
      </c>
      <c r="M39" s="220">
        <v>0</v>
      </c>
      <c r="N39">
        <v>0</v>
      </c>
      <c r="O39">
        <v>0</v>
      </c>
      <c r="P39" s="220">
        <v>0</v>
      </c>
      <c r="Q39">
        <v>0</v>
      </c>
      <c r="R39" s="220">
        <v>0</v>
      </c>
      <c r="S39" s="220">
        <v>0</v>
      </c>
    </row>
    <row r="40" spans="1:19" x14ac:dyDescent="0.25">
      <c r="A40">
        <v>20126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-134581.35999999999</v>
      </c>
      <c r="O40">
        <v>7.55</v>
      </c>
      <c r="P40" s="220">
        <v>-17825.345695364202</v>
      </c>
      <c r="Q40">
        <v>259.08</v>
      </c>
      <c r="R40" s="220" t="s">
        <v>3095</v>
      </c>
      <c r="S40">
        <v>-1.9250808581515299E-3</v>
      </c>
    </row>
    <row r="41" spans="1:19" x14ac:dyDescent="0.25">
      <c r="A41">
        <v>20127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-47353.69</v>
      </c>
      <c r="O41">
        <v>0</v>
      </c>
      <c r="P41" s="220">
        <v>0</v>
      </c>
      <c r="Q41">
        <v>0</v>
      </c>
      <c r="R41" s="220">
        <v>0</v>
      </c>
      <c r="S41" s="220">
        <v>0</v>
      </c>
    </row>
    <row r="42" spans="1:19" x14ac:dyDescent="0.25">
      <c r="A42">
        <v>20129</v>
      </c>
      <c r="B42">
        <v>0</v>
      </c>
      <c r="C42">
        <v>0</v>
      </c>
      <c r="D42" s="220">
        <v>0</v>
      </c>
      <c r="E42">
        <v>0</v>
      </c>
      <c r="F42" s="220">
        <v>0</v>
      </c>
      <c r="G42">
        <v>0</v>
      </c>
      <c r="H42">
        <v>0</v>
      </c>
      <c r="I42">
        <v>0</v>
      </c>
      <c r="J42" s="220">
        <v>0</v>
      </c>
      <c r="K42">
        <v>0</v>
      </c>
      <c r="L42" s="220">
        <v>0</v>
      </c>
      <c r="M42">
        <v>0</v>
      </c>
      <c r="N42">
        <v>-169056.67</v>
      </c>
      <c r="O42">
        <v>0</v>
      </c>
      <c r="P42" s="220">
        <v>0</v>
      </c>
      <c r="Q42">
        <v>0</v>
      </c>
      <c r="R42" s="220">
        <v>0</v>
      </c>
      <c r="S42" s="220">
        <v>0</v>
      </c>
    </row>
    <row r="43" spans="1:19" x14ac:dyDescent="0.25">
      <c r="A43">
        <v>20130</v>
      </c>
      <c r="B43">
        <v>0</v>
      </c>
      <c r="C43">
        <v>0</v>
      </c>
      <c r="D43">
        <v>0</v>
      </c>
      <c r="E43">
        <v>0</v>
      </c>
      <c r="F43" s="220">
        <v>0</v>
      </c>
      <c r="G43" s="220">
        <v>0</v>
      </c>
      <c r="H43">
        <v>0</v>
      </c>
      <c r="I43">
        <v>0</v>
      </c>
      <c r="J43">
        <v>0</v>
      </c>
      <c r="K43">
        <v>0</v>
      </c>
      <c r="L43" s="220">
        <v>0</v>
      </c>
      <c r="M43" s="220">
        <v>0</v>
      </c>
      <c r="N43">
        <v>-5160</v>
      </c>
      <c r="O43">
        <v>0</v>
      </c>
      <c r="P43" s="220">
        <v>0</v>
      </c>
      <c r="Q43">
        <v>0</v>
      </c>
      <c r="R43" s="220">
        <v>0</v>
      </c>
      <c r="S43" s="220">
        <v>0</v>
      </c>
    </row>
    <row r="44" spans="1:19" x14ac:dyDescent="0.25">
      <c r="A44">
        <v>20134</v>
      </c>
      <c r="B44">
        <v>0</v>
      </c>
      <c r="C44">
        <v>0</v>
      </c>
      <c r="D44" s="220">
        <v>0</v>
      </c>
      <c r="E44">
        <v>0</v>
      </c>
      <c r="F44" s="220">
        <v>0</v>
      </c>
      <c r="G44" s="220">
        <v>0</v>
      </c>
      <c r="H44">
        <v>0</v>
      </c>
      <c r="I44">
        <v>0</v>
      </c>
      <c r="J44" s="220">
        <v>0</v>
      </c>
      <c r="K44">
        <v>0</v>
      </c>
      <c r="L44" s="220">
        <v>0</v>
      </c>
      <c r="M44" s="220">
        <v>0</v>
      </c>
      <c r="N44">
        <v>-4601.8900000000003</v>
      </c>
      <c r="O44">
        <v>0</v>
      </c>
      <c r="P44" s="220">
        <v>0</v>
      </c>
      <c r="Q44">
        <v>0</v>
      </c>
      <c r="R44" s="220">
        <v>0</v>
      </c>
      <c r="S44" s="220">
        <v>0</v>
      </c>
    </row>
    <row r="45" spans="1:19" x14ac:dyDescent="0.25">
      <c r="A45">
        <v>20135</v>
      </c>
      <c r="B45">
        <v>0</v>
      </c>
      <c r="C45">
        <v>0</v>
      </c>
      <c r="D45" s="220">
        <v>0</v>
      </c>
      <c r="E45">
        <v>0</v>
      </c>
      <c r="F45" s="220">
        <v>0</v>
      </c>
      <c r="G45" s="220">
        <v>0</v>
      </c>
      <c r="H45">
        <v>11063.5</v>
      </c>
      <c r="I45">
        <v>25.22</v>
      </c>
      <c r="J45" s="220" t="s">
        <v>3096</v>
      </c>
      <c r="K45">
        <v>257.25</v>
      </c>
      <c r="L45" s="220" t="s">
        <v>3097</v>
      </c>
      <c r="M45" s="220" t="s">
        <v>3098</v>
      </c>
      <c r="N45">
        <v>38662.720000000001</v>
      </c>
      <c r="O45">
        <v>286.7</v>
      </c>
      <c r="P45" s="220" t="s">
        <v>3099</v>
      </c>
      <c r="Q45">
        <v>6027.65</v>
      </c>
      <c r="R45" s="220" t="s">
        <v>3100</v>
      </c>
      <c r="S45" s="220" t="s">
        <v>3101</v>
      </c>
    </row>
    <row r="46" spans="1:19" x14ac:dyDescent="0.25">
      <c r="A46">
        <v>20136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-577.95000000000005</v>
      </c>
      <c r="I46">
        <v>0</v>
      </c>
      <c r="J46">
        <v>0</v>
      </c>
      <c r="K46">
        <v>0</v>
      </c>
      <c r="L46">
        <v>0</v>
      </c>
      <c r="M46">
        <v>0</v>
      </c>
      <c r="N46">
        <v>1510.8</v>
      </c>
      <c r="O46">
        <v>67.599999999999994</v>
      </c>
      <c r="P46" s="220" t="s">
        <v>3102</v>
      </c>
      <c r="Q46">
        <v>2314.9499999999998</v>
      </c>
      <c r="R46" s="220">
        <v>34.244822485207102</v>
      </c>
      <c r="S46" s="220" t="s">
        <v>3103</v>
      </c>
    </row>
    <row r="47" spans="1:19" x14ac:dyDescent="0.25">
      <c r="A47">
        <v>20138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-55759.58</v>
      </c>
      <c r="O47">
        <v>0</v>
      </c>
      <c r="P47" s="220">
        <v>0</v>
      </c>
      <c r="Q47">
        <v>0</v>
      </c>
      <c r="R47" s="220">
        <v>0</v>
      </c>
      <c r="S47" s="220">
        <v>0</v>
      </c>
    </row>
    <row r="48" spans="1:19" x14ac:dyDescent="0.25">
      <c r="A48">
        <v>20139</v>
      </c>
      <c r="B48">
        <v>12919.21</v>
      </c>
      <c r="C48">
        <v>516.6</v>
      </c>
      <c r="D48" s="220" t="s">
        <v>3104</v>
      </c>
      <c r="E48">
        <v>17035.43</v>
      </c>
      <c r="F48" t="s">
        <v>3105</v>
      </c>
      <c r="G48" s="220" t="s">
        <v>3106</v>
      </c>
      <c r="H48">
        <v>44362.29</v>
      </c>
      <c r="I48">
        <v>1877.95</v>
      </c>
      <c r="J48" s="220" t="s">
        <v>3107</v>
      </c>
      <c r="K48">
        <v>72474.460000000006</v>
      </c>
      <c r="L48" t="s">
        <v>3108</v>
      </c>
      <c r="M48" s="220" t="s">
        <v>3109</v>
      </c>
      <c r="N48">
        <v>307965.78999999998</v>
      </c>
      <c r="O48">
        <v>5435.26</v>
      </c>
      <c r="P48" s="220" t="s">
        <v>3110</v>
      </c>
      <c r="Q48">
        <v>222703.95</v>
      </c>
      <c r="R48" s="220" t="s">
        <v>3111</v>
      </c>
      <c r="S48" s="220" t="s">
        <v>3112</v>
      </c>
    </row>
    <row r="49" spans="1:19" x14ac:dyDescent="0.25">
      <c r="A49">
        <v>20140</v>
      </c>
      <c r="B49">
        <v>0</v>
      </c>
      <c r="C49">
        <v>0</v>
      </c>
      <c r="D49" s="220">
        <v>0</v>
      </c>
      <c r="E49">
        <v>0</v>
      </c>
      <c r="F49" s="220">
        <v>0</v>
      </c>
      <c r="G49" s="220">
        <v>0</v>
      </c>
      <c r="H49">
        <v>0</v>
      </c>
      <c r="I49">
        <v>0</v>
      </c>
      <c r="J49" s="220">
        <v>0</v>
      </c>
      <c r="K49">
        <v>0</v>
      </c>
      <c r="L49" s="220">
        <v>0</v>
      </c>
      <c r="M49" s="220">
        <v>0</v>
      </c>
      <c r="N49">
        <v>-9154.27</v>
      </c>
      <c r="O49">
        <v>0</v>
      </c>
      <c r="P49" s="220">
        <v>0</v>
      </c>
      <c r="Q49">
        <v>0</v>
      </c>
      <c r="R49" s="220">
        <v>0</v>
      </c>
      <c r="S49" s="220">
        <v>0</v>
      </c>
    </row>
    <row r="50" spans="1:19" x14ac:dyDescent="0.25">
      <c r="A50">
        <v>20141</v>
      </c>
      <c r="B50">
        <v>0</v>
      </c>
      <c r="C50">
        <v>0</v>
      </c>
      <c r="D50">
        <v>0</v>
      </c>
      <c r="E50">
        <v>0</v>
      </c>
      <c r="F50" s="22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220">
        <v>0</v>
      </c>
      <c r="M50">
        <v>0</v>
      </c>
      <c r="N50">
        <v>-550</v>
      </c>
      <c r="O50">
        <v>0</v>
      </c>
      <c r="P50" s="220">
        <v>0</v>
      </c>
      <c r="Q50">
        <v>0</v>
      </c>
      <c r="R50" s="220">
        <v>0</v>
      </c>
      <c r="S50" s="220">
        <v>0</v>
      </c>
    </row>
    <row r="51" spans="1:19" x14ac:dyDescent="0.25">
      <c r="A51">
        <v>20142</v>
      </c>
      <c r="B51">
        <v>610</v>
      </c>
      <c r="C51">
        <v>0</v>
      </c>
      <c r="D51">
        <v>0</v>
      </c>
      <c r="E51">
        <v>0</v>
      </c>
      <c r="F51">
        <v>0</v>
      </c>
      <c r="G51">
        <v>0</v>
      </c>
      <c r="H51">
        <v>610</v>
      </c>
      <c r="I51">
        <v>0</v>
      </c>
      <c r="J51">
        <v>0</v>
      </c>
      <c r="K51">
        <v>0</v>
      </c>
      <c r="L51">
        <v>0</v>
      </c>
      <c r="M51">
        <v>0</v>
      </c>
      <c r="N51">
        <v>610</v>
      </c>
      <c r="O51">
        <v>0</v>
      </c>
      <c r="P51">
        <v>0</v>
      </c>
      <c r="Q51">
        <v>0</v>
      </c>
      <c r="R51" s="220">
        <v>0</v>
      </c>
      <c r="S51">
        <v>0</v>
      </c>
    </row>
    <row r="52" spans="1:19" x14ac:dyDescent="0.25">
      <c r="A52">
        <v>20143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2194</v>
      </c>
      <c r="I52">
        <v>17.52</v>
      </c>
      <c r="J52" t="s">
        <v>3113</v>
      </c>
      <c r="K52">
        <v>533.9</v>
      </c>
      <c r="L52" t="s">
        <v>3114</v>
      </c>
      <c r="M52" t="s">
        <v>3115</v>
      </c>
      <c r="N52">
        <v>20115</v>
      </c>
      <c r="O52">
        <v>128.71</v>
      </c>
      <c r="P52" s="220" t="s">
        <v>3116</v>
      </c>
      <c r="Q52">
        <v>7063.46</v>
      </c>
      <c r="R52" s="220" t="s">
        <v>3117</v>
      </c>
      <c r="S52" s="220" t="s">
        <v>3118</v>
      </c>
    </row>
    <row r="53" spans="1:19" x14ac:dyDescent="0.25">
      <c r="A53">
        <v>20144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-126116.81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20145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-9170.9699999999993</v>
      </c>
      <c r="O54">
        <v>0</v>
      </c>
      <c r="P54" s="220">
        <v>0</v>
      </c>
      <c r="Q54">
        <v>0</v>
      </c>
      <c r="R54" s="220">
        <v>0</v>
      </c>
      <c r="S54" s="220">
        <v>0</v>
      </c>
    </row>
    <row r="55" spans="1:19" x14ac:dyDescent="0.25">
      <c r="A55">
        <v>20146</v>
      </c>
      <c r="B55">
        <v>1736.86</v>
      </c>
      <c r="C55">
        <v>152.71</v>
      </c>
      <c r="D55" t="s">
        <v>3119</v>
      </c>
      <c r="E55">
        <v>4146.88</v>
      </c>
      <c r="F55" t="s">
        <v>3120</v>
      </c>
      <c r="G55" t="s">
        <v>3121</v>
      </c>
      <c r="H55">
        <v>35569.480000000003</v>
      </c>
      <c r="I55">
        <v>644.5</v>
      </c>
      <c r="J55" t="s">
        <v>3122</v>
      </c>
      <c r="K55">
        <v>19343.189999999999</v>
      </c>
      <c r="L55" t="s">
        <v>3123</v>
      </c>
      <c r="M55" t="s">
        <v>3124</v>
      </c>
      <c r="N55">
        <v>57079.05</v>
      </c>
      <c r="O55">
        <v>1173.47</v>
      </c>
      <c r="P55" s="220" t="s">
        <v>3125</v>
      </c>
      <c r="Q55">
        <v>33835.040000000001</v>
      </c>
      <c r="R55" s="220" t="s">
        <v>3126</v>
      </c>
      <c r="S55" s="220" t="s">
        <v>3127</v>
      </c>
    </row>
    <row r="56" spans="1:19" x14ac:dyDescent="0.25">
      <c r="A56">
        <v>20147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126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20152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-331.98</v>
      </c>
      <c r="I57">
        <v>69.239999999999995</v>
      </c>
      <c r="J57">
        <v>-4.7946273830155901</v>
      </c>
      <c r="K57">
        <v>1856.55</v>
      </c>
      <c r="L57">
        <v>26.8132582322357</v>
      </c>
      <c r="M57">
        <v>-5.5923549611422301</v>
      </c>
      <c r="N57">
        <v>5324.48</v>
      </c>
      <c r="O57">
        <v>236.03</v>
      </c>
      <c r="P57" t="s">
        <v>3128</v>
      </c>
      <c r="Q57">
        <v>9117.51</v>
      </c>
      <c r="R57" s="220" t="s">
        <v>3129</v>
      </c>
      <c r="S57" t="s">
        <v>3130</v>
      </c>
    </row>
    <row r="58" spans="1:19" x14ac:dyDescent="0.25">
      <c r="A58">
        <v>20153</v>
      </c>
      <c r="B58">
        <v>-716</v>
      </c>
      <c r="C58">
        <v>91.51</v>
      </c>
      <c r="D58" s="220">
        <v>-7.8242814992896896</v>
      </c>
      <c r="E58">
        <v>3784.06</v>
      </c>
      <c r="F58" s="220" t="s">
        <v>3131</v>
      </c>
      <c r="G58" s="220">
        <v>-5.2850000000000001</v>
      </c>
      <c r="H58">
        <v>-716</v>
      </c>
      <c r="I58">
        <v>91.51</v>
      </c>
      <c r="J58" s="220">
        <v>-7.8242814992896896</v>
      </c>
      <c r="K58">
        <v>3784.06</v>
      </c>
      <c r="L58" s="220" t="s">
        <v>3131</v>
      </c>
      <c r="M58" s="220">
        <v>-5.2850000000000001</v>
      </c>
      <c r="N58">
        <v>5409.18</v>
      </c>
      <c r="O58">
        <v>447.87</v>
      </c>
      <c r="P58" s="220" t="s">
        <v>3132</v>
      </c>
      <c r="Q58">
        <v>15914.04</v>
      </c>
      <c r="R58" s="220" t="s">
        <v>3133</v>
      </c>
      <c r="S58" s="220" t="s">
        <v>3134</v>
      </c>
    </row>
    <row r="59" spans="1:19" x14ac:dyDescent="0.25">
      <c r="A59">
        <v>20157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0.1</v>
      </c>
      <c r="O59">
        <v>0</v>
      </c>
      <c r="P59" s="220">
        <v>0</v>
      </c>
      <c r="Q59">
        <v>0</v>
      </c>
      <c r="R59">
        <v>0</v>
      </c>
      <c r="S59" s="220">
        <v>0</v>
      </c>
    </row>
    <row r="60" spans="1:19" x14ac:dyDescent="0.25">
      <c r="A60">
        <v>20162</v>
      </c>
      <c r="B60">
        <v>0</v>
      </c>
      <c r="C60">
        <v>61.16</v>
      </c>
      <c r="D60" s="220">
        <v>0</v>
      </c>
      <c r="E60">
        <v>1746.66</v>
      </c>
      <c r="F60" s="220" t="s">
        <v>3135</v>
      </c>
      <c r="G60" s="220">
        <v>0</v>
      </c>
      <c r="H60">
        <v>120086.8</v>
      </c>
      <c r="I60">
        <v>1142.58</v>
      </c>
      <c r="J60" s="220" t="s">
        <v>3136</v>
      </c>
      <c r="K60">
        <v>34144.83</v>
      </c>
      <c r="L60" s="220" t="s">
        <v>3137</v>
      </c>
      <c r="M60" s="220" t="s">
        <v>3138</v>
      </c>
      <c r="N60">
        <v>120086.8</v>
      </c>
      <c r="O60">
        <v>1142.58</v>
      </c>
      <c r="P60" s="220" t="s">
        <v>3136</v>
      </c>
      <c r="Q60">
        <v>34144.83</v>
      </c>
      <c r="R60" s="220" t="s">
        <v>3137</v>
      </c>
      <c r="S60" s="220" t="s">
        <v>3138</v>
      </c>
    </row>
    <row r="61" spans="1:19" x14ac:dyDescent="0.25">
      <c r="A61">
        <v>20163</v>
      </c>
      <c r="B61">
        <v>0</v>
      </c>
      <c r="C61">
        <v>104.06</v>
      </c>
      <c r="D61">
        <v>0</v>
      </c>
      <c r="E61">
        <v>2918.57</v>
      </c>
      <c r="F61" t="s">
        <v>3139</v>
      </c>
      <c r="G61">
        <v>0</v>
      </c>
      <c r="H61">
        <v>1032.5</v>
      </c>
      <c r="I61">
        <v>104.06</v>
      </c>
      <c r="J61">
        <v>9.9221602921391501</v>
      </c>
      <c r="K61">
        <v>2918.57</v>
      </c>
      <c r="L61" t="s">
        <v>3139</v>
      </c>
      <c r="M61" t="s">
        <v>3140</v>
      </c>
      <c r="N61">
        <v>59699.44</v>
      </c>
      <c r="O61">
        <v>1048.79</v>
      </c>
      <c r="P61" t="s">
        <v>3141</v>
      </c>
      <c r="Q61">
        <v>26855.65</v>
      </c>
      <c r="R61" t="s">
        <v>3142</v>
      </c>
      <c r="S61" t="s">
        <v>3143</v>
      </c>
    </row>
    <row r="62" spans="1:19" x14ac:dyDescent="0.25">
      <c r="A62">
        <v>20165</v>
      </c>
      <c r="B62">
        <v>37752.78</v>
      </c>
      <c r="C62">
        <v>751.22</v>
      </c>
      <c r="D62" t="s">
        <v>3144</v>
      </c>
      <c r="E62">
        <v>23243.98</v>
      </c>
      <c r="F62" t="s">
        <v>3145</v>
      </c>
      <c r="G62">
        <v>0.61568922871375298</v>
      </c>
      <c r="H62">
        <v>123838.02</v>
      </c>
      <c r="I62">
        <v>1792.22</v>
      </c>
      <c r="J62" t="s">
        <v>3146</v>
      </c>
      <c r="K62">
        <v>54445.49</v>
      </c>
      <c r="L62" t="s">
        <v>3147</v>
      </c>
      <c r="M62" t="s">
        <v>3148</v>
      </c>
      <c r="N62">
        <v>245829.29</v>
      </c>
      <c r="O62">
        <v>3221.83</v>
      </c>
      <c r="P62" s="220" t="s">
        <v>3149</v>
      </c>
      <c r="Q62">
        <v>104647.1</v>
      </c>
      <c r="R62" s="220" t="s">
        <v>3150</v>
      </c>
      <c r="S62" s="220" t="s">
        <v>3151</v>
      </c>
    </row>
    <row r="63" spans="1:19" x14ac:dyDescent="0.25">
      <c r="A63">
        <v>20166</v>
      </c>
      <c r="B63">
        <v>0</v>
      </c>
      <c r="C63">
        <v>38.56</v>
      </c>
      <c r="D63">
        <v>0</v>
      </c>
      <c r="E63">
        <v>3334.12</v>
      </c>
      <c r="F63" t="s">
        <v>3152</v>
      </c>
      <c r="G63">
        <v>0</v>
      </c>
      <c r="H63">
        <v>19036</v>
      </c>
      <c r="I63">
        <v>98.89</v>
      </c>
      <c r="J63" t="s">
        <v>3153</v>
      </c>
      <c r="K63">
        <v>11402.15</v>
      </c>
      <c r="L63" t="s">
        <v>3154</v>
      </c>
      <c r="M63" t="s">
        <v>3155</v>
      </c>
      <c r="N63">
        <v>62144.26</v>
      </c>
      <c r="O63">
        <v>1491.05</v>
      </c>
      <c r="P63" t="s">
        <v>3156</v>
      </c>
      <c r="Q63">
        <v>46505.39</v>
      </c>
      <c r="R63" t="s">
        <v>3157</v>
      </c>
      <c r="S63" t="s">
        <v>3158</v>
      </c>
    </row>
    <row r="64" spans="1:19" x14ac:dyDescent="0.25">
      <c r="A64">
        <v>20167</v>
      </c>
      <c r="B64">
        <v>-12820.74</v>
      </c>
      <c r="C64">
        <v>41.65</v>
      </c>
      <c r="D64">
        <v>-307.82088835534199</v>
      </c>
      <c r="E64">
        <v>1395.12</v>
      </c>
      <c r="F64" t="s">
        <v>3159</v>
      </c>
      <c r="G64">
        <v>-0.108817431755109</v>
      </c>
      <c r="H64">
        <v>15521.64</v>
      </c>
      <c r="I64">
        <v>293.45999999999998</v>
      </c>
      <c r="J64" t="s">
        <v>3160</v>
      </c>
      <c r="K64">
        <v>9533.0400000000009</v>
      </c>
      <c r="L64" t="s">
        <v>3161</v>
      </c>
      <c r="M64" t="s">
        <v>3162</v>
      </c>
      <c r="N64">
        <v>81333.73</v>
      </c>
      <c r="O64">
        <v>965.18</v>
      </c>
      <c r="P64" t="s">
        <v>3163</v>
      </c>
      <c r="Q64">
        <v>28862.45</v>
      </c>
      <c r="R64" t="s">
        <v>3164</v>
      </c>
      <c r="S64" t="s">
        <v>3165</v>
      </c>
    </row>
    <row r="65" spans="1:19" x14ac:dyDescent="0.25">
      <c r="A65">
        <v>20169</v>
      </c>
      <c r="B65">
        <v>0</v>
      </c>
      <c r="C65">
        <v>19.829999999999998</v>
      </c>
      <c r="D65">
        <v>0</v>
      </c>
      <c r="E65">
        <v>552.12</v>
      </c>
      <c r="F65" t="s">
        <v>3166</v>
      </c>
      <c r="G65">
        <v>0</v>
      </c>
      <c r="H65">
        <v>5675.14</v>
      </c>
      <c r="I65">
        <v>241.64</v>
      </c>
      <c r="J65" t="s">
        <v>3167</v>
      </c>
      <c r="K65">
        <v>6630.16</v>
      </c>
      <c r="L65" t="s">
        <v>3168</v>
      </c>
      <c r="M65" t="s">
        <v>3169</v>
      </c>
      <c r="N65">
        <v>29398.92</v>
      </c>
      <c r="O65">
        <v>889.24</v>
      </c>
      <c r="P65" t="s">
        <v>3170</v>
      </c>
      <c r="Q65">
        <v>25169.95</v>
      </c>
      <c r="R65" t="s">
        <v>3171</v>
      </c>
      <c r="S65" t="s">
        <v>3172</v>
      </c>
    </row>
    <row r="66" spans="1:19" x14ac:dyDescent="0.25">
      <c r="A66">
        <v>20170</v>
      </c>
      <c r="B66">
        <v>0</v>
      </c>
      <c r="C66">
        <v>0</v>
      </c>
      <c r="D66" s="220">
        <v>0</v>
      </c>
      <c r="E66">
        <v>0</v>
      </c>
      <c r="F66">
        <v>0</v>
      </c>
      <c r="G66" s="220">
        <v>0</v>
      </c>
      <c r="H66">
        <v>0</v>
      </c>
      <c r="I66">
        <v>3.5</v>
      </c>
      <c r="J66" s="220">
        <v>0</v>
      </c>
      <c r="K66">
        <v>306.7</v>
      </c>
      <c r="L66" t="s">
        <v>3173</v>
      </c>
      <c r="M66" s="220">
        <v>0</v>
      </c>
      <c r="N66">
        <v>0</v>
      </c>
      <c r="O66">
        <v>3.5</v>
      </c>
      <c r="P66" s="220">
        <v>0</v>
      </c>
      <c r="Q66">
        <v>306.7</v>
      </c>
      <c r="R66" s="220" t="s">
        <v>3173</v>
      </c>
      <c r="S66" s="220">
        <v>0</v>
      </c>
    </row>
    <row r="67" spans="1:19" x14ac:dyDescent="0.25">
      <c r="A67">
        <v>20171</v>
      </c>
      <c r="B67">
        <v>28554</v>
      </c>
      <c r="C67">
        <v>116.32</v>
      </c>
      <c r="D67" t="s">
        <v>3174</v>
      </c>
      <c r="E67">
        <v>15630.16</v>
      </c>
      <c r="F67" t="s">
        <v>3175</v>
      </c>
      <c r="G67" t="s">
        <v>3176</v>
      </c>
      <c r="H67">
        <v>38072</v>
      </c>
      <c r="I67">
        <v>274.06</v>
      </c>
      <c r="J67" t="s">
        <v>3177</v>
      </c>
      <c r="K67">
        <v>24004.1</v>
      </c>
      <c r="L67" t="s">
        <v>3178</v>
      </c>
      <c r="M67">
        <v>0.630492225257407</v>
      </c>
      <c r="N67">
        <v>27321.42</v>
      </c>
      <c r="O67">
        <v>1738.37</v>
      </c>
      <c r="P67" t="s">
        <v>3179</v>
      </c>
      <c r="Q67">
        <v>57339.99</v>
      </c>
      <c r="R67" s="220" t="s">
        <v>3180</v>
      </c>
      <c r="S67" t="s">
        <v>3181</v>
      </c>
    </row>
    <row r="68" spans="1:19" x14ac:dyDescent="0.25">
      <c r="A68">
        <v>20172</v>
      </c>
      <c r="B68">
        <v>0</v>
      </c>
      <c r="C68">
        <v>0</v>
      </c>
      <c r="D68" s="220">
        <v>0</v>
      </c>
      <c r="E68">
        <v>0</v>
      </c>
      <c r="F68" s="220">
        <v>0</v>
      </c>
      <c r="G68" s="220">
        <v>0</v>
      </c>
      <c r="H68">
        <v>5020.96</v>
      </c>
      <c r="I68">
        <v>0</v>
      </c>
      <c r="J68" s="220">
        <v>0</v>
      </c>
      <c r="K68">
        <v>0</v>
      </c>
      <c r="L68" s="220">
        <v>0</v>
      </c>
      <c r="M68" s="220">
        <v>0</v>
      </c>
      <c r="N68">
        <v>5020.96</v>
      </c>
      <c r="O68">
        <v>0</v>
      </c>
      <c r="P68">
        <v>0</v>
      </c>
      <c r="Q68">
        <v>0</v>
      </c>
      <c r="R68" s="220">
        <v>0</v>
      </c>
      <c r="S68" s="220">
        <v>0</v>
      </c>
    </row>
    <row r="69" spans="1:19" x14ac:dyDescent="0.25">
      <c r="A69">
        <v>20175</v>
      </c>
      <c r="B69">
        <v>0</v>
      </c>
      <c r="C69">
        <v>29.61</v>
      </c>
      <c r="D69" s="220">
        <v>0</v>
      </c>
      <c r="E69">
        <v>998.33</v>
      </c>
      <c r="F69" s="220" t="s">
        <v>3182</v>
      </c>
      <c r="G69" s="220">
        <v>0</v>
      </c>
      <c r="H69">
        <v>50741.84</v>
      </c>
      <c r="I69">
        <v>270.83</v>
      </c>
      <c r="J69" s="220" t="s">
        <v>3183</v>
      </c>
      <c r="K69">
        <v>8441.9500000000007</v>
      </c>
      <c r="L69" s="220" t="s">
        <v>3184</v>
      </c>
      <c r="M69" s="220" t="s">
        <v>3185</v>
      </c>
      <c r="N69">
        <v>75296.41</v>
      </c>
      <c r="O69">
        <v>492.65</v>
      </c>
      <c r="P69" s="220" t="s">
        <v>3186</v>
      </c>
      <c r="Q69">
        <v>21977.21</v>
      </c>
      <c r="R69" s="220">
        <v>44.610189789911701</v>
      </c>
      <c r="S69" s="220" t="s">
        <v>3187</v>
      </c>
    </row>
    <row r="70" spans="1:19" x14ac:dyDescent="0.25">
      <c r="A70">
        <v>20181</v>
      </c>
      <c r="B70">
        <v>0</v>
      </c>
      <c r="C70">
        <v>0</v>
      </c>
      <c r="D70">
        <v>0</v>
      </c>
      <c r="E70">
        <v>0</v>
      </c>
      <c r="F70" s="220">
        <v>0</v>
      </c>
      <c r="G70">
        <v>0</v>
      </c>
      <c r="H70">
        <v>8296.42</v>
      </c>
      <c r="I70">
        <v>142.62</v>
      </c>
      <c r="J70" t="s">
        <v>3188</v>
      </c>
      <c r="K70">
        <v>4741.5600000000004</v>
      </c>
      <c r="L70" s="220" t="s">
        <v>3189</v>
      </c>
      <c r="M70" t="s">
        <v>3190</v>
      </c>
      <c r="N70">
        <v>36704.720000000001</v>
      </c>
      <c r="O70">
        <v>882.87</v>
      </c>
      <c r="P70" t="s">
        <v>3191</v>
      </c>
      <c r="Q70">
        <v>28647.42</v>
      </c>
      <c r="R70" s="220" t="s">
        <v>3192</v>
      </c>
      <c r="S70" t="s">
        <v>3193</v>
      </c>
    </row>
    <row r="71" spans="1:19" x14ac:dyDescent="0.25">
      <c r="A71">
        <v>20182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2100</v>
      </c>
      <c r="I71">
        <v>1.55</v>
      </c>
      <c r="J71" t="s">
        <v>3194</v>
      </c>
      <c r="K71">
        <v>68.08</v>
      </c>
      <c r="L71" t="s">
        <v>3195</v>
      </c>
      <c r="M71">
        <v>3.2419047619047597E-2</v>
      </c>
      <c r="N71">
        <v>2100</v>
      </c>
      <c r="O71">
        <v>1.55</v>
      </c>
      <c r="P71" t="s">
        <v>3194</v>
      </c>
      <c r="Q71">
        <v>68.08</v>
      </c>
      <c r="R71" s="220" t="s">
        <v>3195</v>
      </c>
      <c r="S71">
        <v>3.2419047619047597E-2</v>
      </c>
    </row>
    <row r="72" spans="1:19" x14ac:dyDescent="0.25">
      <c r="A72">
        <v>20183</v>
      </c>
      <c r="B72">
        <v>0</v>
      </c>
      <c r="C72">
        <v>0</v>
      </c>
      <c r="D72" s="220">
        <v>0</v>
      </c>
      <c r="E72">
        <v>0</v>
      </c>
      <c r="F72" s="220">
        <v>0</v>
      </c>
      <c r="G72" s="220">
        <v>0</v>
      </c>
      <c r="H72">
        <v>2408.4299999999998</v>
      </c>
      <c r="I72">
        <v>70.31</v>
      </c>
      <c r="J72" s="220" t="s">
        <v>3196</v>
      </c>
      <c r="K72">
        <v>2557.73</v>
      </c>
      <c r="L72" s="220" t="s">
        <v>3197</v>
      </c>
      <c r="M72" s="220" t="s">
        <v>3198</v>
      </c>
      <c r="N72">
        <v>22226.11</v>
      </c>
      <c r="O72">
        <v>239.53</v>
      </c>
      <c r="P72" s="220" t="s">
        <v>3199</v>
      </c>
      <c r="Q72">
        <v>7517.25</v>
      </c>
      <c r="R72" s="220">
        <v>31.3833340291404</v>
      </c>
      <c r="S72" s="220" t="s">
        <v>3200</v>
      </c>
    </row>
    <row r="73" spans="1:19" x14ac:dyDescent="0.25">
      <c r="A73">
        <v>20185</v>
      </c>
      <c r="B73">
        <v>12513.11</v>
      </c>
      <c r="C73">
        <v>225.69</v>
      </c>
      <c r="D73" t="s">
        <v>3201</v>
      </c>
      <c r="E73">
        <v>7425.58</v>
      </c>
      <c r="F73" t="s">
        <v>3202</v>
      </c>
      <c r="G73" t="s">
        <v>3203</v>
      </c>
      <c r="H73">
        <v>35810.720000000001</v>
      </c>
      <c r="I73">
        <v>331.64</v>
      </c>
      <c r="J73" t="s">
        <v>3204</v>
      </c>
      <c r="K73">
        <v>11246.59</v>
      </c>
      <c r="L73">
        <v>33.912043179351102</v>
      </c>
      <c r="M73" t="s">
        <v>3205</v>
      </c>
      <c r="N73">
        <v>81749.38</v>
      </c>
      <c r="O73">
        <v>964.9</v>
      </c>
      <c r="P73" t="s">
        <v>3206</v>
      </c>
      <c r="Q73">
        <v>29379.05</v>
      </c>
      <c r="R73" t="s">
        <v>3207</v>
      </c>
      <c r="S73" t="s">
        <v>3208</v>
      </c>
    </row>
    <row r="74" spans="1:19" x14ac:dyDescent="0.25">
      <c r="A74">
        <v>20186</v>
      </c>
      <c r="B74">
        <v>0</v>
      </c>
      <c r="C74">
        <v>0</v>
      </c>
      <c r="D74">
        <v>0</v>
      </c>
      <c r="E74">
        <v>0</v>
      </c>
      <c r="F74" s="220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220">
        <v>0</v>
      </c>
      <c r="M74">
        <v>0</v>
      </c>
      <c r="N74">
        <v>-193669.75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>
        <v>20189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-153662.76999999999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>
        <v>20195</v>
      </c>
      <c r="B76">
        <v>0</v>
      </c>
      <c r="C76">
        <v>0</v>
      </c>
      <c r="D76">
        <v>0</v>
      </c>
      <c r="E76">
        <v>0</v>
      </c>
      <c r="F76">
        <v>0</v>
      </c>
      <c r="G76" s="220">
        <v>0</v>
      </c>
      <c r="H76">
        <v>0</v>
      </c>
      <c r="I76">
        <v>0</v>
      </c>
      <c r="J76">
        <v>0</v>
      </c>
      <c r="K76">
        <v>0</v>
      </c>
      <c r="L76">
        <v>0</v>
      </c>
      <c r="M76" s="220">
        <v>0</v>
      </c>
      <c r="N76">
        <v>-933.4</v>
      </c>
      <c r="O76">
        <v>0</v>
      </c>
      <c r="P76" s="220">
        <v>0</v>
      </c>
      <c r="Q76">
        <v>0</v>
      </c>
      <c r="R76" s="220">
        <v>0</v>
      </c>
      <c r="S76" s="220">
        <v>0</v>
      </c>
    </row>
    <row r="77" spans="1:19" x14ac:dyDescent="0.25">
      <c r="A77">
        <v>20198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-1541.14</v>
      </c>
      <c r="O77">
        <v>101.71</v>
      </c>
      <c r="P77">
        <v>-15.152295742798101</v>
      </c>
      <c r="Q77">
        <v>641.54</v>
      </c>
      <c r="R77" t="s">
        <v>3209</v>
      </c>
      <c r="S77">
        <v>-0.41627626302607101</v>
      </c>
    </row>
    <row r="78" spans="1:19" x14ac:dyDescent="0.25">
      <c r="A78">
        <v>20199</v>
      </c>
      <c r="B78">
        <v>21842.54</v>
      </c>
      <c r="C78">
        <v>63.73</v>
      </c>
      <c r="D78" t="s">
        <v>3210</v>
      </c>
      <c r="E78">
        <v>1708.7</v>
      </c>
      <c r="F78" t="s">
        <v>3211</v>
      </c>
      <c r="G78">
        <v>7.8228081532642199E-2</v>
      </c>
      <c r="H78">
        <v>42204.83</v>
      </c>
      <c r="I78">
        <v>431.4</v>
      </c>
      <c r="J78">
        <v>97.832243857209093</v>
      </c>
      <c r="K78">
        <v>11089.44</v>
      </c>
      <c r="L78" t="s">
        <v>3212</v>
      </c>
      <c r="M78" t="s">
        <v>3213</v>
      </c>
      <c r="N78">
        <v>403397.32</v>
      </c>
      <c r="O78">
        <v>7157.72</v>
      </c>
      <c r="P78" t="s">
        <v>3214</v>
      </c>
      <c r="Q78">
        <v>225689.93</v>
      </c>
      <c r="R78" s="220" t="s">
        <v>3215</v>
      </c>
      <c r="S78" t="s">
        <v>3216</v>
      </c>
    </row>
    <row r="79" spans="1:19" x14ac:dyDescent="0.25">
      <c r="A79">
        <v>20200</v>
      </c>
      <c r="B79">
        <v>48694.44</v>
      </c>
      <c r="C79">
        <v>322.88</v>
      </c>
      <c r="D79" s="220" t="s">
        <v>3217</v>
      </c>
      <c r="E79">
        <v>11840.31</v>
      </c>
      <c r="F79" s="220" t="s">
        <v>3218</v>
      </c>
      <c r="G79" s="220" t="s">
        <v>3219</v>
      </c>
      <c r="H79">
        <v>83382.740000000005</v>
      </c>
      <c r="I79">
        <v>517.76</v>
      </c>
      <c r="J79" s="220" t="s">
        <v>3220</v>
      </c>
      <c r="K79">
        <v>18677.38</v>
      </c>
      <c r="L79" s="220" t="s">
        <v>3221</v>
      </c>
      <c r="M79" s="220" t="s">
        <v>3222</v>
      </c>
      <c r="N79">
        <v>244040.46</v>
      </c>
      <c r="O79">
        <v>2794.24</v>
      </c>
      <c r="P79" s="220" t="s">
        <v>3223</v>
      </c>
      <c r="Q79">
        <v>77757.81</v>
      </c>
      <c r="R79" s="220" t="s">
        <v>3224</v>
      </c>
      <c r="S79" s="220" t="s">
        <v>3225</v>
      </c>
    </row>
    <row r="80" spans="1:19" x14ac:dyDescent="0.25">
      <c r="A80">
        <v>20201</v>
      </c>
      <c r="B80">
        <v>24842.32</v>
      </c>
      <c r="C80">
        <v>469.83</v>
      </c>
      <c r="D80" t="s">
        <v>3226</v>
      </c>
      <c r="E80">
        <v>14372.56</v>
      </c>
      <c r="F80" s="220" t="s">
        <v>3227</v>
      </c>
      <c r="G80">
        <v>0.57855143964009803</v>
      </c>
      <c r="H80">
        <v>106653.64</v>
      </c>
      <c r="I80">
        <v>1340.12</v>
      </c>
      <c r="J80" t="s">
        <v>3228</v>
      </c>
      <c r="K80">
        <v>42906.48</v>
      </c>
      <c r="L80" s="220" t="s">
        <v>3229</v>
      </c>
      <c r="M80" t="s">
        <v>3230</v>
      </c>
      <c r="N80">
        <v>271961.12</v>
      </c>
      <c r="O80">
        <v>5304.12</v>
      </c>
      <c r="P80" t="s">
        <v>3231</v>
      </c>
      <c r="Q80">
        <v>147737.21</v>
      </c>
      <c r="R80" s="220" t="s">
        <v>3232</v>
      </c>
      <c r="S80" t="s">
        <v>3233</v>
      </c>
    </row>
    <row r="81" spans="1:19" x14ac:dyDescent="0.25">
      <c r="A81">
        <v>20202</v>
      </c>
      <c r="B81">
        <v>32618.7</v>
      </c>
      <c r="C81">
        <v>319.95999999999998</v>
      </c>
      <c r="D81" t="s">
        <v>3234</v>
      </c>
      <c r="E81">
        <v>6716.02</v>
      </c>
      <c r="F81" s="220" t="s">
        <v>3235</v>
      </c>
      <c r="G81" s="220" t="s">
        <v>3236</v>
      </c>
      <c r="H81">
        <v>32618.7</v>
      </c>
      <c r="I81">
        <v>655.22</v>
      </c>
      <c r="J81" t="s">
        <v>3237</v>
      </c>
      <c r="K81">
        <v>16264.68</v>
      </c>
      <c r="L81" s="220" t="s">
        <v>3238</v>
      </c>
      <c r="M81" s="220" t="s">
        <v>3239</v>
      </c>
      <c r="N81">
        <v>53916.7</v>
      </c>
      <c r="O81">
        <v>1644.68</v>
      </c>
      <c r="P81" s="220" t="s">
        <v>3240</v>
      </c>
      <c r="Q81">
        <v>37088.46</v>
      </c>
      <c r="R81" s="220" t="s">
        <v>3241</v>
      </c>
      <c r="S81" s="220">
        <v>0.68788445880404403</v>
      </c>
    </row>
    <row r="82" spans="1:19" x14ac:dyDescent="0.25">
      <c r="A82">
        <v>20209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19.54</v>
      </c>
      <c r="P82">
        <v>0</v>
      </c>
      <c r="Q82">
        <v>332.09</v>
      </c>
      <c r="R82" t="s">
        <v>3242</v>
      </c>
      <c r="S82">
        <v>0</v>
      </c>
    </row>
    <row r="83" spans="1:19" x14ac:dyDescent="0.25">
      <c r="A83">
        <v>20211</v>
      </c>
      <c r="B83">
        <v>68839.539999999994</v>
      </c>
      <c r="C83">
        <v>625.35</v>
      </c>
      <c r="D83" t="s">
        <v>3243</v>
      </c>
      <c r="E83">
        <v>20002.189999999999</v>
      </c>
      <c r="F83" t="s">
        <v>3244</v>
      </c>
      <c r="G83" t="s">
        <v>3245</v>
      </c>
      <c r="H83">
        <v>114973.91</v>
      </c>
      <c r="I83">
        <v>1368.58</v>
      </c>
      <c r="J83" t="s">
        <v>3246</v>
      </c>
      <c r="K83">
        <v>42568.480000000003</v>
      </c>
      <c r="L83" t="s">
        <v>3247</v>
      </c>
      <c r="M83" t="s">
        <v>3248</v>
      </c>
      <c r="N83">
        <v>336068.1</v>
      </c>
      <c r="O83">
        <v>4875.67</v>
      </c>
      <c r="P83" t="s">
        <v>3249</v>
      </c>
      <c r="Q83">
        <v>140674.23999999999</v>
      </c>
      <c r="R83" t="s">
        <v>3250</v>
      </c>
      <c r="S83" t="s">
        <v>3251</v>
      </c>
    </row>
    <row r="84" spans="1:19" x14ac:dyDescent="0.25">
      <c r="A84">
        <v>20212</v>
      </c>
      <c r="B84">
        <v>18887.45</v>
      </c>
      <c r="C84">
        <v>303.52</v>
      </c>
      <c r="D84" t="s">
        <v>3252</v>
      </c>
      <c r="E84">
        <v>8841.09</v>
      </c>
      <c r="F84" t="s">
        <v>3253</v>
      </c>
      <c r="G84" t="s">
        <v>3254</v>
      </c>
      <c r="H84">
        <v>114692.31</v>
      </c>
      <c r="I84">
        <v>1807.47</v>
      </c>
      <c r="J84">
        <v>63.454613354578498</v>
      </c>
      <c r="K84">
        <v>57149.15</v>
      </c>
      <c r="L84">
        <v>31.618311783874699</v>
      </c>
      <c r="M84" t="s">
        <v>3255</v>
      </c>
      <c r="N84">
        <v>268328.40000000002</v>
      </c>
      <c r="O84">
        <v>4546.42</v>
      </c>
      <c r="P84" s="220" t="s">
        <v>3256</v>
      </c>
      <c r="Q84">
        <v>145900.95000000001</v>
      </c>
      <c r="R84" s="220" t="s">
        <v>3257</v>
      </c>
      <c r="S84" s="220" t="s">
        <v>3258</v>
      </c>
    </row>
    <row r="85" spans="1:19" x14ac:dyDescent="0.25">
      <c r="A85">
        <v>20215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39.36</v>
      </c>
      <c r="P85">
        <v>0</v>
      </c>
      <c r="Q85">
        <v>100</v>
      </c>
      <c r="R85" s="220" t="s">
        <v>3259</v>
      </c>
      <c r="S85">
        <v>0</v>
      </c>
    </row>
    <row r="86" spans="1:19" x14ac:dyDescent="0.25">
      <c r="A86">
        <v>20216</v>
      </c>
      <c r="B86">
        <v>58756.98</v>
      </c>
      <c r="C86">
        <v>634.4</v>
      </c>
      <c r="D86" t="s">
        <v>3260</v>
      </c>
      <c r="E86">
        <v>21428.97</v>
      </c>
      <c r="F86" t="s">
        <v>3261</v>
      </c>
      <c r="G86" t="s">
        <v>3262</v>
      </c>
      <c r="H86">
        <v>163385.41</v>
      </c>
      <c r="I86">
        <v>1612.05</v>
      </c>
      <c r="J86" t="s">
        <v>3263</v>
      </c>
      <c r="K86">
        <v>54508.06</v>
      </c>
      <c r="L86" t="s">
        <v>3264</v>
      </c>
      <c r="M86" t="s">
        <v>3265</v>
      </c>
      <c r="N86">
        <v>560274.68999999994</v>
      </c>
      <c r="O86">
        <v>5857.33</v>
      </c>
      <c r="P86" t="s">
        <v>3266</v>
      </c>
      <c r="Q86">
        <v>178207.03</v>
      </c>
      <c r="R86" t="s">
        <v>3267</v>
      </c>
      <c r="S86" t="s">
        <v>3268</v>
      </c>
    </row>
    <row r="87" spans="1:19" x14ac:dyDescent="0.25">
      <c r="A87">
        <v>20218</v>
      </c>
      <c r="B87">
        <v>-15815.71</v>
      </c>
      <c r="C87">
        <v>330.12</v>
      </c>
      <c r="D87">
        <v>-47.908972494850303</v>
      </c>
      <c r="E87">
        <v>11578.76</v>
      </c>
      <c r="F87">
        <v>35.074397188901003</v>
      </c>
      <c r="G87">
        <v>-0.73210497663399199</v>
      </c>
      <c r="H87">
        <v>-2744.84</v>
      </c>
      <c r="I87">
        <v>639.69000000000005</v>
      </c>
      <c r="J87">
        <v>-4.2908909002798197</v>
      </c>
      <c r="K87">
        <v>22527.439999999999</v>
      </c>
      <c r="L87" t="s">
        <v>3269</v>
      </c>
      <c r="M87">
        <v>-8.2071960478570691</v>
      </c>
      <c r="N87">
        <v>6486.23</v>
      </c>
      <c r="O87">
        <v>2852.67</v>
      </c>
      <c r="P87" t="s">
        <v>3270</v>
      </c>
      <c r="Q87">
        <v>96569.11</v>
      </c>
      <c r="R87" t="s">
        <v>3271</v>
      </c>
      <c r="S87" t="s">
        <v>3272</v>
      </c>
    </row>
    <row r="88" spans="1:19" x14ac:dyDescent="0.25">
      <c r="A88">
        <v>20219</v>
      </c>
      <c r="B88">
        <v>-395.1</v>
      </c>
      <c r="C88">
        <v>25.3</v>
      </c>
      <c r="D88" s="220">
        <v>-15.6166007905138</v>
      </c>
      <c r="E88">
        <v>796.97</v>
      </c>
      <c r="F88" s="220" t="s">
        <v>3273</v>
      </c>
      <c r="G88" s="220">
        <v>-2.0171349025563101</v>
      </c>
      <c r="H88">
        <v>-10528.37</v>
      </c>
      <c r="I88">
        <v>60.23</v>
      </c>
      <c r="J88" s="220">
        <v>-174.80275610160999</v>
      </c>
      <c r="K88">
        <v>1914.73</v>
      </c>
      <c r="L88" s="220" t="s">
        <v>3274</v>
      </c>
      <c r="M88" s="220">
        <v>-0.181863859267863</v>
      </c>
      <c r="N88">
        <v>-21413.17</v>
      </c>
      <c r="O88">
        <v>389.92</v>
      </c>
      <c r="P88" s="220">
        <v>-54.9168290931473</v>
      </c>
      <c r="Q88">
        <v>11440.93</v>
      </c>
      <c r="R88" s="220" t="s">
        <v>3275</v>
      </c>
      <c r="S88" s="220">
        <v>-0.53429408163293901</v>
      </c>
    </row>
    <row r="89" spans="1:19" x14ac:dyDescent="0.25">
      <c r="A89">
        <v>20221</v>
      </c>
      <c r="B89">
        <v>0</v>
      </c>
      <c r="C89">
        <v>0</v>
      </c>
      <c r="D89" s="220">
        <v>0</v>
      </c>
      <c r="E89">
        <v>0</v>
      </c>
      <c r="F89" s="220">
        <v>0</v>
      </c>
      <c r="G89" s="220">
        <v>0</v>
      </c>
      <c r="H89">
        <v>0</v>
      </c>
      <c r="I89">
        <v>0</v>
      </c>
      <c r="J89" s="220">
        <v>0</v>
      </c>
      <c r="K89">
        <v>0</v>
      </c>
      <c r="L89" s="220">
        <v>0</v>
      </c>
      <c r="M89" s="220">
        <v>0</v>
      </c>
      <c r="N89">
        <v>6000.44</v>
      </c>
      <c r="O89">
        <v>0</v>
      </c>
      <c r="P89" s="220">
        <v>0</v>
      </c>
      <c r="Q89">
        <v>0</v>
      </c>
      <c r="R89" s="220">
        <v>0</v>
      </c>
      <c r="S89" s="220">
        <v>0</v>
      </c>
    </row>
    <row r="90" spans="1:19" x14ac:dyDescent="0.25">
      <c r="A90">
        <v>20222</v>
      </c>
      <c r="B90">
        <v>1318.49</v>
      </c>
      <c r="C90">
        <v>142.38</v>
      </c>
      <c r="D90" t="s">
        <v>3276</v>
      </c>
      <c r="E90">
        <v>4262.8100000000004</v>
      </c>
      <c r="F90" t="s">
        <v>3277</v>
      </c>
      <c r="G90" t="s">
        <v>3278</v>
      </c>
      <c r="H90">
        <v>181649.49</v>
      </c>
      <c r="I90">
        <v>1597.91</v>
      </c>
      <c r="J90" t="s">
        <v>3279</v>
      </c>
      <c r="K90">
        <v>52249.58</v>
      </c>
      <c r="L90" t="s">
        <v>3280</v>
      </c>
      <c r="M90" t="s">
        <v>3281</v>
      </c>
      <c r="N90">
        <v>279532.55</v>
      </c>
      <c r="O90">
        <v>3285.78</v>
      </c>
      <c r="P90" s="220" t="s">
        <v>3282</v>
      </c>
      <c r="Q90">
        <v>108711.37</v>
      </c>
      <c r="R90" s="220" t="s">
        <v>3283</v>
      </c>
      <c r="S90" s="220">
        <v>0.38890415445356902</v>
      </c>
    </row>
    <row r="91" spans="1:19" x14ac:dyDescent="0.25">
      <c r="A91">
        <v>20223</v>
      </c>
      <c r="B91">
        <v>582.28</v>
      </c>
      <c r="C91">
        <v>52.42</v>
      </c>
      <c r="D91" t="s">
        <v>3284</v>
      </c>
      <c r="E91">
        <v>1407.79</v>
      </c>
      <c r="F91" t="s">
        <v>3285</v>
      </c>
      <c r="G91" t="s">
        <v>3286</v>
      </c>
      <c r="H91">
        <v>-675.64</v>
      </c>
      <c r="I91">
        <v>80.19</v>
      </c>
      <c r="J91">
        <v>-8.4254894625264996</v>
      </c>
      <c r="K91">
        <v>2408</v>
      </c>
      <c r="L91" t="s">
        <v>3287</v>
      </c>
      <c r="M91">
        <v>-3.5640281806879401</v>
      </c>
      <c r="N91">
        <v>90094.93</v>
      </c>
      <c r="O91">
        <v>1260.56</v>
      </c>
      <c r="P91" t="s">
        <v>3288</v>
      </c>
      <c r="Q91">
        <v>41857.42</v>
      </c>
      <c r="R91" s="220" t="s">
        <v>3289</v>
      </c>
      <c r="S91" t="s">
        <v>3290</v>
      </c>
    </row>
    <row r="92" spans="1:19" x14ac:dyDescent="0.25">
      <c r="A92">
        <v>20225</v>
      </c>
      <c r="B92">
        <v>2107.4699999999998</v>
      </c>
      <c r="C92">
        <v>47.82</v>
      </c>
      <c r="D92" t="s">
        <v>3291</v>
      </c>
      <c r="E92">
        <v>1763.07</v>
      </c>
      <c r="F92" t="s">
        <v>3292</v>
      </c>
      <c r="G92" t="s">
        <v>3293</v>
      </c>
      <c r="H92">
        <v>2909.84</v>
      </c>
      <c r="I92">
        <v>536.87</v>
      </c>
      <c r="J92" t="s">
        <v>3294</v>
      </c>
      <c r="K92">
        <v>19129.669999999998</v>
      </c>
      <c r="L92" t="s">
        <v>3295</v>
      </c>
      <c r="M92" t="s">
        <v>3296</v>
      </c>
      <c r="N92">
        <v>-3883.19</v>
      </c>
      <c r="O92">
        <v>4599.8999999999996</v>
      </c>
      <c r="P92">
        <v>-0.84419009108893595</v>
      </c>
      <c r="Q92">
        <v>126524.31</v>
      </c>
      <c r="R92" t="s">
        <v>3297</v>
      </c>
      <c r="S92">
        <v>-32.582570000437698</v>
      </c>
    </row>
    <row r="93" spans="1:19" x14ac:dyDescent="0.25">
      <c r="A93">
        <v>20226</v>
      </c>
      <c r="B93">
        <v>0</v>
      </c>
      <c r="C93">
        <v>377.52</v>
      </c>
      <c r="D93">
        <v>0</v>
      </c>
      <c r="E93">
        <v>10943.85</v>
      </c>
      <c r="F93" t="s">
        <v>3298</v>
      </c>
      <c r="G93">
        <v>0</v>
      </c>
      <c r="H93">
        <v>-4708.58</v>
      </c>
      <c r="I93">
        <v>839.88</v>
      </c>
      <c r="J93">
        <v>-5.6062532742772699</v>
      </c>
      <c r="K93">
        <v>25528.34</v>
      </c>
      <c r="L93" t="s">
        <v>3299</v>
      </c>
      <c r="M93">
        <v>-5.4216642809509397</v>
      </c>
      <c r="N93">
        <v>30979.99</v>
      </c>
      <c r="O93">
        <v>2608.0700000000002</v>
      </c>
      <c r="P93" t="s">
        <v>3300</v>
      </c>
      <c r="Q93">
        <v>79209.78</v>
      </c>
      <c r="R93" t="s">
        <v>3301</v>
      </c>
      <c r="S93" t="s">
        <v>3302</v>
      </c>
    </row>
    <row r="94" spans="1:19" x14ac:dyDescent="0.25">
      <c r="A94">
        <v>20229</v>
      </c>
      <c r="B94">
        <v>0</v>
      </c>
      <c r="C94">
        <v>5.95</v>
      </c>
      <c r="D94">
        <v>0</v>
      </c>
      <c r="E94">
        <v>698.54</v>
      </c>
      <c r="F94" s="220" t="s">
        <v>3303</v>
      </c>
      <c r="G94">
        <v>0</v>
      </c>
      <c r="H94">
        <v>4050.64</v>
      </c>
      <c r="I94">
        <v>272.45</v>
      </c>
      <c r="J94" t="s">
        <v>3304</v>
      </c>
      <c r="K94">
        <v>8392.0300000000007</v>
      </c>
      <c r="L94" s="220" t="s">
        <v>3305</v>
      </c>
      <c r="M94" t="s">
        <v>3306</v>
      </c>
      <c r="N94">
        <v>40150.94</v>
      </c>
      <c r="O94">
        <v>1726.57</v>
      </c>
      <c r="P94" s="220" t="s">
        <v>3307</v>
      </c>
      <c r="Q94">
        <v>48312.2</v>
      </c>
      <c r="R94" s="220" t="s">
        <v>3308</v>
      </c>
      <c r="S94" s="220" t="s">
        <v>3309</v>
      </c>
    </row>
    <row r="95" spans="1:19" x14ac:dyDescent="0.25">
      <c r="A95">
        <v>20230</v>
      </c>
      <c r="B95">
        <v>2641.9</v>
      </c>
      <c r="C95">
        <v>0</v>
      </c>
      <c r="D95" s="220">
        <v>0</v>
      </c>
      <c r="E95">
        <v>0</v>
      </c>
      <c r="F95" s="220">
        <v>0</v>
      </c>
      <c r="G95" s="220">
        <v>0</v>
      </c>
      <c r="H95">
        <v>26107.37</v>
      </c>
      <c r="I95">
        <v>504.9</v>
      </c>
      <c r="J95" s="220" t="s">
        <v>3310</v>
      </c>
      <c r="K95">
        <v>15598.06</v>
      </c>
      <c r="L95" s="220" t="s">
        <v>3311</v>
      </c>
      <c r="M95" s="220" t="s">
        <v>3312</v>
      </c>
      <c r="N95">
        <v>107079.05</v>
      </c>
      <c r="O95">
        <v>1724.92</v>
      </c>
      <c r="P95" s="220" t="s">
        <v>3313</v>
      </c>
      <c r="Q95">
        <v>52878.34</v>
      </c>
      <c r="R95" s="220">
        <v>30.655531850752499</v>
      </c>
      <c r="S95" s="220">
        <v>0.49382526273813598</v>
      </c>
    </row>
    <row r="96" spans="1:19" x14ac:dyDescent="0.25">
      <c r="A96">
        <v>20232</v>
      </c>
      <c r="B96">
        <v>-1422.75</v>
      </c>
      <c r="C96">
        <v>80.010000000000005</v>
      </c>
      <c r="D96" s="220">
        <v>-17.7821522309711</v>
      </c>
      <c r="E96">
        <v>2156.3200000000002</v>
      </c>
      <c r="F96" s="220" t="s">
        <v>3314</v>
      </c>
      <c r="G96">
        <v>-1.5156000702864101</v>
      </c>
      <c r="H96">
        <v>12061.3</v>
      </c>
      <c r="I96">
        <v>531.54999999999995</v>
      </c>
      <c r="J96" s="220" t="s">
        <v>3315</v>
      </c>
      <c r="K96">
        <v>16232.43</v>
      </c>
      <c r="L96" s="220" t="s">
        <v>3316</v>
      </c>
      <c r="M96" t="s">
        <v>3317</v>
      </c>
      <c r="N96">
        <v>96226.22</v>
      </c>
      <c r="O96">
        <v>4773.5</v>
      </c>
      <c r="P96" s="220" t="s">
        <v>3318</v>
      </c>
      <c r="Q96">
        <v>117973.4</v>
      </c>
      <c r="R96" s="220" t="s">
        <v>3319</v>
      </c>
      <c r="S96" s="220" t="s">
        <v>3320</v>
      </c>
    </row>
    <row r="97" spans="1:19" x14ac:dyDescent="0.25">
      <c r="A97">
        <v>20233</v>
      </c>
      <c r="B97">
        <v>3076.97</v>
      </c>
      <c r="C97">
        <v>713.36</v>
      </c>
      <c r="D97" t="s">
        <v>3321</v>
      </c>
      <c r="E97">
        <v>23522.79</v>
      </c>
      <c r="F97" s="220" t="s">
        <v>3322</v>
      </c>
      <c r="G97" t="s">
        <v>3323</v>
      </c>
      <c r="H97">
        <v>111878.64</v>
      </c>
      <c r="I97">
        <v>3167.69</v>
      </c>
      <c r="J97" t="s">
        <v>3324</v>
      </c>
      <c r="K97">
        <v>108788.51</v>
      </c>
      <c r="L97" s="220" t="s">
        <v>3325</v>
      </c>
      <c r="M97" t="s">
        <v>3326</v>
      </c>
      <c r="N97">
        <v>525435.81000000006</v>
      </c>
      <c r="O97">
        <v>11562</v>
      </c>
      <c r="P97" s="220" t="s">
        <v>3327</v>
      </c>
      <c r="Q97">
        <v>372336.08</v>
      </c>
      <c r="R97" s="220" t="s">
        <v>3328</v>
      </c>
      <c r="S97" s="220" t="s">
        <v>3329</v>
      </c>
    </row>
    <row r="98" spans="1:19" x14ac:dyDescent="0.25">
      <c r="A98">
        <v>20234</v>
      </c>
      <c r="B98">
        <v>-443.14</v>
      </c>
      <c r="C98">
        <v>27.43</v>
      </c>
      <c r="D98" s="220">
        <v>-16.155304411228499</v>
      </c>
      <c r="E98">
        <v>905.83</v>
      </c>
      <c r="F98" t="s">
        <v>3330</v>
      </c>
      <c r="G98" s="220">
        <v>-2.0441169833461199</v>
      </c>
      <c r="H98">
        <v>-7365.46</v>
      </c>
      <c r="I98">
        <v>457.6</v>
      </c>
      <c r="J98" s="220">
        <v>-16.095847902097901</v>
      </c>
      <c r="K98">
        <v>14994.14</v>
      </c>
      <c r="L98" t="s">
        <v>3331</v>
      </c>
      <c r="M98" s="220">
        <v>-2.0357370754847599</v>
      </c>
      <c r="N98">
        <v>-16108.18</v>
      </c>
      <c r="O98">
        <v>1588.26</v>
      </c>
      <c r="P98" s="220">
        <v>-10.1420296425018</v>
      </c>
      <c r="Q98">
        <v>50588.74</v>
      </c>
      <c r="R98" s="220" t="s">
        <v>3332</v>
      </c>
      <c r="S98">
        <v>-3.14056212433682</v>
      </c>
    </row>
    <row r="99" spans="1:19" x14ac:dyDescent="0.25">
      <c r="A99">
        <v>20236</v>
      </c>
      <c r="B99">
        <v>12646.66</v>
      </c>
      <c r="C99">
        <v>505.15</v>
      </c>
      <c r="D99" s="220" t="s">
        <v>3333</v>
      </c>
      <c r="E99">
        <v>16703.96</v>
      </c>
      <c r="F99" s="220" t="s">
        <v>3334</v>
      </c>
      <c r="G99" s="220" t="s">
        <v>3335</v>
      </c>
      <c r="H99">
        <v>76414.3</v>
      </c>
      <c r="I99">
        <v>2666.94</v>
      </c>
      <c r="J99" s="220" t="s">
        <v>3336</v>
      </c>
      <c r="K99">
        <v>79399.839999999997</v>
      </c>
      <c r="L99" s="220" t="s">
        <v>3337</v>
      </c>
      <c r="M99" s="220" t="s">
        <v>3338</v>
      </c>
      <c r="N99">
        <v>409694.14</v>
      </c>
      <c r="O99">
        <v>10625.37</v>
      </c>
      <c r="P99" s="220" t="s">
        <v>3339</v>
      </c>
      <c r="Q99">
        <v>293918.09999999998</v>
      </c>
      <c r="R99" s="220" t="s">
        <v>3340</v>
      </c>
      <c r="S99" s="220" t="s">
        <v>3341</v>
      </c>
    </row>
    <row r="100" spans="1:19" x14ac:dyDescent="0.25">
      <c r="A100">
        <v>20239</v>
      </c>
      <c r="B100">
        <v>45657.16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46466.77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-58395.28</v>
      </c>
      <c r="O100">
        <v>0</v>
      </c>
      <c r="P100" s="220">
        <v>0</v>
      </c>
      <c r="Q100">
        <v>0</v>
      </c>
      <c r="R100" s="220">
        <v>0</v>
      </c>
      <c r="S100" s="220">
        <v>0</v>
      </c>
    </row>
    <row r="101" spans="1:19" x14ac:dyDescent="0.25">
      <c r="A101">
        <v>20242</v>
      </c>
      <c r="B101">
        <v>0</v>
      </c>
      <c r="C101">
        <v>0</v>
      </c>
      <c r="D101" s="220">
        <v>0</v>
      </c>
      <c r="E101">
        <v>0</v>
      </c>
      <c r="F101" s="220">
        <v>0</v>
      </c>
      <c r="G101">
        <v>0</v>
      </c>
      <c r="H101">
        <v>0</v>
      </c>
      <c r="I101">
        <v>0</v>
      </c>
      <c r="J101" s="220">
        <v>0</v>
      </c>
      <c r="K101">
        <v>0</v>
      </c>
      <c r="L101" s="220">
        <v>0</v>
      </c>
      <c r="M101">
        <v>0</v>
      </c>
      <c r="N101">
        <v>-179.01</v>
      </c>
      <c r="O101">
        <v>0</v>
      </c>
      <c r="P101" s="220">
        <v>0</v>
      </c>
      <c r="Q101">
        <v>0</v>
      </c>
      <c r="R101" s="220">
        <v>0</v>
      </c>
      <c r="S101" s="220">
        <v>0</v>
      </c>
    </row>
    <row r="102" spans="1:19" x14ac:dyDescent="0.25">
      <c r="A102">
        <v>20244</v>
      </c>
      <c r="B102">
        <v>66605.09</v>
      </c>
      <c r="C102">
        <v>1950.48</v>
      </c>
      <c r="D102" t="s">
        <v>3342</v>
      </c>
      <c r="E102">
        <v>58493.56</v>
      </c>
      <c r="F102" t="s">
        <v>3343</v>
      </c>
      <c r="G102" t="s">
        <v>3344</v>
      </c>
      <c r="H102">
        <v>734586.27</v>
      </c>
      <c r="I102">
        <v>5771.08</v>
      </c>
      <c r="J102" t="s">
        <v>3345</v>
      </c>
      <c r="K102">
        <v>173603.98</v>
      </c>
      <c r="L102" t="s">
        <v>3346</v>
      </c>
      <c r="M102" t="s">
        <v>3347</v>
      </c>
      <c r="N102">
        <v>1047836</v>
      </c>
      <c r="O102">
        <v>22585.46</v>
      </c>
      <c r="P102">
        <v>46.394273129703798</v>
      </c>
      <c r="Q102">
        <v>705935.83</v>
      </c>
      <c r="R102" t="s">
        <v>3348</v>
      </c>
      <c r="S102" t="s">
        <v>3349</v>
      </c>
    </row>
    <row r="103" spans="1:19" x14ac:dyDescent="0.25">
      <c r="A103">
        <v>20245</v>
      </c>
      <c r="B103">
        <v>97015.3</v>
      </c>
      <c r="C103">
        <v>1831.31</v>
      </c>
      <c r="D103" t="s">
        <v>3350</v>
      </c>
      <c r="E103">
        <v>62120.36</v>
      </c>
      <c r="F103" t="s">
        <v>3351</v>
      </c>
      <c r="G103" t="s">
        <v>3352</v>
      </c>
      <c r="H103">
        <v>456481.01</v>
      </c>
      <c r="I103">
        <v>4899.42</v>
      </c>
      <c r="J103" t="s">
        <v>3353</v>
      </c>
      <c r="K103">
        <v>160592.01999999999</v>
      </c>
      <c r="L103" t="s">
        <v>3354</v>
      </c>
      <c r="M103" t="s">
        <v>3355</v>
      </c>
      <c r="N103">
        <v>1279157.08</v>
      </c>
      <c r="O103">
        <v>17258.150000000001</v>
      </c>
      <c r="P103" s="220" t="s">
        <v>3356</v>
      </c>
      <c r="Q103">
        <v>529795.97</v>
      </c>
      <c r="R103" s="220" t="s">
        <v>3357</v>
      </c>
      <c r="S103" s="220" t="s">
        <v>3358</v>
      </c>
    </row>
    <row r="104" spans="1:19" x14ac:dyDescent="0.25">
      <c r="A104">
        <v>20246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11816.58</v>
      </c>
      <c r="I104">
        <v>34.5</v>
      </c>
      <c r="J104" t="s">
        <v>3359</v>
      </c>
      <c r="K104">
        <v>1311.34</v>
      </c>
      <c r="L104" t="s">
        <v>3360</v>
      </c>
      <c r="M104" t="s">
        <v>3361</v>
      </c>
      <c r="N104">
        <v>40594.19</v>
      </c>
      <c r="O104">
        <v>323.26</v>
      </c>
      <c r="P104" s="220" t="s">
        <v>3362</v>
      </c>
      <c r="Q104">
        <v>11354.44</v>
      </c>
      <c r="R104" s="220" t="s">
        <v>3363</v>
      </c>
      <c r="S104" s="220" t="s">
        <v>3364</v>
      </c>
    </row>
    <row r="105" spans="1:19" x14ac:dyDescent="0.25">
      <c r="A105">
        <v>20248</v>
      </c>
      <c r="B105">
        <v>-1746.97</v>
      </c>
      <c r="C105">
        <v>414.85</v>
      </c>
      <c r="D105">
        <v>-4.2110883451849999</v>
      </c>
      <c r="E105">
        <v>14254.38</v>
      </c>
      <c r="F105" t="s">
        <v>3365</v>
      </c>
      <c r="G105">
        <v>-8.1594875699067497</v>
      </c>
      <c r="H105">
        <v>292166.68</v>
      </c>
      <c r="I105">
        <v>1115.44</v>
      </c>
      <c r="J105" t="s">
        <v>3366</v>
      </c>
      <c r="K105">
        <v>37784.410000000003</v>
      </c>
      <c r="L105" t="s">
        <v>3367</v>
      </c>
      <c r="M105" t="s">
        <v>3368</v>
      </c>
      <c r="N105">
        <v>260803.62</v>
      </c>
      <c r="O105">
        <v>4006.87</v>
      </c>
      <c r="P105">
        <v>65.089114445939103</v>
      </c>
      <c r="Q105">
        <v>117205.85</v>
      </c>
      <c r="R105" t="s">
        <v>3369</v>
      </c>
      <c r="S105" t="s">
        <v>3370</v>
      </c>
    </row>
    <row r="106" spans="1:19" x14ac:dyDescent="0.25">
      <c r="A106">
        <v>20250</v>
      </c>
      <c r="B106">
        <v>0</v>
      </c>
      <c r="C106">
        <v>0</v>
      </c>
      <c r="D106">
        <v>0</v>
      </c>
      <c r="E106">
        <v>0</v>
      </c>
      <c r="F106" s="220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220">
        <v>0</v>
      </c>
      <c r="M106">
        <v>0</v>
      </c>
      <c r="N106">
        <v>3642.24</v>
      </c>
      <c r="O106">
        <v>0</v>
      </c>
      <c r="P106" s="220">
        <v>0</v>
      </c>
      <c r="Q106">
        <v>0</v>
      </c>
      <c r="R106" s="220">
        <v>0</v>
      </c>
      <c r="S106" s="220">
        <v>0</v>
      </c>
    </row>
    <row r="107" spans="1:19" x14ac:dyDescent="0.25">
      <c r="A107">
        <v>20251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-9083.8700000000008</v>
      </c>
      <c r="O107">
        <v>0</v>
      </c>
      <c r="P107" s="220">
        <v>0</v>
      </c>
      <c r="Q107">
        <v>0</v>
      </c>
      <c r="R107" s="220">
        <v>0</v>
      </c>
      <c r="S107" s="220">
        <v>0</v>
      </c>
    </row>
    <row r="108" spans="1:19" x14ac:dyDescent="0.25">
      <c r="A108">
        <v>20253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-237</v>
      </c>
      <c r="O108">
        <v>5.99</v>
      </c>
      <c r="P108" s="220">
        <v>-39.565943238731201</v>
      </c>
      <c r="Q108">
        <v>201.62</v>
      </c>
      <c r="R108" s="220" t="s">
        <v>3371</v>
      </c>
      <c r="S108" s="220">
        <v>-0.85071729957805897</v>
      </c>
    </row>
    <row r="109" spans="1:19" x14ac:dyDescent="0.25">
      <c r="A109">
        <v>20254</v>
      </c>
      <c r="B109">
        <v>202146.8</v>
      </c>
      <c r="C109">
        <v>374.51</v>
      </c>
      <c r="D109" s="220" t="s">
        <v>3372</v>
      </c>
      <c r="E109">
        <v>10957.87</v>
      </c>
      <c r="F109" s="220" t="s">
        <v>3373</v>
      </c>
      <c r="G109" s="220">
        <v>5.4207486836299099E-2</v>
      </c>
      <c r="H109">
        <v>202146.8</v>
      </c>
      <c r="I109">
        <v>1789.86</v>
      </c>
      <c r="J109" s="220" t="s">
        <v>3374</v>
      </c>
      <c r="K109">
        <v>61245.01</v>
      </c>
      <c r="L109" s="220" t="s">
        <v>3375</v>
      </c>
      <c r="M109" s="220" t="s">
        <v>3376</v>
      </c>
      <c r="N109">
        <v>454371.6</v>
      </c>
      <c r="O109">
        <v>9503.31</v>
      </c>
      <c r="P109" s="220" t="s">
        <v>3377</v>
      </c>
      <c r="Q109">
        <v>238877.07</v>
      </c>
      <c r="R109" s="220" t="s">
        <v>3378</v>
      </c>
      <c r="S109" s="220" t="s">
        <v>3379</v>
      </c>
    </row>
    <row r="110" spans="1:19" x14ac:dyDescent="0.25">
      <c r="A110">
        <v>20257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-74494.100000000006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>
        <v>20258</v>
      </c>
      <c r="B111">
        <v>0</v>
      </c>
      <c r="C111">
        <v>0</v>
      </c>
      <c r="D111" s="220">
        <v>0</v>
      </c>
      <c r="E111">
        <v>0</v>
      </c>
      <c r="F111" s="220">
        <v>0</v>
      </c>
      <c r="G111">
        <v>0</v>
      </c>
      <c r="H111">
        <v>0</v>
      </c>
      <c r="I111">
        <v>0</v>
      </c>
      <c r="J111" s="220">
        <v>0</v>
      </c>
      <c r="K111">
        <v>0</v>
      </c>
      <c r="L111" s="220">
        <v>0</v>
      </c>
      <c r="M111">
        <v>0</v>
      </c>
      <c r="N111">
        <v>22608</v>
      </c>
      <c r="O111">
        <v>0</v>
      </c>
      <c r="P111" s="220">
        <v>0</v>
      </c>
      <c r="Q111">
        <v>0</v>
      </c>
      <c r="R111" s="220">
        <v>0</v>
      </c>
      <c r="S111" s="220">
        <v>0</v>
      </c>
    </row>
    <row r="112" spans="1:19" x14ac:dyDescent="0.25">
      <c r="A112">
        <v>20259</v>
      </c>
      <c r="B112">
        <v>0</v>
      </c>
      <c r="C112">
        <v>0</v>
      </c>
      <c r="D112" s="220">
        <v>0</v>
      </c>
      <c r="E112">
        <v>0</v>
      </c>
      <c r="F112" s="220">
        <v>0</v>
      </c>
      <c r="G112" s="220">
        <v>0</v>
      </c>
      <c r="H112">
        <v>0</v>
      </c>
      <c r="I112">
        <v>0</v>
      </c>
      <c r="J112" s="220">
        <v>0</v>
      </c>
      <c r="K112">
        <v>0</v>
      </c>
      <c r="L112" s="220">
        <v>0</v>
      </c>
      <c r="M112" s="220">
        <v>0</v>
      </c>
      <c r="N112">
        <v>-13893.18</v>
      </c>
      <c r="O112">
        <v>15.34</v>
      </c>
      <c r="P112" s="220">
        <v>-905.68318122555399</v>
      </c>
      <c r="Q112">
        <v>675.2</v>
      </c>
      <c r="R112" s="220" t="s">
        <v>3380</v>
      </c>
      <c r="S112" s="220">
        <v>-4.8599384734092498E-2</v>
      </c>
    </row>
    <row r="113" spans="1:19" x14ac:dyDescent="0.25">
      <c r="A113">
        <v>20260</v>
      </c>
      <c r="B113">
        <v>0</v>
      </c>
      <c r="C113">
        <v>0</v>
      </c>
      <c r="D113" s="220">
        <v>0</v>
      </c>
      <c r="E113">
        <v>0</v>
      </c>
      <c r="F113" s="220">
        <v>0</v>
      </c>
      <c r="G113" s="220">
        <v>0</v>
      </c>
      <c r="H113">
        <v>0</v>
      </c>
      <c r="I113">
        <v>0</v>
      </c>
      <c r="J113" s="220">
        <v>0</v>
      </c>
      <c r="K113">
        <v>0</v>
      </c>
      <c r="L113" s="220">
        <v>0</v>
      </c>
      <c r="M113" s="220">
        <v>0</v>
      </c>
      <c r="N113">
        <v>-173554.9</v>
      </c>
      <c r="O113">
        <v>26.28</v>
      </c>
      <c r="P113" s="220">
        <v>-6604.06773211567</v>
      </c>
      <c r="Q113">
        <v>816.46</v>
      </c>
      <c r="R113" s="220" t="s">
        <v>3381</v>
      </c>
      <c r="S113" s="220">
        <v>-4.7043327500404701E-3</v>
      </c>
    </row>
    <row r="114" spans="1:19" x14ac:dyDescent="0.25">
      <c r="A114">
        <v>20263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-14047.58</v>
      </c>
      <c r="O114">
        <v>0</v>
      </c>
      <c r="P114" s="220">
        <v>0</v>
      </c>
      <c r="Q114">
        <v>0</v>
      </c>
      <c r="R114" s="220">
        <v>0</v>
      </c>
      <c r="S114" s="220">
        <v>0</v>
      </c>
    </row>
    <row r="115" spans="1:19" x14ac:dyDescent="0.25">
      <c r="A115">
        <v>20264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-933.4</v>
      </c>
      <c r="O115">
        <v>0</v>
      </c>
      <c r="P115">
        <v>0</v>
      </c>
      <c r="Q115">
        <v>0</v>
      </c>
      <c r="R115" s="220">
        <v>0</v>
      </c>
      <c r="S115">
        <v>0</v>
      </c>
    </row>
    <row r="116" spans="1:19" x14ac:dyDescent="0.25">
      <c r="A116">
        <v>20265</v>
      </c>
      <c r="B116">
        <v>0</v>
      </c>
      <c r="C116">
        <v>0</v>
      </c>
      <c r="D116" s="220">
        <v>0</v>
      </c>
      <c r="E116">
        <v>0</v>
      </c>
      <c r="F116" s="220">
        <v>0</v>
      </c>
      <c r="G116" s="220">
        <v>0</v>
      </c>
      <c r="H116">
        <v>0</v>
      </c>
      <c r="I116">
        <v>0</v>
      </c>
      <c r="J116" s="220">
        <v>0</v>
      </c>
      <c r="K116">
        <v>0</v>
      </c>
      <c r="L116" s="220">
        <v>0</v>
      </c>
      <c r="M116" s="220">
        <v>0</v>
      </c>
      <c r="N116">
        <v>5454.61</v>
      </c>
      <c r="O116">
        <v>0</v>
      </c>
      <c r="P116" s="220">
        <v>0</v>
      </c>
      <c r="Q116">
        <v>0</v>
      </c>
      <c r="R116" s="220">
        <v>0</v>
      </c>
      <c r="S116" s="220">
        <v>0</v>
      </c>
    </row>
    <row r="117" spans="1:19" x14ac:dyDescent="0.25">
      <c r="A117">
        <v>20266</v>
      </c>
      <c r="B117">
        <v>67931.13</v>
      </c>
      <c r="C117">
        <v>625.9</v>
      </c>
      <c r="D117" t="s">
        <v>3382</v>
      </c>
      <c r="E117">
        <v>19782.939999999999</v>
      </c>
      <c r="F117" s="220" t="s">
        <v>3383</v>
      </c>
      <c r="G117" t="s">
        <v>3384</v>
      </c>
      <c r="H117">
        <v>937677.92</v>
      </c>
      <c r="I117">
        <v>2405.5</v>
      </c>
      <c r="J117" t="s">
        <v>3385</v>
      </c>
      <c r="K117">
        <v>77597.39</v>
      </c>
      <c r="L117" s="220" t="s">
        <v>3386</v>
      </c>
      <c r="M117">
        <v>8.2754844008697495E-2</v>
      </c>
      <c r="N117">
        <v>5028256.45</v>
      </c>
      <c r="O117">
        <v>4755.5</v>
      </c>
      <c r="P117" t="s">
        <v>3387</v>
      </c>
      <c r="Q117">
        <v>149830.74</v>
      </c>
      <c r="R117" s="220" t="s">
        <v>3388</v>
      </c>
      <c r="S117">
        <v>2.9797752260626999E-2</v>
      </c>
    </row>
    <row r="118" spans="1:19" x14ac:dyDescent="0.25">
      <c r="A118">
        <v>20267</v>
      </c>
      <c r="B118">
        <v>0</v>
      </c>
      <c r="C118">
        <v>0</v>
      </c>
      <c r="D118" s="220">
        <v>0</v>
      </c>
      <c r="E118">
        <v>0</v>
      </c>
      <c r="F118" s="220">
        <v>0</v>
      </c>
      <c r="G118" s="220">
        <v>0</v>
      </c>
      <c r="H118">
        <v>6654.18</v>
      </c>
      <c r="I118">
        <v>63.36</v>
      </c>
      <c r="J118" s="220" t="s">
        <v>3389</v>
      </c>
      <c r="K118">
        <v>2022.17</v>
      </c>
      <c r="L118" s="220" t="s">
        <v>3390</v>
      </c>
      <c r="M118" s="220" t="s">
        <v>3391</v>
      </c>
      <c r="N118">
        <v>38493.300000000003</v>
      </c>
      <c r="O118">
        <v>557.46</v>
      </c>
      <c r="P118" s="220" t="s">
        <v>3392</v>
      </c>
      <c r="Q118">
        <v>18967.13</v>
      </c>
      <c r="R118" s="220" t="s">
        <v>3393</v>
      </c>
      <c r="S118" t="s">
        <v>3394</v>
      </c>
    </row>
    <row r="119" spans="1:19" x14ac:dyDescent="0.25">
      <c r="A119">
        <v>20274</v>
      </c>
      <c r="B119">
        <v>57935.199999999997</v>
      </c>
      <c r="C119">
        <v>1570.11</v>
      </c>
      <c r="D119" t="s">
        <v>3395</v>
      </c>
      <c r="E119">
        <v>53643.13</v>
      </c>
      <c r="F119" t="s">
        <v>3396</v>
      </c>
      <c r="G119" t="s">
        <v>3397</v>
      </c>
      <c r="H119">
        <v>256800.78</v>
      </c>
      <c r="I119">
        <v>3932.68</v>
      </c>
      <c r="J119" t="s">
        <v>3398</v>
      </c>
      <c r="K119">
        <v>138070.98000000001</v>
      </c>
      <c r="L119" t="s">
        <v>3399</v>
      </c>
      <c r="M119" t="s">
        <v>3400</v>
      </c>
      <c r="N119">
        <v>723843.63</v>
      </c>
      <c r="O119">
        <v>12702.61</v>
      </c>
      <c r="P119" t="s">
        <v>3401</v>
      </c>
      <c r="Q119">
        <v>399854.18</v>
      </c>
      <c r="R119" t="s">
        <v>3402</v>
      </c>
      <c r="S119" t="s">
        <v>3403</v>
      </c>
    </row>
    <row r="120" spans="1:19" x14ac:dyDescent="0.25">
      <c r="A120">
        <v>20275</v>
      </c>
      <c r="B120">
        <v>56376.97</v>
      </c>
      <c r="C120">
        <v>1078.73</v>
      </c>
      <c r="D120">
        <v>52.262354806114601</v>
      </c>
      <c r="E120">
        <v>35560.93</v>
      </c>
      <c r="F120" s="220" t="s">
        <v>3404</v>
      </c>
      <c r="G120" t="s">
        <v>3405</v>
      </c>
      <c r="H120">
        <v>284445.28999999998</v>
      </c>
      <c r="I120">
        <v>3429.66</v>
      </c>
      <c r="J120" t="s">
        <v>3406</v>
      </c>
      <c r="K120">
        <v>114218.6</v>
      </c>
      <c r="L120" s="220" t="s">
        <v>3407</v>
      </c>
      <c r="M120" t="s">
        <v>3408</v>
      </c>
      <c r="N120">
        <v>575251.13</v>
      </c>
      <c r="O120">
        <v>6877.42</v>
      </c>
      <c r="P120" t="s">
        <v>3409</v>
      </c>
      <c r="Q120">
        <v>223890.33</v>
      </c>
      <c r="R120" s="220" t="s">
        <v>3410</v>
      </c>
      <c r="S120" t="s">
        <v>3411</v>
      </c>
    </row>
    <row r="121" spans="1:19" x14ac:dyDescent="0.25">
      <c r="A121">
        <v>20276</v>
      </c>
      <c r="B121">
        <v>298.17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1919.69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4237.42</v>
      </c>
      <c r="O121">
        <v>0</v>
      </c>
      <c r="P121" s="220">
        <v>0</v>
      </c>
      <c r="Q121">
        <v>0</v>
      </c>
      <c r="R121">
        <v>0</v>
      </c>
      <c r="S121" s="220">
        <v>0</v>
      </c>
    </row>
    <row r="122" spans="1:19" x14ac:dyDescent="0.25">
      <c r="A122">
        <v>20277</v>
      </c>
      <c r="B122">
        <v>7262.93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7262.93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7993.43</v>
      </c>
      <c r="O122">
        <v>0</v>
      </c>
      <c r="P122" s="220">
        <v>0</v>
      </c>
      <c r="Q122">
        <v>0</v>
      </c>
      <c r="R122">
        <v>0</v>
      </c>
      <c r="S122" s="220">
        <v>0</v>
      </c>
    </row>
    <row r="123" spans="1:19" x14ac:dyDescent="0.25">
      <c r="A123">
        <v>20278</v>
      </c>
      <c r="B123">
        <v>103291</v>
      </c>
      <c r="C123">
        <v>427.54</v>
      </c>
      <c r="D123" t="s">
        <v>3412</v>
      </c>
      <c r="E123">
        <v>15787.66</v>
      </c>
      <c r="F123" t="s">
        <v>3413</v>
      </c>
      <c r="G123" t="s">
        <v>3414</v>
      </c>
      <c r="H123">
        <v>238556.76</v>
      </c>
      <c r="I123">
        <v>1141</v>
      </c>
      <c r="J123" t="s">
        <v>3415</v>
      </c>
      <c r="K123">
        <v>41875.360000000001</v>
      </c>
      <c r="L123" t="s">
        <v>3416</v>
      </c>
      <c r="M123" t="s">
        <v>3417</v>
      </c>
      <c r="N123">
        <v>238556.76</v>
      </c>
      <c r="O123">
        <v>1528.55</v>
      </c>
      <c r="P123" s="220" t="s">
        <v>3418</v>
      </c>
      <c r="Q123">
        <v>56519.8</v>
      </c>
      <c r="R123" s="220" t="s">
        <v>3419</v>
      </c>
      <c r="S123" s="220" t="s">
        <v>3420</v>
      </c>
    </row>
    <row r="124" spans="1:19" x14ac:dyDescent="0.25">
      <c r="A124">
        <v>20279</v>
      </c>
      <c r="B124">
        <v>974.74</v>
      </c>
      <c r="C124">
        <v>0</v>
      </c>
      <c r="D124" s="220">
        <v>0</v>
      </c>
      <c r="E124">
        <v>0</v>
      </c>
      <c r="F124" s="220">
        <v>0</v>
      </c>
      <c r="G124" s="220">
        <v>0</v>
      </c>
      <c r="H124">
        <v>6020.08</v>
      </c>
      <c r="I124">
        <v>0</v>
      </c>
      <c r="J124" s="220">
        <v>0</v>
      </c>
      <c r="K124">
        <v>0</v>
      </c>
      <c r="L124" s="220">
        <v>0</v>
      </c>
      <c r="M124" s="220">
        <v>0</v>
      </c>
      <c r="N124">
        <v>512442.63</v>
      </c>
      <c r="O124">
        <v>3648.16</v>
      </c>
      <c r="P124" s="220" t="s">
        <v>3421</v>
      </c>
      <c r="Q124">
        <v>93215.03</v>
      </c>
      <c r="R124" s="220" t="s">
        <v>3422</v>
      </c>
      <c r="S124" s="220" t="s">
        <v>3423</v>
      </c>
    </row>
    <row r="125" spans="1:19" x14ac:dyDescent="0.25">
      <c r="A125">
        <v>20282</v>
      </c>
      <c r="B125">
        <v>38520.78</v>
      </c>
      <c r="C125">
        <v>796.84</v>
      </c>
      <c r="D125" s="220" t="s">
        <v>3424</v>
      </c>
      <c r="E125">
        <v>21436.31</v>
      </c>
      <c r="F125" s="220" t="s">
        <v>3425</v>
      </c>
      <c r="G125" s="220" t="s">
        <v>3426</v>
      </c>
      <c r="H125">
        <v>98074.82</v>
      </c>
      <c r="I125">
        <v>2122.14</v>
      </c>
      <c r="J125" s="220" t="s">
        <v>3427</v>
      </c>
      <c r="K125">
        <v>60734.9</v>
      </c>
      <c r="L125" s="220" t="s">
        <v>3428</v>
      </c>
      <c r="M125" s="220" t="s">
        <v>3429</v>
      </c>
      <c r="N125">
        <v>245063.79</v>
      </c>
      <c r="O125">
        <v>5741</v>
      </c>
      <c r="P125" s="220" t="s">
        <v>3430</v>
      </c>
      <c r="Q125">
        <v>159947.93</v>
      </c>
      <c r="R125" s="220" t="s">
        <v>3431</v>
      </c>
      <c r="S125" s="220" t="s">
        <v>3432</v>
      </c>
    </row>
    <row r="126" spans="1:19" x14ac:dyDescent="0.25">
      <c r="A126">
        <v>20283</v>
      </c>
      <c r="B126">
        <v>209</v>
      </c>
      <c r="C126">
        <v>83.98</v>
      </c>
      <c r="D126">
        <v>2.4886877828054299</v>
      </c>
      <c r="E126">
        <v>2996.07</v>
      </c>
      <c r="F126" t="s">
        <v>3433</v>
      </c>
      <c r="G126" t="s">
        <v>3434</v>
      </c>
      <c r="H126">
        <v>2271.21</v>
      </c>
      <c r="I126">
        <v>170.64</v>
      </c>
      <c r="J126" t="s">
        <v>3435</v>
      </c>
      <c r="K126">
        <v>4480.57</v>
      </c>
      <c r="L126" t="s">
        <v>3436</v>
      </c>
      <c r="M126" t="s">
        <v>3437</v>
      </c>
      <c r="N126">
        <v>2549.21</v>
      </c>
      <c r="O126">
        <v>170.64</v>
      </c>
      <c r="P126" t="s">
        <v>3438</v>
      </c>
      <c r="Q126">
        <v>4480.57</v>
      </c>
      <c r="R126" s="220" t="s">
        <v>3436</v>
      </c>
      <c r="S126" t="s">
        <v>3439</v>
      </c>
    </row>
    <row r="127" spans="1:19" x14ac:dyDescent="0.25">
      <c r="A127">
        <v>20284</v>
      </c>
      <c r="B127">
        <v>69739.37</v>
      </c>
      <c r="C127">
        <v>719.77</v>
      </c>
      <c r="D127" s="220" t="s">
        <v>3440</v>
      </c>
      <c r="E127">
        <v>26186.25</v>
      </c>
      <c r="F127" s="220" t="s">
        <v>3441</v>
      </c>
      <c r="G127" s="220" t="s">
        <v>3442</v>
      </c>
      <c r="H127">
        <v>126252.26</v>
      </c>
      <c r="I127">
        <v>1668.34</v>
      </c>
      <c r="J127" s="220" t="s">
        <v>3443</v>
      </c>
      <c r="K127">
        <v>56658.21</v>
      </c>
      <c r="L127" s="220" t="s">
        <v>3444</v>
      </c>
      <c r="M127" s="220">
        <v>0.44876986756514298</v>
      </c>
      <c r="N127">
        <v>255010.98</v>
      </c>
      <c r="O127">
        <v>3375.1</v>
      </c>
      <c r="P127" s="220">
        <v>75.556570175698496</v>
      </c>
      <c r="Q127">
        <v>113739.17</v>
      </c>
      <c r="R127" s="220" t="s">
        <v>3445</v>
      </c>
      <c r="S127" s="220" t="s">
        <v>3446</v>
      </c>
    </row>
    <row r="128" spans="1:19" x14ac:dyDescent="0.25">
      <c r="A128">
        <v>20286</v>
      </c>
      <c r="B128">
        <v>64244.58</v>
      </c>
      <c r="C128">
        <v>1425.47</v>
      </c>
      <c r="D128" t="s">
        <v>3447</v>
      </c>
      <c r="E128">
        <v>46762.7</v>
      </c>
      <c r="F128" t="s">
        <v>3448</v>
      </c>
      <c r="G128" t="s">
        <v>3449</v>
      </c>
      <c r="H128">
        <v>256360.73</v>
      </c>
      <c r="I128">
        <v>3741.15</v>
      </c>
      <c r="J128" t="s">
        <v>3450</v>
      </c>
      <c r="K128">
        <v>116301.32</v>
      </c>
      <c r="L128" t="s">
        <v>3451</v>
      </c>
      <c r="M128" t="s">
        <v>3452</v>
      </c>
      <c r="N128">
        <v>587843.15</v>
      </c>
      <c r="O128">
        <v>11389.36</v>
      </c>
      <c r="P128" s="220" t="s">
        <v>3453</v>
      </c>
      <c r="Q128">
        <v>329068.53000000003</v>
      </c>
      <c r="R128" s="220" t="s">
        <v>3454</v>
      </c>
      <c r="S128" s="220">
        <v>0.55978968199255197</v>
      </c>
    </row>
    <row r="129" spans="1:19" x14ac:dyDescent="0.25">
      <c r="A129">
        <v>20287</v>
      </c>
      <c r="B129">
        <v>-86.64</v>
      </c>
      <c r="C129">
        <v>44.78</v>
      </c>
      <c r="D129">
        <v>-1.9347923179991</v>
      </c>
      <c r="E129">
        <v>1454.85</v>
      </c>
      <c r="F129" t="s">
        <v>3455</v>
      </c>
      <c r="G129">
        <v>-16.791897506925199</v>
      </c>
      <c r="H129">
        <v>-11.66</v>
      </c>
      <c r="I129">
        <v>44.78</v>
      </c>
      <c r="J129">
        <v>-0.260384100044662</v>
      </c>
      <c r="K129">
        <v>1454.85</v>
      </c>
      <c r="L129" t="s">
        <v>3455</v>
      </c>
      <c r="M129">
        <v>-124.772727272727</v>
      </c>
      <c r="N129">
        <v>8203.15</v>
      </c>
      <c r="O129">
        <v>117.64</v>
      </c>
      <c r="P129" t="s">
        <v>3456</v>
      </c>
      <c r="Q129">
        <v>4146.33</v>
      </c>
      <c r="R129" s="220" t="s">
        <v>3457</v>
      </c>
      <c r="S129" t="s">
        <v>3458</v>
      </c>
    </row>
    <row r="130" spans="1:19" x14ac:dyDescent="0.25">
      <c r="A130">
        <v>20288</v>
      </c>
      <c r="B130">
        <v>32933.339999999997</v>
      </c>
      <c r="C130">
        <v>317.38</v>
      </c>
      <c r="D130" t="s">
        <v>3459</v>
      </c>
      <c r="E130">
        <v>12253.93</v>
      </c>
      <c r="F130" t="s">
        <v>3460</v>
      </c>
      <c r="G130" t="s">
        <v>3461</v>
      </c>
      <c r="H130">
        <v>81993.440000000002</v>
      </c>
      <c r="I130">
        <v>791.84</v>
      </c>
      <c r="J130" t="s">
        <v>3462</v>
      </c>
      <c r="K130">
        <v>27337.51</v>
      </c>
      <c r="L130" t="s">
        <v>3463</v>
      </c>
      <c r="M130" t="s">
        <v>3464</v>
      </c>
      <c r="N130">
        <v>248737.06</v>
      </c>
      <c r="O130">
        <v>2516.31</v>
      </c>
      <c r="P130" t="s">
        <v>3465</v>
      </c>
      <c r="Q130">
        <v>88641.53</v>
      </c>
      <c r="R130" s="220" t="s">
        <v>3466</v>
      </c>
      <c r="S130" t="s">
        <v>3467</v>
      </c>
    </row>
    <row r="131" spans="1:19" x14ac:dyDescent="0.25">
      <c r="A131">
        <v>20290</v>
      </c>
      <c r="B131">
        <v>750</v>
      </c>
      <c r="C131">
        <v>0</v>
      </c>
      <c r="D131">
        <v>0</v>
      </c>
      <c r="E131">
        <v>0</v>
      </c>
      <c r="F131" s="220">
        <v>0</v>
      </c>
      <c r="G131" s="220">
        <v>0</v>
      </c>
      <c r="H131">
        <v>5959</v>
      </c>
      <c r="I131">
        <v>0</v>
      </c>
      <c r="J131">
        <v>0</v>
      </c>
      <c r="K131">
        <v>0</v>
      </c>
      <c r="L131" s="220">
        <v>0</v>
      </c>
      <c r="M131" s="220">
        <v>0</v>
      </c>
      <c r="N131">
        <v>58146.5</v>
      </c>
      <c r="O131">
        <v>262.06</v>
      </c>
      <c r="P131" s="220" t="s">
        <v>3468</v>
      </c>
      <c r="Q131">
        <v>29040.04</v>
      </c>
      <c r="R131" s="220" t="s">
        <v>3469</v>
      </c>
      <c r="S131" s="220" t="s">
        <v>3470</v>
      </c>
    </row>
    <row r="132" spans="1:19" x14ac:dyDescent="0.25">
      <c r="A132">
        <v>20291</v>
      </c>
      <c r="B132">
        <v>0</v>
      </c>
      <c r="C132">
        <v>0</v>
      </c>
      <c r="D132" s="220">
        <v>0</v>
      </c>
      <c r="E132">
        <v>0</v>
      </c>
      <c r="F132" s="220">
        <v>0</v>
      </c>
      <c r="G132" s="220">
        <v>0</v>
      </c>
      <c r="H132">
        <v>0</v>
      </c>
      <c r="I132">
        <v>0</v>
      </c>
      <c r="J132" s="220">
        <v>0</v>
      </c>
      <c r="K132">
        <v>0</v>
      </c>
      <c r="L132" s="220">
        <v>0</v>
      </c>
      <c r="M132" s="220">
        <v>0</v>
      </c>
      <c r="N132">
        <v>31292.639999999999</v>
      </c>
      <c r="O132">
        <v>641.04999999999995</v>
      </c>
      <c r="P132" s="220" t="s">
        <v>3471</v>
      </c>
      <c r="Q132">
        <v>37879.46</v>
      </c>
      <c r="R132" s="220" t="s">
        <v>3472</v>
      </c>
      <c r="S132" s="220" t="s">
        <v>3473</v>
      </c>
    </row>
    <row r="133" spans="1:19" x14ac:dyDescent="0.25">
      <c r="A133">
        <v>20292</v>
      </c>
      <c r="B133">
        <v>0</v>
      </c>
      <c r="C133">
        <v>113.45</v>
      </c>
      <c r="D133" s="220">
        <v>0</v>
      </c>
      <c r="E133">
        <v>2940.16</v>
      </c>
      <c r="F133" s="220" t="s">
        <v>3474</v>
      </c>
      <c r="G133" s="220">
        <v>0</v>
      </c>
      <c r="H133">
        <v>53567.95</v>
      </c>
      <c r="I133">
        <v>814.62</v>
      </c>
      <c r="J133" s="220" t="s">
        <v>3475</v>
      </c>
      <c r="K133">
        <v>22107.84</v>
      </c>
      <c r="L133" s="220" t="s">
        <v>3476</v>
      </c>
      <c r="M133" s="220" t="s">
        <v>3477</v>
      </c>
      <c r="N133">
        <v>377919.41</v>
      </c>
      <c r="O133">
        <v>4129.45</v>
      </c>
      <c r="P133" s="220" t="s">
        <v>3478</v>
      </c>
      <c r="Q133">
        <v>93574.61</v>
      </c>
      <c r="R133" s="220" t="s">
        <v>3479</v>
      </c>
      <c r="S133" s="220" t="s">
        <v>3480</v>
      </c>
    </row>
    <row r="134" spans="1:19" x14ac:dyDescent="0.25">
      <c r="A134">
        <v>20293</v>
      </c>
      <c r="B134">
        <v>-79.739999999999995</v>
      </c>
      <c r="C134">
        <v>185.56</v>
      </c>
      <c r="D134">
        <v>-0.42972623410217697</v>
      </c>
      <c r="E134">
        <v>6739.67</v>
      </c>
      <c r="F134" t="s">
        <v>3481</v>
      </c>
      <c r="G134">
        <v>-84.520566842237201</v>
      </c>
      <c r="H134">
        <v>-6083.14</v>
      </c>
      <c r="I134">
        <v>325.05</v>
      </c>
      <c r="J134">
        <v>-18.714474696200501</v>
      </c>
      <c r="K134">
        <v>11326.87</v>
      </c>
      <c r="L134" t="s">
        <v>3482</v>
      </c>
      <c r="M134">
        <v>-1.8620104090979299</v>
      </c>
      <c r="N134">
        <v>2499.29</v>
      </c>
      <c r="O134">
        <v>910</v>
      </c>
      <c r="P134" s="220" t="s">
        <v>3483</v>
      </c>
      <c r="Q134">
        <v>26865.06</v>
      </c>
      <c r="R134" s="220" t="s">
        <v>3484</v>
      </c>
      <c r="S134" s="220" t="s">
        <v>3485</v>
      </c>
    </row>
    <row r="135" spans="1:19" x14ac:dyDescent="0.25">
      <c r="A135">
        <v>20294</v>
      </c>
      <c r="B135">
        <v>6654.7</v>
      </c>
      <c r="C135">
        <v>197.41</v>
      </c>
      <c r="D135" s="220" t="s">
        <v>3486</v>
      </c>
      <c r="E135">
        <v>6287.35</v>
      </c>
      <c r="F135" s="220" t="s">
        <v>3487</v>
      </c>
      <c r="G135" s="220" t="s">
        <v>3488</v>
      </c>
      <c r="H135">
        <v>9738.16</v>
      </c>
      <c r="I135">
        <v>523.85</v>
      </c>
      <c r="J135" s="220" t="s">
        <v>3489</v>
      </c>
      <c r="K135">
        <v>18394.37</v>
      </c>
      <c r="L135" s="220" t="s">
        <v>3490</v>
      </c>
      <c r="M135" s="220" t="s">
        <v>3491</v>
      </c>
      <c r="N135">
        <v>60235.78</v>
      </c>
      <c r="O135">
        <v>768.51</v>
      </c>
      <c r="P135" s="220">
        <v>78.379956018789599</v>
      </c>
      <c r="Q135">
        <v>26589.81</v>
      </c>
      <c r="R135" s="220" t="s">
        <v>3492</v>
      </c>
      <c r="S135" s="220" t="s">
        <v>3493</v>
      </c>
    </row>
    <row r="136" spans="1:19" x14ac:dyDescent="0.25">
      <c r="A136">
        <v>20295</v>
      </c>
      <c r="B136">
        <v>332043.3</v>
      </c>
      <c r="C136">
        <v>367.5</v>
      </c>
      <c r="D136" s="220" t="s">
        <v>3494</v>
      </c>
      <c r="E136">
        <v>13146.02</v>
      </c>
      <c r="F136" s="220" t="s">
        <v>3495</v>
      </c>
      <c r="G136" s="220">
        <v>3.95912822213247E-2</v>
      </c>
      <c r="H136">
        <v>116431.51</v>
      </c>
      <c r="I136">
        <v>1026.83</v>
      </c>
      <c r="J136" s="220" t="s">
        <v>3496</v>
      </c>
      <c r="K136">
        <v>35338.18</v>
      </c>
      <c r="L136" s="220" t="s">
        <v>3497</v>
      </c>
      <c r="M136" s="220" t="s">
        <v>3498</v>
      </c>
      <c r="N136">
        <v>-828.89</v>
      </c>
      <c r="O136">
        <v>2213.0300000000002</v>
      </c>
      <c r="P136" s="220">
        <v>-0.37454982535256998</v>
      </c>
      <c r="Q136">
        <v>72518.92</v>
      </c>
      <c r="R136" s="220" t="s">
        <v>3499</v>
      </c>
      <c r="S136" s="220">
        <v>-87.489196395178993</v>
      </c>
    </row>
    <row r="137" spans="1:19" x14ac:dyDescent="0.25">
      <c r="A137">
        <v>20296</v>
      </c>
      <c r="B137">
        <v>6334.73</v>
      </c>
      <c r="C137">
        <v>135.05000000000001</v>
      </c>
      <c r="D137" s="220" t="s">
        <v>3500</v>
      </c>
      <c r="E137">
        <v>4354.08</v>
      </c>
      <c r="F137" s="220" t="s">
        <v>3501</v>
      </c>
      <c r="G137" s="220">
        <v>0.68733474039146103</v>
      </c>
      <c r="H137">
        <v>16406.84</v>
      </c>
      <c r="I137">
        <v>217.21</v>
      </c>
      <c r="J137" s="220" t="s">
        <v>3502</v>
      </c>
      <c r="K137">
        <v>6991.58</v>
      </c>
      <c r="L137" s="220" t="s">
        <v>3503</v>
      </c>
      <c r="M137" s="220" t="s">
        <v>3504</v>
      </c>
      <c r="N137">
        <v>98031.53</v>
      </c>
      <c r="O137">
        <v>1082.69</v>
      </c>
      <c r="P137" s="220" t="s">
        <v>3505</v>
      </c>
      <c r="Q137">
        <v>29699.03</v>
      </c>
      <c r="R137" s="220" t="s">
        <v>3506</v>
      </c>
      <c r="S137" s="220" t="s">
        <v>3507</v>
      </c>
    </row>
    <row r="138" spans="1:19" x14ac:dyDescent="0.25">
      <c r="A138">
        <v>20298</v>
      </c>
      <c r="B138">
        <v>8364.52</v>
      </c>
      <c r="C138">
        <v>179.21</v>
      </c>
      <c r="D138" s="220" t="s">
        <v>3508</v>
      </c>
      <c r="E138">
        <v>4257.2299999999996</v>
      </c>
      <c r="F138" s="220">
        <v>23.755538195413202</v>
      </c>
      <c r="G138" s="220" t="s">
        <v>3509</v>
      </c>
      <c r="H138">
        <v>52351.63</v>
      </c>
      <c r="I138">
        <v>364.27</v>
      </c>
      <c r="J138" s="220" t="s">
        <v>3510</v>
      </c>
      <c r="K138">
        <v>8620.01</v>
      </c>
      <c r="L138" s="220" t="s">
        <v>3511</v>
      </c>
      <c r="M138" s="220" t="s">
        <v>3512</v>
      </c>
      <c r="N138">
        <v>81331.600000000006</v>
      </c>
      <c r="O138">
        <v>364.27</v>
      </c>
      <c r="P138" s="220">
        <v>223.27284706399101</v>
      </c>
      <c r="Q138">
        <v>8620.01</v>
      </c>
      <c r="R138" s="220" t="s">
        <v>3511</v>
      </c>
      <c r="S138" s="220" t="s">
        <v>3513</v>
      </c>
    </row>
    <row r="139" spans="1:19" x14ac:dyDescent="0.25">
      <c r="A139">
        <v>20299</v>
      </c>
      <c r="B139">
        <v>330.5</v>
      </c>
      <c r="C139">
        <v>0</v>
      </c>
      <c r="D139" s="220">
        <v>0</v>
      </c>
      <c r="E139">
        <v>0</v>
      </c>
      <c r="F139" s="220">
        <v>0</v>
      </c>
      <c r="G139" s="220">
        <v>0</v>
      </c>
      <c r="H139">
        <v>1934</v>
      </c>
      <c r="I139">
        <v>0</v>
      </c>
      <c r="J139" s="220">
        <v>0</v>
      </c>
      <c r="K139">
        <v>0</v>
      </c>
      <c r="L139" s="220">
        <v>0</v>
      </c>
      <c r="M139" s="220">
        <v>0</v>
      </c>
      <c r="N139">
        <v>3135.5</v>
      </c>
      <c r="O139">
        <v>0</v>
      </c>
      <c r="P139" s="220">
        <v>0</v>
      </c>
      <c r="Q139">
        <v>0</v>
      </c>
      <c r="R139">
        <v>0</v>
      </c>
      <c r="S139">
        <v>0</v>
      </c>
    </row>
    <row r="140" spans="1:19" x14ac:dyDescent="0.25">
      <c r="A140">
        <v>20300</v>
      </c>
      <c r="B140">
        <v>9808.66</v>
      </c>
      <c r="C140">
        <v>5.37</v>
      </c>
      <c r="D140" t="s">
        <v>3514</v>
      </c>
      <c r="E140">
        <v>178.88</v>
      </c>
      <c r="F140" t="s">
        <v>3515</v>
      </c>
      <c r="G140" t="s">
        <v>3516</v>
      </c>
      <c r="H140">
        <v>1055.3800000000001</v>
      </c>
      <c r="I140">
        <v>35.68</v>
      </c>
      <c r="J140" t="s">
        <v>3517</v>
      </c>
      <c r="K140">
        <v>1384.99</v>
      </c>
      <c r="L140" t="s">
        <v>3518</v>
      </c>
      <c r="M140" t="s">
        <v>3519</v>
      </c>
      <c r="N140">
        <v>6448.46</v>
      </c>
      <c r="O140">
        <v>35.68</v>
      </c>
      <c r="P140" s="220" t="s">
        <v>3520</v>
      </c>
      <c r="Q140">
        <v>1384.99</v>
      </c>
      <c r="R140" s="220" t="s">
        <v>3518</v>
      </c>
      <c r="S140" s="220" t="s">
        <v>3521</v>
      </c>
    </row>
    <row r="141" spans="1:19" x14ac:dyDescent="0.25">
      <c r="A141">
        <v>20301</v>
      </c>
      <c r="B141">
        <v>945.28</v>
      </c>
      <c r="C141">
        <v>70.34</v>
      </c>
      <c r="D141" s="220" t="s">
        <v>3522</v>
      </c>
      <c r="E141">
        <v>2067.9899999999998</v>
      </c>
      <c r="F141" s="220" t="s">
        <v>3523</v>
      </c>
      <c r="G141" s="220" t="s">
        <v>3524</v>
      </c>
      <c r="H141">
        <v>695.78</v>
      </c>
      <c r="I141">
        <v>78.34</v>
      </c>
      <c r="J141" s="220" t="s">
        <v>3525</v>
      </c>
      <c r="K141">
        <v>2303.19</v>
      </c>
      <c r="L141" s="220" t="s">
        <v>3526</v>
      </c>
      <c r="M141" s="220">
        <v>3.31022737072063</v>
      </c>
      <c r="N141">
        <v>1860.38</v>
      </c>
      <c r="O141">
        <v>78.34</v>
      </c>
      <c r="P141" s="220" t="s">
        <v>3527</v>
      </c>
      <c r="Q141">
        <v>2303.19</v>
      </c>
      <c r="R141" t="s">
        <v>3526</v>
      </c>
      <c r="S141" s="220" t="s">
        <v>3528</v>
      </c>
    </row>
    <row r="142" spans="1:19" x14ac:dyDescent="0.25">
      <c r="A142">
        <v>20302</v>
      </c>
      <c r="B142">
        <v>0</v>
      </c>
      <c r="C142">
        <v>0</v>
      </c>
      <c r="D142">
        <v>0</v>
      </c>
      <c r="E142">
        <v>0</v>
      </c>
      <c r="F142" s="220">
        <v>0</v>
      </c>
      <c r="G142" s="220">
        <v>0</v>
      </c>
      <c r="H142">
        <v>1076.3900000000001</v>
      </c>
      <c r="I142">
        <v>0</v>
      </c>
      <c r="J142">
        <v>0</v>
      </c>
      <c r="K142">
        <v>0</v>
      </c>
      <c r="L142" s="220">
        <v>0</v>
      </c>
      <c r="M142" s="220">
        <v>0</v>
      </c>
      <c r="N142">
        <v>2145.44</v>
      </c>
      <c r="O142">
        <v>9.51</v>
      </c>
      <c r="P142" s="220" t="s">
        <v>3529</v>
      </c>
      <c r="Q142">
        <v>277.69</v>
      </c>
      <c r="R142" s="220" t="s">
        <v>3530</v>
      </c>
      <c r="S142" t="s">
        <v>3531</v>
      </c>
    </row>
    <row r="143" spans="1:19" x14ac:dyDescent="0.25">
      <c r="A143">
        <v>20303</v>
      </c>
      <c r="B143">
        <v>0</v>
      </c>
      <c r="C143">
        <v>0</v>
      </c>
      <c r="D143" s="220">
        <v>0</v>
      </c>
      <c r="E143">
        <v>0</v>
      </c>
      <c r="F143" s="220">
        <v>0</v>
      </c>
      <c r="G143" s="220">
        <v>0</v>
      </c>
      <c r="H143">
        <v>0</v>
      </c>
      <c r="I143">
        <v>0</v>
      </c>
      <c r="J143" s="220">
        <v>0</v>
      </c>
      <c r="K143">
        <v>0</v>
      </c>
      <c r="L143" s="220">
        <v>0</v>
      </c>
      <c r="M143" s="220">
        <v>0</v>
      </c>
      <c r="N143">
        <v>541.5</v>
      </c>
      <c r="O143">
        <v>0</v>
      </c>
      <c r="P143" s="220">
        <v>0</v>
      </c>
      <c r="Q143">
        <v>0</v>
      </c>
      <c r="R143" s="220">
        <v>0</v>
      </c>
      <c r="S143" s="220">
        <v>0</v>
      </c>
    </row>
    <row r="144" spans="1:19" x14ac:dyDescent="0.25">
      <c r="A144">
        <v>20304</v>
      </c>
      <c r="B144">
        <v>3933.62</v>
      </c>
      <c r="C144">
        <v>400.1</v>
      </c>
      <c r="D144" t="s">
        <v>3532</v>
      </c>
      <c r="E144">
        <v>14277.78</v>
      </c>
      <c r="F144" t="s">
        <v>3533</v>
      </c>
      <c r="G144" t="s">
        <v>3534</v>
      </c>
      <c r="H144">
        <v>25213.99</v>
      </c>
      <c r="I144">
        <v>783.48</v>
      </c>
      <c r="J144" t="s">
        <v>3535</v>
      </c>
      <c r="K144">
        <v>27457.13</v>
      </c>
      <c r="L144" t="s">
        <v>3536</v>
      </c>
      <c r="M144" t="s">
        <v>3537</v>
      </c>
      <c r="N144">
        <v>60664.61</v>
      </c>
      <c r="O144">
        <v>843.65</v>
      </c>
      <c r="P144" s="220">
        <v>71.907319386001305</v>
      </c>
      <c r="Q144">
        <v>28701.26</v>
      </c>
      <c r="R144" s="220" t="s">
        <v>3538</v>
      </c>
      <c r="S144" s="220" t="s">
        <v>3539</v>
      </c>
    </row>
    <row r="145" spans="1:19" x14ac:dyDescent="0.25">
      <c r="A145">
        <v>20305</v>
      </c>
      <c r="B145">
        <v>21793.73</v>
      </c>
      <c r="C145">
        <v>557.03</v>
      </c>
      <c r="D145" s="220" t="s">
        <v>3540</v>
      </c>
      <c r="E145">
        <v>17483.189999999999</v>
      </c>
      <c r="F145" s="220" t="s">
        <v>3541</v>
      </c>
      <c r="G145" s="220" t="s">
        <v>3542</v>
      </c>
      <c r="H145">
        <v>23935.97</v>
      </c>
      <c r="I145">
        <v>673.9</v>
      </c>
      <c r="J145" s="220" t="s">
        <v>3543</v>
      </c>
      <c r="K145">
        <v>21111.74</v>
      </c>
      <c r="L145" s="220" t="s">
        <v>3544</v>
      </c>
      <c r="M145" s="220" t="s">
        <v>3545</v>
      </c>
      <c r="N145">
        <v>80828.600000000006</v>
      </c>
      <c r="O145">
        <v>778.35</v>
      </c>
      <c r="P145" s="220" t="s">
        <v>3546</v>
      </c>
      <c r="Q145">
        <v>23422.78</v>
      </c>
      <c r="R145" s="220" t="s">
        <v>3547</v>
      </c>
      <c r="S145" s="220" t="s">
        <v>3548</v>
      </c>
    </row>
    <row r="146" spans="1:19" x14ac:dyDescent="0.25">
      <c r="A146">
        <v>20306</v>
      </c>
      <c r="B146">
        <v>291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-363925.29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1732.56</v>
      </c>
      <c r="O146">
        <v>88</v>
      </c>
      <c r="P146" t="s">
        <v>3549</v>
      </c>
      <c r="Q146">
        <v>2161.96</v>
      </c>
      <c r="R146" s="220" t="s">
        <v>3550</v>
      </c>
      <c r="S146" t="s">
        <v>3551</v>
      </c>
    </row>
    <row r="147" spans="1:19" x14ac:dyDescent="0.25">
      <c r="A147">
        <v>20327</v>
      </c>
      <c r="B147">
        <v>0</v>
      </c>
      <c r="C147">
        <v>0</v>
      </c>
      <c r="D147" s="220">
        <v>0</v>
      </c>
      <c r="E147">
        <v>0</v>
      </c>
      <c r="F147" s="220">
        <v>0</v>
      </c>
      <c r="G147" s="220">
        <v>0</v>
      </c>
      <c r="H147">
        <v>0</v>
      </c>
      <c r="I147">
        <v>0</v>
      </c>
      <c r="J147" s="220">
        <v>0</v>
      </c>
      <c r="K147">
        <v>0</v>
      </c>
      <c r="L147" s="220">
        <v>0</v>
      </c>
      <c r="M147" s="220">
        <v>0</v>
      </c>
      <c r="N147">
        <v>0.6</v>
      </c>
      <c r="O147">
        <v>0</v>
      </c>
      <c r="P147" s="220">
        <v>0</v>
      </c>
      <c r="Q147">
        <v>0</v>
      </c>
      <c r="R147" s="220">
        <v>0</v>
      </c>
      <c r="S147" s="220">
        <v>0</v>
      </c>
    </row>
    <row r="148" spans="1:19" x14ac:dyDescent="0.25">
      <c r="A148">
        <v>20330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2790</v>
      </c>
      <c r="O148">
        <v>57.08</v>
      </c>
      <c r="P148" t="s">
        <v>3552</v>
      </c>
      <c r="Q148">
        <v>2474.23</v>
      </c>
      <c r="R148" t="s">
        <v>3553</v>
      </c>
      <c r="S148">
        <v>0.88682078853046598</v>
      </c>
    </row>
    <row r="149" spans="1:19" x14ac:dyDescent="0.25">
      <c r="A149">
        <v>20359</v>
      </c>
      <c r="B149">
        <v>0</v>
      </c>
      <c r="C149">
        <v>0</v>
      </c>
      <c r="D149">
        <v>0</v>
      </c>
      <c r="E149">
        <v>0</v>
      </c>
      <c r="F149" s="220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220">
        <v>0</v>
      </c>
      <c r="M149">
        <v>0</v>
      </c>
      <c r="N149">
        <v>510.94</v>
      </c>
      <c r="O149">
        <v>0</v>
      </c>
      <c r="P149">
        <v>0</v>
      </c>
      <c r="Q149">
        <v>0</v>
      </c>
      <c r="R149" s="220">
        <v>0</v>
      </c>
      <c r="S149">
        <v>0</v>
      </c>
    </row>
    <row r="150" spans="1:19" x14ac:dyDescent="0.25">
      <c r="A150">
        <v>20392</v>
      </c>
      <c r="B150">
        <v>0</v>
      </c>
      <c r="C150">
        <v>0</v>
      </c>
      <c r="D150" s="220">
        <v>0</v>
      </c>
      <c r="E150">
        <v>0</v>
      </c>
      <c r="F150">
        <v>0</v>
      </c>
      <c r="G150" s="220">
        <v>0</v>
      </c>
      <c r="H150">
        <v>0</v>
      </c>
      <c r="I150">
        <v>0</v>
      </c>
      <c r="J150" s="220">
        <v>0</v>
      </c>
      <c r="K150">
        <v>0</v>
      </c>
      <c r="L150">
        <v>0</v>
      </c>
      <c r="M150" s="220">
        <v>0</v>
      </c>
      <c r="N150">
        <v>9099</v>
      </c>
      <c r="O150">
        <v>78.89</v>
      </c>
      <c r="P150" s="220" t="s">
        <v>3554</v>
      </c>
      <c r="Q150">
        <v>2585.88</v>
      </c>
      <c r="R150" s="220" t="s">
        <v>3555</v>
      </c>
      <c r="S150" s="220" t="s">
        <v>3556</v>
      </c>
    </row>
    <row r="151" spans="1:19" x14ac:dyDescent="0.25">
      <c r="A151">
        <v>20500</v>
      </c>
      <c r="B151">
        <v>8728.4599999999991</v>
      </c>
      <c r="C151">
        <v>308.2</v>
      </c>
      <c r="D151" t="s">
        <v>3557</v>
      </c>
      <c r="E151">
        <v>9927.11</v>
      </c>
      <c r="F151">
        <v>32.209961064243998</v>
      </c>
      <c r="G151" t="s">
        <v>3558</v>
      </c>
      <c r="H151">
        <v>109787.8</v>
      </c>
      <c r="I151">
        <v>2012.94</v>
      </c>
      <c r="J151" t="s">
        <v>3559</v>
      </c>
      <c r="K151">
        <v>63034.6</v>
      </c>
      <c r="L151" t="s">
        <v>3560</v>
      </c>
      <c r="M151" t="s">
        <v>3561</v>
      </c>
      <c r="N151">
        <v>542155.09</v>
      </c>
      <c r="O151">
        <v>5070.8</v>
      </c>
      <c r="P151" s="220" t="s">
        <v>3562</v>
      </c>
      <c r="Q151">
        <v>159686.57</v>
      </c>
      <c r="R151" t="s">
        <v>3563</v>
      </c>
      <c r="S151" s="220" t="s">
        <v>3564</v>
      </c>
    </row>
    <row r="152" spans="1:19" x14ac:dyDescent="0.25">
      <c r="A152">
        <v>20502</v>
      </c>
      <c r="B152">
        <v>0</v>
      </c>
      <c r="C152">
        <v>0</v>
      </c>
      <c r="D152">
        <v>0</v>
      </c>
      <c r="E152">
        <v>0</v>
      </c>
      <c r="F152" s="220">
        <v>0</v>
      </c>
      <c r="G152" s="220">
        <v>0</v>
      </c>
      <c r="H152">
        <v>0</v>
      </c>
      <c r="I152">
        <v>0</v>
      </c>
      <c r="J152">
        <v>0</v>
      </c>
      <c r="K152">
        <v>0</v>
      </c>
      <c r="L152" s="220">
        <v>0</v>
      </c>
      <c r="M152" s="220">
        <v>0</v>
      </c>
      <c r="N152">
        <v>8939.84</v>
      </c>
      <c r="O152">
        <v>51.2</v>
      </c>
      <c r="P152" s="220">
        <v>174.60624999999999</v>
      </c>
      <c r="Q152">
        <v>1500.87</v>
      </c>
      <c r="R152" s="220">
        <v>29.313867187500001</v>
      </c>
      <c r="S152" s="220" t="s">
        <v>3565</v>
      </c>
    </row>
    <row r="153" spans="1:19" x14ac:dyDescent="0.25">
      <c r="A153">
        <v>20504</v>
      </c>
      <c r="B153">
        <v>0</v>
      </c>
      <c r="C153">
        <v>0</v>
      </c>
      <c r="D153" s="220">
        <v>0</v>
      </c>
      <c r="E153">
        <v>0</v>
      </c>
      <c r="F153" s="220">
        <v>0</v>
      </c>
      <c r="G153" s="220">
        <v>0</v>
      </c>
      <c r="H153">
        <v>0</v>
      </c>
      <c r="I153">
        <v>0</v>
      </c>
      <c r="J153" s="220">
        <v>0</v>
      </c>
      <c r="K153">
        <v>0</v>
      </c>
      <c r="L153" s="220">
        <v>0</v>
      </c>
      <c r="M153" s="220">
        <v>0</v>
      </c>
      <c r="N153">
        <v>2766</v>
      </c>
      <c r="O153">
        <v>18.649999999999999</v>
      </c>
      <c r="P153" s="220" t="s">
        <v>3566</v>
      </c>
      <c r="Q153">
        <v>609.92999999999995</v>
      </c>
      <c r="R153" s="220" t="s">
        <v>3567</v>
      </c>
      <c r="S153" s="220" t="s">
        <v>3568</v>
      </c>
    </row>
    <row r="154" spans="1:19" x14ac:dyDescent="0.25">
      <c r="A154">
        <v>20509</v>
      </c>
      <c r="B154">
        <v>0</v>
      </c>
      <c r="C154">
        <v>0</v>
      </c>
      <c r="D154" s="220">
        <v>0</v>
      </c>
      <c r="E154">
        <v>0</v>
      </c>
      <c r="F154" s="220">
        <v>0</v>
      </c>
      <c r="G154" s="220">
        <v>0</v>
      </c>
      <c r="H154">
        <v>21781</v>
      </c>
      <c r="I154">
        <v>0</v>
      </c>
      <c r="J154" s="220">
        <v>0</v>
      </c>
      <c r="K154">
        <v>0</v>
      </c>
      <c r="L154" s="220">
        <v>0</v>
      </c>
      <c r="M154" s="220">
        <v>0</v>
      </c>
      <c r="N154">
        <v>21781</v>
      </c>
      <c r="O154">
        <v>0</v>
      </c>
      <c r="P154" s="220">
        <v>0</v>
      </c>
      <c r="Q154">
        <v>0</v>
      </c>
      <c r="R154" s="220">
        <v>0</v>
      </c>
      <c r="S154" s="220">
        <v>0</v>
      </c>
    </row>
    <row r="155" spans="1:19" x14ac:dyDescent="0.25">
      <c r="A155">
        <v>20510</v>
      </c>
      <c r="B155">
        <v>-116.2</v>
      </c>
      <c r="C155">
        <v>0</v>
      </c>
      <c r="D155" s="220">
        <v>0</v>
      </c>
      <c r="E155">
        <v>0</v>
      </c>
      <c r="F155" s="220">
        <v>0</v>
      </c>
      <c r="G155" s="220">
        <v>0</v>
      </c>
      <c r="H155">
        <v>-116.2</v>
      </c>
      <c r="I155">
        <v>0</v>
      </c>
      <c r="J155" s="220">
        <v>0</v>
      </c>
      <c r="K155">
        <v>0</v>
      </c>
      <c r="L155" s="220">
        <v>0</v>
      </c>
      <c r="M155" s="220">
        <v>0</v>
      </c>
      <c r="N155">
        <v>42865.63</v>
      </c>
      <c r="O155">
        <v>247.24</v>
      </c>
      <c r="P155" s="220" t="s">
        <v>3569</v>
      </c>
      <c r="Q155">
        <v>8292.56</v>
      </c>
      <c r="R155" s="220" t="s">
        <v>3570</v>
      </c>
      <c r="S155" s="220" t="s">
        <v>3571</v>
      </c>
    </row>
    <row r="156" spans="1:19" x14ac:dyDescent="0.25">
      <c r="A156">
        <v>20532</v>
      </c>
      <c r="B156">
        <v>0</v>
      </c>
      <c r="C156">
        <v>0</v>
      </c>
      <c r="D156" s="220">
        <v>0</v>
      </c>
      <c r="E156">
        <v>0</v>
      </c>
      <c r="F156" s="220">
        <v>0</v>
      </c>
      <c r="G156" s="220">
        <v>0</v>
      </c>
      <c r="H156">
        <v>0</v>
      </c>
      <c r="I156">
        <v>0</v>
      </c>
      <c r="J156" s="220">
        <v>0</v>
      </c>
      <c r="K156">
        <v>0</v>
      </c>
      <c r="L156" s="220">
        <v>0</v>
      </c>
      <c r="M156" s="220">
        <v>0</v>
      </c>
      <c r="N156">
        <v>31949.1</v>
      </c>
      <c r="O156">
        <v>270.3</v>
      </c>
      <c r="P156" s="220" t="s">
        <v>3572</v>
      </c>
      <c r="Q156">
        <v>8402.58</v>
      </c>
      <c r="R156" s="220" t="s">
        <v>3573</v>
      </c>
      <c r="S156" s="220" t="s">
        <v>3574</v>
      </c>
    </row>
    <row r="157" spans="1:19" x14ac:dyDescent="0.25">
      <c r="A157">
        <v>20568</v>
      </c>
      <c r="B157">
        <v>0</v>
      </c>
      <c r="C157">
        <v>0</v>
      </c>
      <c r="D157" s="220">
        <v>0</v>
      </c>
      <c r="E157">
        <v>0</v>
      </c>
      <c r="F157" s="220">
        <v>0</v>
      </c>
      <c r="G157" s="220">
        <v>0</v>
      </c>
      <c r="H157">
        <v>-529</v>
      </c>
      <c r="I157">
        <v>0</v>
      </c>
      <c r="J157" s="220">
        <v>0</v>
      </c>
      <c r="K157">
        <v>0</v>
      </c>
      <c r="L157" s="220">
        <v>0</v>
      </c>
      <c r="M157" s="220">
        <v>0</v>
      </c>
      <c r="N157">
        <v>32144.799999999999</v>
      </c>
      <c r="O157">
        <v>368.54</v>
      </c>
      <c r="P157" s="220" t="s">
        <v>3575</v>
      </c>
      <c r="Q157">
        <v>11333.25</v>
      </c>
      <c r="R157" s="220" t="s">
        <v>3576</v>
      </c>
      <c r="S157" s="220" t="s">
        <v>3577</v>
      </c>
    </row>
    <row r="158" spans="1:19" x14ac:dyDescent="0.25">
      <c r="A158">
        <v>20574</v>
      </c>
      <c r="B158">
        <v>2375</v>
      </c>
      <c r="C158">
        <v>18.440000000000001</v>
      </c>
      <c r="D158" s="220" t="s">
        <v>3578</v>
      </c>
      <c r="E158">
        <v>976.01</v>
      </c>
      <c r="F158" s="220" t="s">
        <v>3579</v>
      </c>
      <c r="G158" s="220" t="s">
        <v>3580</v>
      </c>
      <c r="H158">
        <v>2375</v>
      </c>
      <c r="I158">
        <v>18.440000000000001</v>
      </c>
      <c r="J158" s="220" t="s">
        <v>3578</v>
      </c>
      <c r="K158">
        <v>976.01</v>
      </c>
      <c r="L158" s="220" t="s">
        <v>3579</v>
      </c>
      <c r="M158" s="220" t="s">
        <v>3580</v>
      </c>
      <c r="N158">
        <v>2375</v>
      </c>
      <c r="O158">
        <v>18.440000000000001</v>
      </c>
      <c r="P158" s="220" t="s">
        <v>3578</v>
      </c>
      <c r="Q158">
        <v>976.01</v>
      </c>
      <c r="R158" s="220" t="s">
        <v>3579</v>
      </c>
      <c r="S158" s="220" t="s">
        <v>3580</v>
      </c>
    </row>
    <row r="159" spans="1:19" x14ac:dyDescent="0.25">
      <c r="A159">
        <v>20604</v>
      </c>
      <c r="B159">
        <v>1801.07</v>
      </c>
      <c r="C159">
        <v>6.7</v>
      </c>
      <c r="D159" t="s">
        <v>3581</v>
      </c>
      <c r="E159">
        <v>206.67</v>
      </c>
      <c r="F159" t="s">
        <v>3582</v>
      </c>
      <c r="G159" t="s">
        <v>3583</v>
      </c>
      <c r="H159">
        <v>1801.07</v>
      </c>
      <c r="I159">
        <v>6.7</v>
      </c>
      <c r="J159" t="s">
        <v>3581</v>
      </c>
      <c r="K159">
        <v>206.67</v>
      </c>
      <c r="L159" t="s">
        <v>3582</v>
      </c>
      <c r="M159" t="s">
        <v>3583</v>
      </c>
      <c r="N159">
        <v>1801.07</v>
      </c>
      <c r="O159">
        <v>6.7</v>
      </c>
      <c r="P159" t="s">
        <v>3581</v>
      </c>
      <c r="Q159">
        <v>206.67</v>
      </c>
      <c r="R159" t="s">
        <v>3582</v>
      </c>
      <c r="S159" t="s">
        <v>3583</v>
      </c>
    </row>
    <row r="160" spans="1:19" x14ac:dyDescent="0.25">
      <c r="A160">
        <v>20610</v>
      </c>
      <c r="B160">
        <v>0</v>
      </c>
      <c r="C160">
        <v>0</v>
      </c>
      <c r="D160">
        <v>0</v>
      </c>
      <c r="E160">
        <v>0</v>
      </c>
      <c r="F160" s="220">
        <v>0</v>
      </c>
      <c r="G160">
        <v>0</v>
      </c>
      <c r="H160">
        <v>27300.6</v>
      </c>
      <c r="I160">
        <v>0</v>
      </c>
      <c r="J160">
        <v>0</v>
      </c>
      <c r="K160">
        <v>0</v>
      </c>
      <c r="L160" s="220">
        <v>0</v>
      </c>
      <c r="M160">
        <v>0</v>
      </c>
      <c r="N160">
        <v>27300.6</v>
      </c>
      <c r="O160">
        <v>0</v>
      </c>
      <c r="P160" s="220">
        <v>0</v>
      </c>
      <c r="Q160">
        <v>0</v>
      </c>
      <c r="R160" s="220">
        <v>0</v>
      </c>
      <c r="S160" s="220">
        <v>0</v>
      </c>
    </row>
    <row r="161" spans="1:19" x14ac:dyDescent="0.25">
      <c r="A161">
        <v>20627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350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>
        <v>20641</v>
      </c>
      <c r="B162">
        <v>0</v>
      </c>
      <c r="C162">
        <v>0</v>
      </c>
      <c r="D162" s="220">
        <v>0</v>
      </c>
      <c r="E162">
        <v>0</v>
      </c>
      <c r="F162" s="220">
        <v>0</v>
      </c>
      <c r="G162" s="220">
        <v>0</v>
      </c>
      <c r="H162">
        <v>0</v>
      </c>
      <c r="I162">
        <v>0</v>
      </c>
      <c r="J162" s="220">
        <v>0</v>
      </c>
      <c r="K162">
        <v>0</v>
      </c>
      <c r="L162" s="220">
        <v>0</v>
      </c>
      <c r="M162" s="220">
        <v>0</v>
      </c>
      <c r="N162">
        <v>34275.410000000003</v>
      </c>
      <c r="O162">
        <v>158</v>
      </c>
      <c r="P162" s="220" t="s">
        <v>3584</v>
      </c>
      <c r="Q162">
        <v>5087.09</v>
      </c>
      <c r="R162" s="220" t="s">
        <v>3585</v>
      </c>
      <c r="S162" s="220" t="s">
        <v>3586</v>
      </c>
    </row>
    <row r="163" spans="1:19" x14ac:dyDescent="0.25">
      <c r="A163">
        <v>20661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9228.26</v>
      </c>
      <c r="O163">
        <v>37</v>
      </c>
      <c r="P163" t="s">
        <v>3587</v>
      </c>
      <c r="Q163">
        <v>1213.6400000000001</v>
      </c>
      <c r="R163" s="220" t="s">
        <v>3588</v>
      </c>
      <c r="S163" t="s">
        <v>3589</v>
      </c>
    </row>
    <row r="164" spans="1:19" x14ac:dyDescent="0.25">
      <c r="A164">
        <v>20662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26913.01</v>
      </c>
      <c r="O164">
        <v>334.52</v>
      </c>
      <c r="P164" t="s">
        <v>3590</v>
      </c>
      <c r="Q164">
        <v>6822.2</v>
      </c>
      <c r="R164" t="s">
        <v>3591</v>
      </c>
      <c r="S164" t="s">
        <v>3592</v>
      </c>
    </row>
    <row r="165" spans="1:19" x14ac:dyDescent="0.25">
      <c r="A165">
        <v>20664</v>
      </c>
      <c r="B165">
        <v>0</v>
      </c>
      <c r="C165">
        <v>0</v>
      </c>
      <c r="D165" s="220">
        <v>0</v>
      </c>
      <c r="E165">
        <v>0</v>
      </c>
      <c r="F165" s="220">
        <v>0</v>
      </c>
      <c r="G165" s="220">
        <v>0</v>
      </c>
      <c r="H165">
        <v>0</v>
      </c>
      <c r="I165">
        <v>0</v>
      </c>
      <c r="J165" s="220">
        <v>0</v>
      </c>
      <c r="K165">
        <v>0</v>
      </c>
      <c r="L165" s="220">
        <v>0</v>
      </c>
      <c r="M165" s="220">
        <v>0</v>
      </c>
      <c r="N165">
        <v>2467.5</v>
      </c>
      <c r="O165">
        <v>4.0199999999999996</v>
      </c>
      <c r="P165" s="220" t="s">
        <v>3593</v>
      </c>
      <c r="Q165">
        <v>110.4</v>
      </c>
      <c r="R165" s="220" t="s">
        <v>3594</v>
      </c>
      <c r="S165" s="220">
        <v>4.4741641337386E-2</v>
      </c>
    </row>
    <row r="166" spans="1:19" x14ac:dyDescent="0.25">
      <c r="A166">
        <v>20680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3057.76</v>
      </c>
      <c r="O166">
        <v>0</v>
      </c>
      <c r="P166" s="220">
        <v>0</v>
      </c>
      <c r="Q166">
        <v>0</v>
      </c>
      <c r="R166" s="220">
        <v>0</v>
      </c>
      <c r="S166" s="220">
        <v>0</v>
      </c>
    </row>
    <row r="167" spans="1:19" x14ac:dyDescent="0.25">
      <c r="A167">
        <v>20684</v>
      </c>
      <c r="B167">
        <v>2515.27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2515.27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2515.27</v>
      </c>
      <c r="O167">
        <v>0</v>
      </c>
      <c r="P167" s="220">
        <v>0</v>
      </c>
      <c r="Q167">
        <v>0</v>
      </c>
      <c r="R167" s="220">
        <v>0</v>
      </c>
      <c r="S167" s="220">
        <v>0</v>
      </c>
    </row>
    <row r="168" spans="1:19" x14ac:dyDescent="0.25">
      <c r="A168">
        <v>20691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0.55000000000000004</v>
      </c>
      <c r="O168">
        <v>0</v>
      </c>
      <c r="P168" s="220">
        <v>0</v>
      </c>
      <c r="Q168">
        <v>0</v>
      </c>
      <c r="R168" s="220">
        <v>0</v>
      </c>
      <c r="S168">
        <v>0</v>
      </c>
    </row>
    <row r="169" spans="1:19" x14ac:dyDescent="0.25">
      <c r="A169">
        <v>20693</v>
      </c>
      <c r="B169">
        <v>61839.74</v>
      </c>
      <c r="C169">
        <v>1070.21</v>
      </c>
      <c r="D169" t="s">
        <v>3595</v>
      </c>
      <c r="E169">
        <v>32871.56</v>
      </c>
      <c r="F169" t="s">
        <v>3596</v>
      </c>
      <c r="G169" t="s">
        <v>3597</v>
      </c>
      <c r="H169">
        <v>163155.84</v>
      </c>
      <c r="I169">
        <v>2379.5100000000002</v>
      </c>
      <c r="J169" t="s">
        <v>3598</v>
      </c>
      <c r="K169">
        <v>73826.429999999993</v>
      </c>
      <c r="L169" t="s">
        <v>3599</v>
      </c>
      <c r="M169" t="s">
        <v>3600</v>
      </c>
      <c r="N169">
        <v>870389.62</v>
      </c>
      <c r="O169">
        <v>10117.02</v>
      </c>
      <c r="P169" s="220" t="s">
        <v>3601</v>
      </c>
      <c r="Q169">
        <v>321677.43</v>
      </c>
      <c r="R169" s="220" t="s">
        <v>3602</v>
      </c>
      <c r="S169" s="220" t="s">
        <v>3603</v>
      </c>
    </row>
    <row r="170" spans="1:19" x14ac:dyDescent="0.25">
      <c r="A170">
        <v>20694</v>
      </c>
      <c r="B170">
        <v>25065.71</v>
      </c>
      <c r="C170">
        <v>1558.49</v>
      </c>
      <c r="D170" s="220" t="s">
        <v>3604</v>
      </c>
      <c r="E170">
        <v>52846.720000000001</v>
      </c>
      <c r="F170" s="220" t="s">
        <v>3605</v>
      </c>
      <c r="G170" s="220" t="s">
        <v>3606</v>
      </c>
      <c r="H170">
        <v>558138.6</v>
      </c>
      <c r="I170">
        <v>5378.27</v>
      </c>
      <c r="J170" s="220" t="s">
        <v>3607</v>
      </c>
      <c r="K170">
        <v>178258.88</v>
      </c>
      <c r="L170" s="220" t="s">
        <v>3608</v>
      </c>
      <c r="M170" s="220" t="s">
        <v>3609</v>
      </c>
      <c r="N170">
        <v>1930886.95</v>
      </c>
      <c r="O170">
        <v>18337.599999999999</v>
      </c>
      <c r="P170" s="220" t="s">
        <v>3610</v>
      </c>
      <c r="Q170">
        <v>576848.03</v>
      </c>
      <c r="R170" s="220" t="s">
        <v>3611</v>
      </c>
      <c r="S170" s="220" t="s">
        <v>3612</v>
      </c>
    </row>
    <row r="171" spans="1:19" x14ac:dyDescent="0.25">
      <c r="A171">
        <v>20695</v>
      </c>
      <c r="B171">
        <v>15915.73</v>
      </c>
      <c r="C171">
        <v>127.62</v>
      </c>
      <c r="D171" s="220" t="s">
        <v>3613</v>
      </c>
      <c r="E171">
        <v>4299.91</v>
      </c>
      <c r="F171">
        <v>33.693073186021003</v>
      </c>
      <c r="G171" s="220" t="s">
        <v>3614</v>
      </c>
      <c r="H171">
        <v>98477.82</v>
      </c>
      <c r="I171">
        <v>1024.31</v>
      </c>
      <c r="J171" s="220" t="s">
        <v>3615</v>
      </c>
      <c r="K171">
        <v>32446.44</v>
      </c>
      <c r="L171" t="s">
        <v>3616</v>
      </c>
      <c r="M171" s="220" t="s">
        <v>3617</v>
      </c>
      <c r="N171">
        <v>876680.8</v>
      </c>
      <c r="O171">
        <v>7559.5</v>
      </c>
      <c r="P171" s="220" t="s">
        <v>3618</v>
      </c>
      <c r="Q171">
        <v>228468.48000000001</v>
      </c>
      <c r="R171" s="220" t="s">
        <v>3619</v>
      </c>
      <c r="S171" s="220" t="s">
        <v>3620</v>
      </c>
    </row>
    <row r="172" spans="1:19" x14ac:dyDescent="0.25">
      <c r="A172">
        <v>20696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640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12288.98</v>
      </c>
      <c r="O172">
        <v>36.76</v>
      </c>
      <c r="P172" s="220" t="s">
        <v>3621</v>
      </c>
      <c r="Q172">
        <v>1142.44</v>
      </c>
      <c r="R172" s="220" t="s">
        <v>3622</v>
      </c>
      <c r="S172" s="220">
        <v>9.2964591040102601E-2</v>
      </c>
    </row>
    <row r="173" spans="1:19" x14ac:dyDescent="0.25">
      <c r="A173">
        <v>20702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-110</v>
      </c>
      <c r="O173">
        <v>0</v>
      </c>
      <c r="P173" s="220">
        <v>0</v>
      </c>
      <c r="Q173">
        <v>0</v>
      </c>
      <c r="R173" s="220">
        <v>0</v>
      </c>
      <c r="S173" s="220">
        <v>0</v>
      </c>
    </row>
    <row r="174" spans="1:19" x14ac:dyDescent="0.25">
      <c r="A174">
        <v>20708</v>
      </c>
      <c r="B174">
        <v>0</v>
      </c>
      <c r="C174">
        <v>0</v>
      </c>
      <c r="D174" s="220">
        <v>0</v>
      </c>
      <c r="E174">
        <v>0</v>
      </c>
      <c r="F174" s="220">
        <v>0</v>
      </c>
      <c r="G174" s="220">
        <v>0</v>
      </c>
      <c r="H174">
        <v>0</v>
      </c>
      <c r="I174">
        <v>0</v>
      </c>
      <c r="J174" s="220">
        <v>0</v>
      </c>
      <c r="K174">
        <v>0</v>
      </c>
      <c r="L174" s="220">
        <v>0</v>
      </c>
      <c r="M174" s="220">
        <v>0</v>
      </c>
      <c r="N174">
        <v>15440</v>
      </c>
      <c r="O174">
        <v>0</v>
      </c>
      <c r="P174" s="220">
        <v>0</v>
      </c>
      <c r="Q174">
        <v>0</v>
      </c>
      <c r="R174" s="220">
        <v>0</v>
      </c>
      <c r="S174" s="220">
        <v>0</v>
      </c>
    </row>
    <row r="175" spans="1:19" x14ac:dyDescent="0.25">
      <c r="A175">
        <v>20712</v>
      </c>
      <c r="B175">
        <v>0</v>
      </c>
      <c r="C175">
        <v>0</v>
      </c>
      <c r="D175" s="220">
        <v>0</v>
      </c>
      <c r="E175">
        <v>0</v>
      </c>
      <c r="F175" s="220">
        <v>0</v>
      </c>
      <c r="G175" s="220">
        <v>0</v>
      </c>
      <c r="H175">
        <v>0</v>
      </c>
      <c r="I175">
        <v>0</v>
      </c>
      <c r="J175" s="220">
        <v>0</v>
      </c>
      <c r="K175">
        <v>0</v>
      </c>
      <c r="L175" s="220">
        <v>0</v>
      </c>
      <c r="M175" s="220">
        <v>0</v>
      </c>
      <c r="N175">
        <v>1065</v>
      </c>
      <c r="O175">
        <v>0</v>
      </c>
      <c r="P175" s="220">
        <v>0</v>
      </c>
      <c r="Q175">
        <v>0</v>
      </c>
      <c r="R175" s="220">
        <v>0</v>
      </c>
      <c r="S175" s="220">
        <v>0</v>
      </c>
    </row>
    <row r="176" spans="1:19" x14ac:dyDescent="0.25">
      <c r="A176">
        <v>20729</v>
      </c>
      <c r="B176">
        <v>0</v>
      </c>
      <c r="C176">
        <v>0</v>
      </c>
      <c r="D176" s="220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s="220">
        <v>0</v>
      </c>
      <c r="K176">
        <v>0</v>
      </c>
      <c r="L176">
        <v>0</v>
      </c>
      <c r="M176">
        <v>0</v>
      </c>
      <c r="N176">
        <v>7058.25</v>
      </c>
      <c r="O176">
        <v>23.04</v>
      </c>
      <c r="P176" s="220">
        <v>306.34765625</v>
      </c>
      <c r="Q176">
        <v>622.08000000000004</v>
      </c>
      <c r="R176" s="220">
        <v>27</v>
      </c>
      <c r="S176" s="220">
        <v>8.8135160981829705E-2</v>
      </c>
    </row>
    <row r="177" spans="1:19" x14ac:dyDescent="0.25">
      <c r="A177">
        <v>20730</v>
      </c>
      <c r="B177">
        <v>1829.65</v>
      </c>
      <c r="C177">
        <v>5.43</v>
      </c>
      <c r="D177" s="220" t="s">
        <v>3623</v>
      </c>
      <c r="E177">
        <v>147.97</v>
      </c>
      <c r="F177" t="s">
        <v>3624</v>
      </c>
      <c r="G177" s="220">
        <v>8.0873391085726706E-2</v>
      </c>
      <c r="H177">
        <v>1829.65</v>
      </c>
      <c r="I177">
        <v>5.43</v>
      </c>
      <c r="J177" s="220" t="s">
        <v>3623</v>
      </c>
      <c r="K177">
        <v>147.97</v>
      </c>
      <c r="L177" t="s">
        <v>3624</v>
      </c>
      <c r="M177" s="220">
        <v>8.0873391085726706E-2</v>
      </c>
      <c r="N177">
        <v>3794.56</v>
      </c>
      <c r="O177">
        <v>147.88999999999999</v>
      </c>
      <c r="P177" s="220">
        <v>25.657989045912501</v>
      </c>
      <c r="Q177">
        <v>2139.75</v>
      </c>
      <c r="R177" s="220" t="s">
        <v>3625</v>
      </c>
      <c r="S177" s="220">
        <v>0.56389937173216398</v>
      </c>
    </row>
    <row r="178" spans="1:19" x14ac:dyDescent="0.25">
      <c r="A178">
        <v>20739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12609.29</v>
      </c>
      <c r="O178">
        <v>134.22</v>
      </c>
      <c r="P178" s="220" t="s">
        <v>3626</v>
      </c>
      <c r="Q178">
        <v>3837.16</v>
      </c>
      <c r="R178" s="220" t="s">
        <v>3627</v>
      </c>
      <c r="S178" s="220" t="s">
        <v>3628</v>
      </c>
    </row>
    <row r="179" spans="1:19" x14ac:dyDescent="0.25">
      <c r="A179">
        <v>20743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-3433.57</v>
      </c>
      <c r="O179">
        <v>37.840000000000003</v>
      </c>
      <c r="P179" s="220">
        <v>-90.739164904862506</v>
      </c>
      <c r="Q179">
        <v>1015.55</v>
      </c>
      <c r="R179" s="220" t="s">
        <v>3629</v>
      </c>
      <c r="S179" s="220">
        <v>-0.29577087404654601</v>
      </c>
    </row>
    <row r="180" spans="1:19" x14ac:dyDescent="0.25">
      <c r="A180">
        <v>20753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-109.84</v>
      </c>
      <c r="O180">
        <v>0</v>
      </c>
      <c r="P180" s="220">
        <v>0</v>
      </c>
      <c r="Q180">
        <v>0</v>
      </c>
      <c r="R180" s="220">
        <v>0</v>
      </c>
      <c r="S180" s="220">
        <v>0</v>
      </c>
    </row>
    <row r="181" spans="1:19" x14ac:dyDescent="0.25">
      <c r="A181">
        <v>20755</v>
      </c>
      <c r="B181">
        <v>0</v>
      </c>
      <c r="C181">
        <v>0</v>
      </c>
      <c r="D181">
        <v>0</v>
      </c>
      <c r="E181">
        <v>0</v>
      </c>
      <c r="F181" s="220">
        <v>0</v>
      </c>
      <c r="G181">
        <v>0</v>
      </c>
      <c r="H181">
        <v>42674.09</v>
      </c>
      <c r="I181">
        <v>154.43</v>
      </c>
      <c r="J181" t="s">
        <v>3630</v>
      </c>
      <c r="K181">
        <v>4575.91</v>
      </c>
      <c r="L181" s="220" t="s">
        <v>3631</v>
      </c>
      <c r="M181" t="s">
        <v>3632</v>
      </c>
      <c r="N181">
        <v>181404.28</v>
      </c>
      <c r="O181">
        <v>1894.55</v>
      </c>
      <c r="P181" s="220" t="s">
        <v>3633</v>
      </c>
      <c r="Q181">
        <v>43497.04</v>
      </c>
      <c r="R181" s="220" t="s">
        <v>3634</v>
      </c>
      <c r="S181" s="220" t="s">
        <v>3635</v>
      </c>
    </row>
    <row r="182" spans="1:19" x14ac:dyDescent="0.25">
      <c r="A182">
        <v>20777</v>
      </c>
      <c r="B182">
        <v>0</v>
      </c>
      <c r="C182">
        <v>0</v>
      </c>
      <c r="D182" s="220">
        <v>0</v>
      </c>
      <c r="E182">
        <v>0</v>
      </c>
      <c r="F182" s="220">
        <v>0</v>
      </c>
      <c r="G182" s="220">
        <v>0</v>
      </c>
      <c r="H182">
        <v>0</v>
      </c>
      <c r="I182">
        <v>0</v>
      </c>
      <c r="J182" s="220">
        <v>0</v>
      </c>
      <c r="K182">
        <v>0</v>
      </c>
      <c r="L182" s="220">
        <v>0</v>
      </c>
      <c r="M182" s="220">
        <v>0</v>
      </c>
      <c r="N182">
        <v>328</v>
      </c>
      <c r="O182">
        <v>10.38</v>
      </c>
      <c r="P182" s="220" t="s">
        <v>3636</v>
      </c>
      <c r="Q182">
        <v>301.67</v>
      </c>
      <c r="R182" s="220">
        <v>29.062620423892099</v>
      </c>
      <c r="S182" s="220" t="s">
        <v>3637</v>
      </c>
    </row>
    <row r="183" spans="1:19" x14ac:dyDescent="0.25">
      <c r="A183">
        <v>20781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-7830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189026.76</v>
      </c>
      <c r="O183">
        <v>2950.46</v>
      </c>
      <c r="P183" s="220" t="s">
        <v>3638</v>
      </c>
      <c r="Q183">
        <v>88717.16</v>
      </c>
      <c r="R183" s="220" t="s">
        <v>3639</v>
      </c>
      <c r="S183" s="220" t="s">
        <v>3640</v>
      </c>
    </row>
    <row r="184" spans="1:19" x14ac:dyDescent="0.25">
      <c r="A184">
        <v>20783</v>
      </c>
      <c r="B184">
        <v>11717.5</v>
      </c>
      <c r="C184">
        <v>42.11</v>
      </c>
      <c r="D184">
        <v>278.25932082640702</v>
      </c>
      <c r="E184">
        <v>1035.2</v>
      </c>
      <c r="F184" t="s">
        <v>3641</v>
      </c>
      <c r="G184">
        <v>8.8346490292297797E-2</v>
      </c>
      <c r="H184">
        <v>30407.42</v>
      </c>
      <c r="I184">
        <v>73.48</v>
      </c>
      <c r="J184" t="s">
        <v>3642</v>
      </c>
      <c r="K184">
        <v>1986.81</v>
      </c>
      <c r="L184" t="s">
        <v>3643</v>
      </c>
      <c r="M184">
        <v>6.5339644073716202E-2</v>
      </c>
      <c r="N184">
        <v>83358.460000000006</v>
      </c>
      <c r="O184">
        <v>334.37</v>
      </c>
      <c r="P184" s="220" t="s">
        <v>3644</v>
      </c>
      <c r="Q184">
        <v>8981.61</v>
      </c>
      <c r="R184" s="220" t="s">
        <v>3645</v>
      </c>
      <c r="S184" s="220" t="s">
        <v>3646</v>
      </c>
    </row>
    <row r="185" spans="1:19" x14ac:dyDescent="0.25">
      <c r="A185">
        <v>20784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192.94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>
        <v>20785</v>
      </c>
      <c r="B186">
        <v>0</v>
      </c>
      <c r="C186">
        <v>532.15</v>
      </c>
      <c r="D186">
        <v>0</v>
      </c>
      <c r="E186">
        <v>17172.53</v>
      </c>
      <c r="F186" t="s">
        <v>3647</v>
      </c>
      <c r="G186">
        <v>0</v>
      </c>
      <c r="H186">
        <v>115173.85</v>
      </c>
      <c r="I186">
        <v>1501.99</v>
      </c>
      <c r="J186" t="s">
        <v>3648</v>
      </c>
      <c r="K186">
        <v>46917.75</v>
      </c>
      <c r="L186" t="s">
        <v>3649</v>
      </c>
      <c r="M186" t="s">
        <v>3650</v>
      </c>
      <c r="N186">
        <v>400988.85</v>
      </c>
      <c r="O186">
        <v>4540.05</v>
      </c>
      <c r="P186" t="s">
        <v>3651</v>
      </c>
      <c r="Q186">
        <v>129490.11</v>
      </c>
      <c r="R186" t="s">
        <v>3652</v>
      </c>
      <c r="S186" t="s">
        <v>3653</v>
      </c>
    </row>
    <row r="187" spans="1:19" x14ac:dyDescent="0.25">
      <c r="A187">
        <v>20788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6000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s="220">
        <v>0</v>
      </c>
      <c r="Q187">
        <v>0</v>
      </c>
      <c r="R187">
        <v>0</v>
      </c>
      <c r="S187">
        <v>0</v>
      </c>
    </row>
    <row r="188" spans="1:19" x14ac:dyDescent="0.25">
      <c r="A188">
        <v>20789</v>
      </c>
      <c r="B188">
        <v>-1287.0999999999999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11417.19</v>
      </c>
      <c r="I188">
        <v>11.85</v>
      </c>
      <c r="J188" t="s">
        <v>3654</v>
      </c>
      <c r="K188">
        <v>326</v>
      </c>
      <c r="L188" t="s">
        <v>3655</v>
      </c>
      <c r="M188" t="s">
        <v>3656</v>
      </c>
      <c r="N188">
        <v>-7092.73</v>
      </c>
      <c r="O188">
        <v>11.85</v>
      </c>
      <c r="P188">
        <v>-598.54261603375505</v>
      </c>
      <c r="Q188">
        <v>326</v>
      </c>
      <c r="R188" t="s">
        <v>3655</v>
      </c>
      <c r="S188">
        <v>-4.5962556025676997E-2</v>
      </c>
    </row>
    <row r="189" spans="1:19" x14ac:dyDescent="0.25">
      <c r="A189">
        <v>20790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-4481.1000000000004</v>
      </c>
      <c r="O189">
        <v>21.5</v>
      </c>
      <c r="P189" s="220">
        <v>-208.42325581395301</v>
      </c>
      <c r="Q189">
        <v>338.63</v>
      </c>
      <c r="R189" s="220" t="s">
        <v>3657</v>
      </c>
      <c r="S189" s="220">
        <v>-7.5568498806096701E-2</v>
      </c>
    </row>
    <row r="190" spans="1:19" x14ac:dyDescent="0.25">
      <c r="A190">
        <v>20793</v>
      </c>
      <c r="B190">
        <v>-63017.16</v>
      </c>
      <c r="C190">
        <v>274.25</v>
      </c>
      <c r="D190">
        <v>-229.77998176845901</v>
      </c>
      <c r="E190">
        <v>9184.99</v>
      </c>
      <c r="F190" s="220" t="s">
        <v>3658</v>
      </c>
      <c r="G190">
        <v>-0.14575379150694801</v>
      </c>
      <c r="H190">
        <v>206387.98</v>
      </c>
      <c r="I190">
        <v>854.35</v>
      </c>
      <c r="J190" t="s">
        <v>3659</v>
      </c>
      <c r="K190">
        <v>29048.74</v>
      </c>
      <c r="L190" s="220" t="s">
        <v>3660</v>
      </c>
      <c r="M190" t="s">
        <v>3661</v>
      </c>
      <c r="N190">
        <v>587777.04</v>
      </c>
      <c r="O190">
        <v>3859.27</v>
      </c>
      <c r="P190" s="220">
        <v>152.30264791009699</v>
      </c>
      <c r="Q190">
        <v>114468.47</v>
      </c>
      <c r="R190" s="220" t="s">
        <v>3662</v>
      </c>
      <c r="S190" s="220" t="s">
        <v>3663</v>
      </c>
    </row>
    <row r="191" spans="1:19" x14ac:dyDescent="0.25">
      <c r="A191">
        <v>20794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91</v>
      </c>
      <c r="I191">
        <v>0</v>
      </c>
      <c r="J191">
        <v>0</v>
      </c>
      <c r="K191">
        <v>-130</v>
      </c>
      <c r="L191">
        <v>0</v>
      </c>
      <c r="M191">
        <v>-1.4285714285714199</v>
      </c>
      <c r="N191">
        <v>210.46</v>
      </c>
      <c r="O191">
        <v>0</v>
      </c>
      <c r="P191" s="220">
        <v>0</v>
      </c>
      <c r="Q191">
        <v>-356</v>
      </c>
      <c r="R191" s="220">
        <v>0</v>
      </c>
      <c r="S191" s="220">
        <v>-1.69153283284234</v>
      </c>
    </row>
    <row r="192" spans="1:19" x14ac:dyDescent="0.25">
      <c r="A192">
        <v>20795</v>
      </c>
      <c r="B192">
        <v>0</v>
      </c>
      <c r="C192">
        <v>0</v>
      </c>
      <c r="D192" s="220">
        <v>0</v>
      </c>
      <c r="E192">
        <v>0</v>
      </c>
      <c r="F192">
        <v>0</v>
      </c>
      <c r="G192" s="220">
        <v>0</v>
      </c>
      <c r="H192">
        <v>0</v>
      </c>
      <c r="I192">
        <v>0</v>
      </c>
      <c r="J192" s="220">
        <v>0</v>
      </c>
      <c r="K192">
        <v>0</v>
      </c>
      <c r="L192">
        <v>0</v>
      </c>
      <c r="M192" s="220">
        <v>0</v>
      </c>
      <c r="N192">
        <v>89265</v>
      </c>
      <c r="O192">
        <v>1272.56</v>
      </c>
      <c r="P192" s="220">
        <v>70.146004903501606</v>
      </c>
      <c r="Q192">
        <v>19891.060000000001</v>
      </c>
      <c r="R192" s="220" t="s">
        <v>3664</v>
      </c>
      <c r="S192" s="220" t="s">
        <v>3665</v>
      </c>
    </row>
    <row r="193" spans="1:19" x14ac:dyDescent="0.25">
      <c r="A193">
        <v>20801</v>
      </c>
      <c r="B193">
        <v>0</v>
      </c>
      <c r="C193">
        <v>0</v>
      </c>
      <c r="D193">
        <v>0</v>
      </c>
      <c r="E193">
        <v>0</v>
      </c>
      <c r="F193" s="220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220">
        <v>0</v>
      </c>
      <c r="M193">
        <v>0</v>
      </c>
      <c r="N193">
        <v>-159.51</v>
      </c>
      <c r="O193">
        <v>0</v>
      </c>
      <c r="P193" s="220">
        <v>0</v>
      </c>
      <c r="Q193">
        <v>0</v>
      </c>
      <c r="R193">
        <v>0</v>
      </c>
      <c r="S193" s="220">
        <v>0</v>
      </c>
    </row>
    <row r="194" spans="1:19" x14ac:dyDescent="0.25">
      <c r="A194">
        <v>20805</v>
      </c>
      <c r="B194">
        <v>0</v>
      </c>
      <c r="C194">
        <v>0</v>
      </c>
      <c r="D194">
        <v>0</v>
      </c>
      <c r="E194">
        <v>0</v>
      </c>
      <c r="F194" s="220">
        <v>0</v>
      </c>
      <c r="G194">
        <v>0</v>
      </c>
      <c r="H194">
        <v>1104</v>
      </c>
      <c r="I194">
        <v>0</v>
      </c>
      <c r="J194">
        <v>0</v>
      </c>
      <c r="K194">
        <v>0</v>
      </c>
      <c r="L194" s="220">
        <v>0</v>
      </c>
      <c r="M194">
        <v>0</v>
      </c>
      <c r="N194">
        <v>-12326.04</v>
      </c>
      <c r="O194">
        <v>0</v>
      </c>
      <c r="P194">
        <v>0</v>
      </c>
      <c r="Q194">
        <v>0</v>
      </c>
      <c r="R194" s="220">
        <v>0</v>
      </c>
      <c r="S194">
        <v>0</v>
      </c>
    </row>
    <row r="195" spans="1:19" x14ac:dyDescent="0.25">
      <c r="A195">
        <v>20807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2717</v>
      </c>
      <c r="O195">
        <v>0</v>
      </c>
      <c r="P195">
        <v>0</v>
      </c>
      <c r="Q195">
        <v>0</v>
      </c>
      <c r="R195" s="220">
        <v>0</v>
      </c>
      <c r="S195">
        <v>0</v>
      </c>
    </row>
    <row r="196" spans="1:19" x14ac:dyDescent="0.25">
      <c r="A196">
        <v>20808</v>
      </c>
      <c r="B196">
        <v>0</v>
      </c>
      <c r="C196">
        <v>3.46</v>
      </c>
      <c r="D196">
        <v>0</v>
      </c>
      <c r="E196">
        <v>148.36000000000001</v>
      </c>
      <c r="F196" t="s">
        <v>3666</v>
      </c>
      <c r="G196">
        <v>0</v>
      </c>
      <c r="H196">
        <v>31151.47</v>
      </c>
      <c r="I196">
        <v>102.03</v>
      </c>
      <c r="J196" t="s">
        <v>3667</v>
      </c>
      <c r="K196">
        <v>3063.54</v>
      </c>
      <c r="L196" t="s">
        <v>3668</v>
      </c>
      <c r="M196">
        <v>9.8343352657194003E-2</v>
      </c>
      <c r="N196">
        <v>138845.4</v>
      </c>
      <c r="O196">
        <v>1445</v>
      </c>
      <c r="P196" s="220" t="s">
        <v>3669</v>
      </c>
      <c r="Q196">
        <v>43087.03</v>
      </c>
      <c r="R196" s="220" t="s">
        <v>3670</v>
      </c>
      <c r="S196" s="220" t="s">
        <v>3671</v>
      </c>
    </row>
    <row r="197" spans="1:19" x14ac:dyDescent="0.25">
      <c r="A197">
        <v>20811</v>
      </c>
      <c r="B197">
        <v>0</v>
      </c>
      <c r="C197">
        <v>0</v>
      </c>
      <c r="D197">
        <v>0</v>
      </c>
      <c r="E197">
        <v>0</v>
      </c>
      <c r="F197" s="220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s="220">
        <v>0</v>
      </c>
      <c r="M197">
        <v>0</v>
      </c>
      <c r="N197">
        <v>28646.77</v>
      </c>
      <c r="O197">
        <v>0</v>
      </c>
      <c r="P197">
        <v>0</v>
      </c>
      <c r="Q197">
        <v>0</v>
      </c>
      <c r="R197" s="220">
        <v>0</v>
      </c>
      <c r="S197">
        <v>0</v>
      </c>
    </row>
    <row r="198" spans="1:19" x14ac:dyDescent="0.25">
      <c r="A198">
        <v>20814</v>
      </c>
      <c r="B198">
        <v>10684.74</v>
      </c>
      <c r="C198">
        <v>41.93</v>
      </c>
      <c r="D198" s="220" t="s">
        <v>3672</v>
      </c>
      <c r="E198">
        <v>1023.31</v>
      </c>
      <c r="F198" s="220" t="s">
        <v>3673</v>
      </c>
      <c r="G198" s="220">
        <v>9.5773037060330898E-2</v>
      </c>
      <c r="H198">
        <v>91826.27</v>
      </c>
      <c r="I198">
        <v>208.5</v>
      </c>
      <c r="J198" s="220" t="s">
        <v>3674</v>
      </c>
      <c r="K198">
        <v>4903.7</v>
      </c>
      <c r="L198" s="220">
        <v>23.5189448441247</v>
      </c>
      <c r="M198" s="220">
        <v>5.3401929534979402E-2</v>
      </c>
      <c r="N198">
        <v>253852.61</v>
      </c>
      <c r="O198">
        <v>846.78</v>
      </c>
      <c r="P198" s="220" t="s">
        <v>3675</v>
      </c>
      <c r="Q198">
        <v>21744.17</v>
      </c>
      <c r="R198" s="220" t="s">
        <v>3676</v>
      </c>
      <c r="S198" s="220">
        <v>8.5656672980435306E-2</v>
      </c>
    </row>
    <row r="199" spans="1:19" x14ac:dyDescent="0.25">
      <c r="A199">
        <v>20824</v>
      </c>
      <c r="B199">
        <v>1689.79</v>
      </c>
      <c r="C199">
        <v>19.02</v>
      </c>
      <c r="D199" s="220" t="s">
        <v>3677</v>
      </c>
      <c r="E199">
        <v>526.65</v>
      </c>
      <c r="F199" s="220" t="s">
        <v>3678</v>
      </c>
      <c r="G199" s="220" t="s">
        <v>3679</v>
      </c>
      <c r="H199">
        <v>2403.4</v>
      </c>
      <c r="I199">
        <v>21.3</v>
      </c>
      <c r="J199" s="220" t="s">
        <v>3680</v>
      </c>
      <c r="K199">
        <v>630.42999999999995</v>
      </c>
      <c r="L199" s="220" t="s">
        <v>3681</v>
      </c>
      <c r="M199" s="220" t="s">
        <v>3682</v>
      </c>
      <c r="N199">
        <v>4281.0600000000004</v>
      </c>
      <c r="O199">
        <v>62.26</v>
      </c>
      <c r="P199" s="220" t="s">
        <v>3683</v>
      </c>
      <c r="Q199">
        <v>1416.08</v>
      </c>
      <c r="R199" s="220" t="s">
        <v>3684</v>
      </c>
      <c r="S199" s="220" t="s">
        <v>3685</v>
      </c>
    </row>
    <row r="200" spans="1:19" x14ac:dyDescent="0.25">
      <c r="A200">
        <v>20826</v>
      </c>
      <c r="B200">
        <v>173.25</v>
      </c>
      <c r="C200">
        <v>0</v>
      </c>
      <c r="D200" s="220">
        <v>0</v>
      </c>
      <c r="E200">
        <v>-247.5</v>
      </c>
      <c r="F200" s="220">
        <v>0</v>
      </c>
      <c r="G200" s="220">
        <v>-1.4285714285714199</v>
      </c>
      <c r="H200">
        <v>0</v>
      </c>
      <c r="I200">
        <v>0</v>
      </c>
      <c r="J200" s="220">
        <v>0</v>
      </c>
      <c r="K200">
        <v>0</v>
      </c>
      <c r="L200" s="220">
        <v>0</v>
      </c>
      <c r="M200" s="220">
        <v>0</v>
      </c>
      <c r="N200">
        <v>0</v>
      </c>
      <c r="O200">
        <v>0</v>
      </c>
      <c r="P200" s="220">
        <v>0</v>
      </c>
      <c r="Q200">
        <v>0</v>
      </c>
      <c r="R200" s="220">
        <v>0</v>
      </c>
      <c r="S200" s="220">
        <v>0</v>
      </c>
    </row>
    <row r="201" spans="1:19" x14ac:dyDescent="0.25">
      <c r="A201">
        <v>20827</v>
      </c>
      <c r="B201">
        <v>106309.86</v>
      </c>
      <c r="C201">
        <v>0</v>
      </c>
      <c r="D201" s="220">
        <v>0</v>
      </c>
      <c r="E201">
        <v>0</v>
      </c>
      <c r="F201" s="220">
        <v>0</v>
      </c>
      <c r="G201" s="220">
        <v>0</v>
      </c>
      <c r="H201">
        <v>0</v>
      </c>
      <c r="I201">
        <v>0</v>
      </c>
      <c r="J201" s="220">
        <v>0</v>
      </c>
      <c r="K201">
        <v>0</v>
      </c>
      <c r="L201" s="220">
        <v>0</v>
      </c>
      <c r="M201" s="220">
        <v>0</v>
      </c>
      <c r="N201">
        <v>0</v>
      </c>
      <c r="O201">
        <v>0</v>
      </c>
      <c r="P201" s="220">
        <v>0</v>
      </c>
      <c r="Q201">
        <v>0</v>
      </c>
      <c r="R201" s="220">
        <v>0</v>
      </c>
      <c r="S201" s="220">
        <v>0</v>
      </c>
    </row>
    <row r="202" spans="1:19" x14ac:dyDescent="0.25">
      <c r="A202">
        <v>20830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506.57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118523.59</v>
      </c>
      <c r="O202">
        <v>1216.06</v>
      </c>
      <c r="P202" t="s">
        <v>3686</v>
      </c>
      <c r="Q202">
        <v>37710.85</v>
      </c>
      <c r="R202" t="s">
        <v>3687</v>
      </c>
      <c r="S202" t="s">
        <v>3688</v>
      </c>
    </row>
    <row r="203" spans="1:19" x14ac:dyDescent="0.25">
      <c r="A203">
        <v>20832</v>
      </c>
      <c r="B203">
        <v>0</v>
      </c>
      <c r="C203">
        <v>0</v>
      </c>
      <c r="D203">
        <v>0</v>
      </c>
      <c r="E203">
        <v>0</v>
      </c>
      <c r="F203" s="220">
        <v>0</v>
      </c>
      <c r="G203">
        <v>0</v>
      </c>
      <c r="H203">
        <v>4462.5</v>
      </c>
      <c r="I203">
        <v>6.74</v>
      </c>
      <c r="J203" t="s">
        <v>3689</v>
      </c>
      <c r="K203">
        <v>195.46</v>
      </c>
      <c r="L203" s="220">
        <v>29</v>
      </c>
      <c r="M203">
        <v>4.3800560224089603E-2</v>
      </c>
      <c r="N203">
        <v>4462.5</v>
      </c>
      <c r="O203">
        <v>6.74</v>
      </c>
      <c r="P203" t="s">
        <v>3689</v>
      </c>
      <c r="Q203">
        <v>195.46</v>
      </c>
      <c r="R203" s="220">
        <v>29</v>
      </c>
      <c r="S203">
        <v>4.3800560224089603E-2</v>
      </c>
    </row>
    <row r="204" spans="1:19" x14ac:dyDescent="0.25">
      <c r="A204">
        <v>20833</v>
      </c>
      <c r="B204">
        <v>0</v>
      </c>
      <c r="C204">
        <v>0</v>
      </c>
      <c r="D204" s="220">
        <v>0</v>
      </c>
      <c r="E204">
        <v>0</v>
      </c>
      <c r="F204" s="220">
        <v>0</v>
      </c>
      <c r="G204" s="220">
        <v>0</v>
      </c>
      <c r="H204">
        <v>23.57</v>
      </c>
      <c r="I204">
        <v>0</v>
      </c>
      <c r="J204" s="220">
        <v>0</v>
      </c>
      <c r="K204">
        <v>0</v>
      </c>
      <c r="L204" s="220">
        <v>0</v>
      </c>
      <c r="M204" s="220">
        <v>0</v>
      </c>
      <c r="N204">
        <v>23.57</v>
      </c>
      <c r="O204">
        <v>0</v>
      </c>
      <c r="P204" s="220">
        <v>0</v>
      </c>
      <c r="Q204">
        <v>0</v>
      </c>
      <c r="R204" s="220">
        <v>0</v>
      </c>
      <c r="S204" s="220">
        <v>0</v>
      </c>
    </row>
    <row r="205" spans="1:19" x14ac:dyDescent="0.25">
      <c r="A205">
        <v>20835</v>
      </c>
      <c r="B205">
        <v>9188.4699999999993</v>
      </c>
      <c r="C205">
        <v>0</v>
      </c>
      <c r="D205">
        <v>0</v>
      </c>
      <c r="E205">
        <v>-798.76</v>
      </c>
      <c r="F205">
        <v>0</v>
      </c>
      <c r="G205">
        <v>-8.6930685957509704E-2</v>
      </c>
      <c r="H205">
        <v>127924.84</v>
      </c>
      <c r="I205">
        <v>1105.3599999999999</v>
      </c>
      <c r="J205" t="s">
        <v>3690</v>
      </c>
      <c r="K205">
        <v>43808.23</v>
      </c>
      <c r="L205" t="s">
        <v>3691</v>
      </c>
      <c r="M205" t="s">
        <v>3692</v>
      </c>
      <c r="N205">
        <v>326759.43</v>
      </c>
      <c r="O205">
        <v>3088.73</v>
      </c>
      <c r="P205" s="220" t="s">
        <v>3693</v>
      </c>
      <c r="Q205">
        <v>95889.97</v>
      </c>
      <c r="R205" s="220" t="s">
        <v>3694</v>
      </c>
      <c r="S205" s="220" t="s">
        <v>3695</v>
      </c>
    </row>
    <row r="206" spans="1:19" x14ac:dyDescent="0.25">
      <c r="A206">
        <v>20842</v>
      </c>
      <c r="B206">
        <v>0</v>
      </c>
      <c r="C206">
        <v>0</v>
      </c>
      <c r="D206" s="220">
        <v>0</v>
      </c>
      <c r="E206">
        <v>0</v>
      </c>
      <c r="F206" s="220">
        <v>0</v>
      </c>
      <c r="G206" s="220">
        <v>0</v>
      </c>
      <c r="H206">
        <v>0</v>
      </c>
      <c r="I206">
        <v>0</v>
      </c>
      <c r="J206" s="220">
        <v>0</v>
      </c>
      <c r="K206">
        <v>0</v>
      </c>
      <c r="L206" s="220">
        <v>0</v>
      </c>
      <c r="M206" s="220">
        <v>0</v>
      </c>
      <c r="N206">
        <v>13100</v>
      </c>
      <c r="O206">
        <v>75.02</v>
      </c>
      <c r="P206" s="220" t="s">
        <v>3696</v>
      </c>
      <c r="Q206">
        <v>2937.18</v>
      </c>
      <c r="R206" s="220" t="s">
        <v>3697</v>
      </c>
      <c r="S206" s="220" t="s">
        <v>3698</v>
      </c>
    </row>
    <row r="207" spans="1:19" x14ac:dyDescent="0.25">
      <c r="A207">
        <v>20845</v>
      </c>
      <c r="B207">
        <v>-588</v>
      </c>
      <c r="C207">
        <v>0</v>
      </c>
      <c r="D207" s="220">
        <v>0</v>
      </c>
      <c r="E207">
        <v>0</v>
      </c>
      <c r="F207" s="220">
        <v>0</v>
      </c>
      <c r="G207" s="220">
        <v>0</v>
      </c>
      <c r="H207">
        <v>10108.16</v>
      </c>
      <c r="I207">
        <v>0</v>
      </c>
      <c r="J207" s="220">
        <v>0</v>
      </c>
      <c r="K207">
        <v>0</v>
      </c>
      <c r="L207" s="220">
        <v>0</v>
      </c>
      <c r="M207" s="220">
        <v>0</v>
      </c>
      <c r="N207">
        <v>162235.73000000001</v>
      </c>
      <c r="O207">
        <v>2139.79</v>
      </c>
      <c r="P207" s="220" t="s">
        <v>3699</v>
      </c>
      <c r="Q207">
        <v>46053.919999999998</v>
      </c>
      <c r="R207" s="220" t="s">
        <v>3700</v>
      </c>
      <c r="S207" s="220" t="s">
        <v>3701</v>
      </c>
    </row>
    <row r="208" spans="1:19" x14ac:dyDescent="0.25">
      <c r="A208">
        <v>20847</v>
      </c>
      <c r="B208">
        <v>0</v>
      </c>
      <c r="C208">
        <v>0</v>
      </c>
      <c r="D208" s="220">
        <v>0</v>
      </c>
      <c r="E208">
        <v>0</v>
      </c>
      <c r="F208" s="220">
        <v>0</v>
      </c>
      <c r="G208" s="220">
        <v>0</v>
      </c>
      <c r="H208">
        <v>-3350</v>
      </c>
      <c r="I208">
        <v>0</v>
      </c>
      <c r="J208" s="220">
        <v>0</v>
      </c>
      <c r="K208">
        <v>0</v>
      </c>
      <c r="L208" s="220">
        <v>0</v>
      </c>
      <c r="M208" s="220">
        <v>0</v>
      </c>
      <c r="N208">
        <v>72113.850000000006</v>
      </c>
      <c r="O208">
        <v>1018.1</v>
      </c>
      <c r="P208" s="220" t="s">
        <v>3702</v>
      </c>
      <c r="Q208">
        <v>27921.38</v>
      </c>
      <c r="R208" s="220" t="s">
        <v>3703</v>
      </c>
      <c r="S208" s="220" t="s">
        <v>3704</v>
      </c>
    </row>
    <row r="209" spans="1:19" x14ac:dyDescent="0.25">
      <c r="A209">
        <v>20848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23.26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483695.16</v>
      </c>
      <c r="O209">
        <v>2671.11</v>
      </c>
      <c r="P209" t="s">
        <v>3705</v>
      </c>
      <c r="Q209">
        <v>65445.05</v>
      </c>
      <c r="R209" t="s">
        <v>3706</v>
      </c>
      <c r="S209" t="s">
        <v>3707</v>
      </c>
    </row>
    <row r="210" spans="1:19" x14ac:dyDescent="0.25">
      <c r="A210">
        <v>20856</v>
      </c>
      <c r="B210">
        <v>220542.77</v>
      </c>
      <c r="C210">
        <v>1361.66</v>
      </c>
      <c r="D210" t="s">
        <v>3708</v>
      </c>
      <c r="E210">
        <v>41176.01</v>
      </c>
      <c r="F210" t="s">
        <v>3709</v>
      </c>
      <c r="G210" t="s">
        <v>3710</v>
      </c>
      <c r="H210">
        <v>417473.39</v>
      </c>
      <c r="I210">
        <v>3956.32</v>
      </c>
      <c r="J210" t="s">
        <v>3711</v>
      </c>
      <c r="K210">
        <v>109611.32</v>
      </c>
      <c r="L210">
        <v>27.705372669551501</v>
      </c>
      <c r="M210" t="s">
        <v>3712</v>
      </c>
      <c r="N210">
        <v>1325212.78</v>
      </c>
      <c r="O210">
        <v>17519.98</v>
      </c>
      <c r="P210" t="s">
        <v>3713</v>
      </c>
      <c r="Q210">
        <v>467089.35</v>
      </c>
      <c r="R210" t="s">
        <v>3714</v>
      </c>
      <c r="S210" t="s">
        <v>3715</v>
      </c>
    </row>
    <row r="211" spans="1:19" x14ac:dyDescent="0.25">
      <c r="A211">
        <v>20858</v>
      </c>
      <c r="B211">
        <v>0</v>
      </c>
      <c r="C211">
        <v>0</v>
      </c>
      <c r="D211" s="220">
        <v>0</v>
      </c>
      <c r="E211">
        <v>0</v>
      </c>
      <c r="F211" s="220">
        <v>0</v>
      </c>
      <c r="G211" s="220">
        <v>0</v>
      </c>
      <c r="H211">
        <v>0</v>
      </c>
      <c r="I211">
        <v>0</v>
      </c>
      <c r="J211" s="220">
        <v>0</v>
      </c>
      <c r="K211">
        <v>0</v>
      </c>
      <c r="L211" s="220">
        <v>0</v>
      </c>
      <c r="M211" s="220">
        <v>0</v>
      </c>
      <c r="N211">
        <v>44.8</v>
      </c>
      <c r="O211">
        <v>0</v>
      </c>
      <c r="P211" s="220">
        <v>0</v>
      </c>
      <c r="Q211">
        <v>-64</v>
      </c>
      <c r="R211" s="220">
        <v>0</v>
      </c>
      <c r="S211" s="220">
        <v>-1.4285714285714199</v>
      </c>
    </row>
    <row r="212" spans="1:19" x14ac:dyDescent="0.25">
      <c r="A212">
        <v>20859</v>
      </c>
      <c r="B212">
        <v>0</v>
      </c>
      <c r="C212">
        <v>0</v>
      </c>
      <c r="D212" s="220">
        <v>0</v>
      </c>
      <c r="E212">
        <v>0</v>
      </c>
      <c r="F212" s="220">
        <v>0</v>
      </c>
      <c r="G212" s="220">
        <v>0</v>
      </c>
      <c r="H212">
        <v>10443.549999999999</v>
      </c>
      <c r="I212">
        <v>0</v>
      </c>
      <c r="J212" s="220">
        <v>0</v>
      </c>
      <c r="K212">
        <v>0</v>
      </c>
      <c r="L212" s="220">
        <v>0</v>
      </c>
      <c r="M212" s="220">
        <v>0</v>
      </c>
      <c r="N212">
        <v>94529.08</v>
      </c>
      <c r="O212">
        <v>424.67</v>
      </c>
      <c r="P212" s="220" t="s">
        <v>3716</v>
      </c>
      <c r="Q212">
        <v>12070.96</v>
      </c>
      <c r="R212" s="220" t="s">
        <v>3717</v>
      </c>
      <c r="S212" s="220" t="s">
        <v>3718</v>
      </c>
    </row>
    <row r="213" spans="1:19" x14ac:dyDescent="0.25">
      <c r="A213">
        <v>20860</v>
      </c>
      <c r="B213">
        <v>-375</v>
      </c>
      <c r="C213">
        <v>0</v>
      </c>
      <c r="D213" s="220">
        <v>0</v>
      </c>
      <c r="E213">
        <v>0</v>
      </c>
      <c r="F213">
        <v>0</v>
      </c>
      <c r="G213" s="220">
        <v>0</v>
      </c>
      <c r="H213">
        <v>-500</v>
      </c>
      <c r="I213">
        <v>0</v>
      </c>
      <c r="J213" s="220">
        <v>0</v>
      </c>
      <c r="K213">
        <v>0</v>
      </c>
      <c r="L213">
        <v>0</v>
      </c>
      <c r="M213" s="220">
        <v>0</v>
      </c>
      <c r="N213">
        <v>-1061.79</v>
      </c>
      <c r="O213">
        <v>0</v>
      </c>
      <c r="P213" s="220">
        <v>0</v>
      </c>
      <c r="Q213">
        <v>0</v>
      </c>
      <c r="R213">
        <v>0</v>
      </c>
      <c r="S213" s="220">
        <v>0</v>
      </c>
    </row>
    <row r="214" spans="1:19" x14ac:dyDescent="0.25">
      <c r="A214">
        <v>20861</v>
      </c>
      <c r="B214">
        <v>0</v>
      </c>
      <c r="C214">
        <v>0</v>
      </c>
      <c r="D214" s="220">
        <v>0</v>
      </c>
      <c r="E214">
        <v>0</v>
      </c>
      <c r="F214" s="220">
        <v>0</v>
      </c>
      <c r="G214" s="220">
        <v>0</v>
      </c>
      <c r="H214">
        <v>0</v>
      </c>
      <c r="I214">
        <v>0</v>
      </c>
      <c r="J214" s="220">
        <v>0</v>
      </c>
      <c r="K214">
        <v>0</v>
      </c>
      <c r="L214" s="220">
        <v>0</v>
      </c>
      <c r="M214" s="220">
        <v>0</v>
      </c>
      <c r="N214">
        <v>113.45</v>
      </c>
      <c r="O214">
        <v>3.9</v>
      </c>
      <c r="P214" s="220" t="s">
        <v>3719</v>
      </c>
      <c r="Q214">
        <v>99.45</v>
      </c>
      <c r="R214" s="220">
        <v>25.5</v>
      </c>
      <c r="S214" s="220">
        <v>0.87659762009695896</v>
      </c>
    </row>
    <row r="215" spans="1:19" x14ac:dyDescent="0.25">
      <c r="A215">
        <v>20862</v>
      </c>
      <c r="B215">
        <v>0</v>
      </c>
      <c r="C215">
        <v>0</v>
      </c>
      <c r="D215" s="220">
        <v>0</v>
      </c>
      <c r="E215">
        <v>0</v>
      </c>
      <c r="F215" s="220">
        <v>0</v>
      </c>
      <c r="G215" s="220">
        <v>0</v>
      </c>
      <c r="H215">
        <v>0</v>
      </c>
      <c r="I215">
        <v>0</v>
      </c>
      <c r="J215" s="220">
        <v>0</v>
      </c>
      <c r="K215">
        <v>0</v>
      </c>
      <c r="L215" s="220">
        <v>0</v>
      </c>
      <c r="M215" s="220">
        <v>0</v>
      </c>
      <c r="N215">
        <v>3757.62</v>
      </c>
      <c r="O215">
        <v>0</v>
      </c>
      <c r="P215" s="220">
        <v>0</v>
      </c>
      <c r="Q215">
        <v>-150</v>
      </c>
      <c r="R215" s="220">
        <v>0</v>
      </c>
      <c r="S215" s="220">
        <v>-3.99188848260335E-2</v>
      </c>
    </row>
    <row r="216" spans="1:19" x14ac:dyDescent="0.25">
      <c r="A216">
        <v>20863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-15451.8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5">
      <c r="A217">
        <v>20867</v>
      </c>
      <c r="B217">
        <v>-391.2</v>
      </c>
      <c r="C217">
        <v>33.130000000000003</v>
      </c>
      <c r="D217">
        <v>-11.8080289767582</v>
      </c>
      <c r="E217">
        <v>797.43</v>
      </c>
      <c r="F217" t="s">
        <v>3720</v>
      </c>
      <c r="G217">
        <v>-2.0384202453987701</v>
      </c>
      <c r="H217">
        <v>1335.44</v>
      </c>
      <c r="I217">
        <v>66.73</v>
      </c>
      <c r="J217" t="s">
        <v>3721</v>
      </c>
      <c r="K217">
        <v>1655.11</v>
      </c>
      <c r="L217" t="s">
        <v>3722</v>
      </c>
      <c r="M217" t="s">
        <v>3723</v>
      </c>
      <c r="N217">
        <v>13472.08</v>
      </c>
      <c r="O217">
        <v>530</v>
      </c>
      <c r="P217" t="s">
        <v>3724</v>
      </c>
      <c r="Q217">
        <v>12010.88</v>
      </c>
      <c r="R217" t="s">
        <v>3725</v>
      </c>
      <c r="S217" t="s">
        <v>3726</v>
      </c>
    </row>
    <row r="218" spans="1:19" x14ac:dyDescent="0.25">
      <c r="A218">
        <v>20868</v>
      </c>
      <c r="B218">
        <v>22520.63</v>
      </c>
      <c r="C218">
        <v>330.98</v>
      </c>
      <c r="D218" t="s">
        <v>3727</v>
      </c>
      <c r="E218">
        <v>8489.19</v>
      </c>
      <c r="F218" t="s">
        <v>3728</v>
      </c>
      <c r="G218" t="s">
        <v>3729</v>
      </c>
      <c r="H218">
        <v>190291.81</v>
      </c>
      <c r="I218">
        <v>1983.36</v>
      </c>
      <c r="J218" t="s">
        <v>3730</v>
      </c>
      <c r="K218">
        <v>52496.66</v>
      </c>
      <c r="L218" t="s">
        <v>3731</v>
      </c>
      <c r="M218" t="s">
        <v>3732</v>
      </c>
      <c r="N218">
        <v>461279.58</v>
      </c>
      <c r="O218">
        <v>5140.59</v>
      </c>
      <c r="P218" t="s">
        <v>3733</v>
      </c>
      <c r="Q218">
        <v>142781.6</v>
      </c>
      <c r="R218" t="s">
        <v>3734</v>
      </c>
      <c r="S218" t="s">
        <v>3735</v>
      </c>
    </row>
    <row r="219" spans="1:19" x14ac:dyDescent="0.25">
      <c r="A219">
        <v>20869</v>
      </c>
      <c r="B219">
        <v>159759.51999999999</v>
      </c>
      <c r="C219">
        <v>2341.0700000000002</v>
      </c>
      <c r="D219" t="s">
        <v>3736</v>
      </c>
      <c r="E219">
        <v>71501.78</v>
      </c>
      <c r="F219" t="s">
        <v>3737</v>
      </c>
      <c r="G219" t="s">
        <v>3738</v>
      </c>
      <c r="H219">
        <v>522211.91</v>
      </c>
      <c r="I219">
        <v>8397.2199999999993</v>
      </c>
      <c r="J219" t="s">
        <v>3739</v>
      </c>
      <c r="K219">
        <v>244342.92</v>
      </c>
      <c r="L219" t="s">
        <v>3740</v>
      </c>
      <c r="M219" t="s">
        <v>3741</v>
      </c>
      <c r="N219">
        <v>2135774.4900000002</v>
      </c>
      <c r="O219">
        <v>27083.279999999999</v>
      </c>
      <c r="P219" t="s">
        <v>3742</v>
      </c>
      <c r="Q219">
        <v>736262.92</v>
      </c>
      <c r="R219" t="s">
        <v>3743</v>
      </c>
      <c r="S219" t="s">
        <v>3744</v>
      </c>
    </row>
    <row r="220" spans="1:19" x14ac:dyDescent="0.25">
      <c r="A220">
        <v>20870</v>
      </c>
      <c r="B220">
        <v>53881.21</v>
      </c>
      <c r="C220">
        <v>497.25</v>
      </c>
      <c r="D220" t="s">
        <v>3745</v>
      </c>
      <c r="E220">
        <v>13804.61</v>
      </c>
      <c r="F220" t="s">
        <v>3746</v>
      </c>
      <c r="G220" t="s">
        <v>3747</v>
      </c>
      <c r="H220">
        <v>117370.12</v>
      </c>
      <c r="I220">
        <v>1003.15</v>
      </c>
      <c r="J220" t="s">
        <v>3748</v>
      </c>
      <c r="K220">
        <v>28044.01</v>
      </c>
      <c r="L220" t="s">
        <v>3749</v>
      </c>
      <c r="M220" t="s">
        <v>3750</v>
      </c>
      <c r="N220">
        <v>346325.97</v>
      </c>
      <c r="O220">
        <v>3092.71</v>
      </c>
      <c r="P220" t="s">
        <v>3751</v>
      </c>
      <c r="Q220">
        <v>82390.429999999993</v>
      </c>
      <c r="R220" t="s">
        <v>3752</v>
      </c>
      <c r="S220" t="s">
        <v>3753</v>
      </c>
    </row>
    <row r="221" spans="1:19" x14ac:dyDescent="0.25">
      <c r="A221">
        <v>20871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-2787.72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3056.65</v>
      </c>
      <c r="O221">
        <v>117.45</v>
      </c>
      <c r="P221" t="s">
        <v>3754</v>
      </c>
      <c r="Q221">
        <v>2817.24</v>
      </c>
      <c r="R221" t="s">
        <v>3755</v>
      </c>
      <c r="S221" t="s">
        <v>3756</v>
      </c>
    </row>
    <row r="222" spans="1:19" x14ac:dyDescent="0.25">
      <c r="A222">
        <v>20872</v>
      </c>
      <c r="B222">
        <v>20318.73</v>
      </c>
      <c r="C222">
        <v>295.79000000000002</v>
      </c>
      <c r="D222" t="s">
        <v>3757</v>
      </c>
      <c r="E222">
        <v>9378.4699999999993</v>
      </c>
      <c r="F222" t="s">
        <v>3758</v>
      </c>
      <c r="G222" t="s">
        <v>3759</v>
      </c>
      <c r="H222">
        <v>69521.2</v>
      </c>
      <c r="I222">
        <v>1451.71</v>
      </c>
      <c r="J222" t="s">
        <v>3760</v>
      </c>
      <c r="K222">
        <v>40515.49</v>
      </c>
      <c r="L222" t="s">
        <v>3761</v>
      </c>
      <c r="M222">
        <v>0.582778922112967</v>
      </c>
      <c r="N222">
        <v>458122.9</v>
      </c>
      <c r="O222">
        <v>9464.48</v>
      </c>
      <c r="P222" t="s">
        <v>3762</v>
      </c>
      <c r="Q222">
        <v>247280.99</v>
      </c>
      <c r="R222" t="s">
        <v>3763</v>
      </c>
      <c r="S222">
        <v>0.53976998312025004</v>
      </c>
    </row>
    <row r="223" spans="1:19" x14ac:dyDescent="0.25">
      <c r="A223">
        <v>20873</v>
      </c>
      <c r="B223">
        <v>14</v>
      </c>
      <c r="C223">
        <v>19.62</v>
      </c>
      <c r="D223" t="s">
        <v>3764</v>
      </c>
      <c r="E223">
        <v>644.14</v>
      </c>
      <c r="F223" t="s">
        <v>3765</v>
      </c>
      <c r="G223">
        <v>46.01</v>
      </c>
      <c r="H223">
        <v>-37058.76</v>
      </c>
      <c r="I223">
        <v>144.24</v>
      </c>
      <c r="J223">
        <v>-256.92429284525701</v>
      </c>
      <c r="K223">
        <v>4499.37</v>
      </c>
      <c r="L223" t="s">
        <v>3766</v>
      </c>
      <c r="M223">
        <v>-0.12141177956305001</v>
      </c>
      <c r="N223">
        <v>5410.44</v>
      </c>
      <c r="O223">
        <v>313.61</v>
      </c>
      <c r="P223" t="s">
        <v>3767</v>
      </c>
      <c r="Q223">
        <v>9481.89</v>
      </c>
      <c r="R223" t="s">
        <v>3768</v>
      </c>
      <c r="S223" t="s">
        <v>3769</v>
      </c>
    </row>
    <row r="224" spans="1:19" x14ac:dyDescent="0.25">
      <c r="A224">
        <v>20874</v>
      </c>
      <c r="B224">
        <v>28034.78</v>
      </c>
      <c r="C224">
        <v>334.78</v>
      </c>
      <c r="D224" t="s">
        <v>3770</v>
      </c>
      <c r="E224">
        <v>8582.4599999999991</v>
      </c>
      <c r="F224" t="s">
        <v>3771</v>
      </c>
      <c r="G224" t="s">
        <v>3772</v>
      </c>
      <c r="H224">
        <v>84495.38</v>
      </c>
      <c r="I224">
        <v>1093.31</v>
      </c>
      <c r="J224" t="s">
        <v>3773</v>
      </c>
      <c r="K224">
        <v>27960.43</v>
      </c>
      <c r="L224" t="s">
        <v>3774</v>
      </c>
      <c r="M224" t="s">
        <v>3775</v>
      </c>
      <c r="N224">
        <v>252813.73</v>
      </c>
      <c r="O224">
        <v>3661.61</v>
      </c>
      <c r="P224" t="s">
        <v>3776</v>
      </c>
      <c r="Q224">
        <v>91155.54</v>
      </c>
      <c r="R224" t="s">
        <v>3777</v>
      </c>
      <c r="S224" t="s">
        <v>3778</v>
      </c>
    </row>
    <row r="225" spans="1:19" x14ac:dyDescent="0.25">
      <c r="A225">
        <v>20884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1338.52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-86915.99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>
        <v>20885</v>
      </c>
      <c r="B226">
        <v>100650.58</v>
      </c>
      <c r="C226">
        <v>1267.8</v>
      </c>
      <c r="D226" t="s">
        <v>3779</v>
      </c>
      <c r="E226">
        <v>35555.730000000003</v>
      </c>
      <c r="F226" t="s">
        <v>3780</v>
      </c>
      <c r="G226" t="s">
        <v>3781</v>
      </c>
      <c r="H226">
        <v>255189.25</v>
      </c>
      <c r="I226">
        <v>3585.93</v>
      </c>
      <c r="J226" t="s">
        <v>3782</v>
      </c>
      <c r="K226">
        <v>102124.42</v>
      </c>
      <c r="L226" t="s">
        <v>3783</v>
      </c>
      <c r="M226" t="s">
        <v>3784</v>
      </c>
      <c r="N226">
        <v>810423.9</v>
      </c>
      <c r="O226">
        <v>10827.45</v>
      </c>
      <c r="P226" t="s">
        <v>3785</v>
      </c>
      <c r="Q226">
        <v>292026.55</v>
      </c>
      <c r="R226" t="s">
        <v>3786</v>
      </c>
      <c r="S226" t="s">
        <v>3787</v>
      </c>
    </row>
    <row r="227" spans="1:19" x14ac:dyDescent="0.25">
      <c r="A227">
        <v>20886</v>
      </c>
      <c r="B227">
        <v>-10.66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-3162.9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-2641.85</v>
      </c>
      <c r="O227">
        <v>20.03</v>
      </c>
      <c r="P227">
        <v>-131.89465801297999</v>
      </c>
      <c r="Q227">
        <v>501.72</v>
      </c>
      <c r="R227" t="s">
        <v>3788</v>
      </c>
      <c r="S227">
        <v>-0.18991237201203701</v>
      </c>
    </row>
    <row r="228" spans="1:19" x14ac:dyDescent="0.25">
      <c r="A228">
        <v>20887</v>
      </c>
      <c r="B228">
        <v>-16093.29</v>
      </c>
      <c r="C228">
        <v>71.47</v>
      </c>
      <c r="D228">
        <v>-225.17545823422401</v>
      </c>
      <c r="E228">
        <v>2419.06</v>
      </c>
      <c r="F228" t="s">
        <v>3789</v>
      </c>
      <c r="G228">
        <v>-0.15031482064885399</v>
      </c>
      <c r="H228">
        <v>-4707.71</v>
      </c>
      <c r="I228">
        <v>338.81</v>
      </c>
      <c r="J228">
        <v>-13.894837814704401</v>
      </c>
      <c r="K228">
        <v>11234.86</v>
      </c>
      <c r="L228" t="s">
        <v>3790</v>
      </c>
      <c r="M228">
        <v>-2.3864809004802701</v>
      </c>
      <c r="N228">
        <v>356609.92</v>
      </c>
      <c r="O228">
        <v>1748.65</v>
      </c>
      <c r="P228" t="s">
        <v>3791</v>
      </c>
      <c r="Q228">
        <v>51827.73</v>
      </c>
      <c r="R228" t="s">
        <v>3792</v>
      </c>
      <c r="S228" t="s">
        <v>3793</v>
      </c>
    </row>
    <row r="229" spans="1:19" x14ac:dyDescent="0.25">
      <c r="A229">
        <v>20889</v>
      </c>
      <c r="B229">
        <v>-2202.58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-120865.28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-115796.75</v>
      </c>
      <c r="O229">
        <v>1299.57</v>
      </c>
      <c r="P229">
        <v>-89.103895904029798</v>
      </c>
      <c r="Q229">
        <v>32115.89</v>
      </c>
      <c r="R229" t="s">
        <v>3794</v>
      </c>
      <c r="S229">
        <v>-0.27734707580307699</v>
      </c>
    </row>
    <row r="230" spans="1:19" x14ac:dyDescent="0.25">
      <c r="A230">
        <v>20893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-0.02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5">
      <c r="A231">
        <v>20895</v>
      </c>
      <c r="B231">
        <v>-21178.78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-22407.73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-12056.74</v>
      </c>
      <c r="O231">
        <v>8.1199999999999992</v>
      </c>
      <c r="P231">
        <v>-1484.8201970443299</v>
      </c>
      <c r="Q231">
        <v>230.42</v>
      </c>
      <c r="R231" t="s">
        <v>3795</v>
      </c>
      <c r="S231">
        <v>-1.9111302060092501E-2</v>
      </c>
    </row>
    <row r="232" spans="1:19" x14ac:dyDescent="0.25">
      <c r="A232">
        <v>20896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-3242.19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5">
      <c r="A233">
        <v>20903</v>
      </c>
      <c r="B233">
        <v>0</v>
      </c>
      <c r="C233">
        <v>3.45</v>
      </c>
      <c r="D233">
        <v>0</v>
      </c>
      <c r="E233">
        <v>95.74</v>
      </c>
      <c r="F233" t="s">
        <v>3796</v>
      </c>
      <c r="G233">
        <v>0</v>
      </c>
      <c r="H233">
        <v>0</v>
      </c>
      <c r="I233">
        <v>3.45</v>
      </c>
      <c r="J233">
        <v>0</v>
      </c>
      <c r="K233">
        <v>95.74</v>
      </c>
      <c r="L233" t="s">
        <v>3796</v>
      </c>
      <c r="M233">
        <v>0</v>
      </c>
      <c r="N233">
        <v>150</v>
      </c>
      <c r="O233">
        <v>3.45</v>
      </c>
      <c r="P233" t="s">
        <v>3797</v>
      </c>
      <c r="Q233">
        <v>95.74</v>
      </c>
      <c r="R233" t="s">
        <v>3796</v>
      </c>
      <c r="S233" t="s">
        <v>3798</v>
      </c>
    </row>
    <row r="234" spans="1:19" x14ac:dyDescent="0.25">
      <c r="A234">
        <v>20922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4623.04</v>
      </c>
      <c r="O234">
        <v>52.87</v>
      </c>
      <c r="P234">
        <v>87.4416493285417</v>
      </c>
      <c r="Q234">
        <v>1975.48</v>
      </c>
      <c r="R234" t="s">
        <v>3799</v>
      </c>
      <c r="S234" t="s">
        <v>3800</v>
      </c>
    </row>
    <row r="235" spans="1:19" x14ac:dyDescent="0.25">
      <c r="A235">
        <v>20924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-4900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15669</v>
      </c>
      <c r="O235">
        <v>437.72</v>
      </c>
      <c r="P235" t="s">
        <v>3801</v>
      </c>
      <c r="Q235">
        <v>13892.54</v>
      </c>
      <c r="R235" t="s">
        <v>3802</v>
      </c>
      <c r="S235" t="s">
        <v>3803</v>
      </c>
    </row>
    <row r="236" spans="1:19" x14ac:dyDescent="0.25">
      <c r="A236">
        <v>20925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-15828.93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5">
      <c r="A237">
        <v>20930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-238.19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5">
      <c r="A238">
        <v>20934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1869.08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1869.08</v>
      </c>
      <c r="R238">
        <v>0</v>
      </c>
      <c r="S238">
        <v>0</v>
      </c>
    </row>
    <row r="239" spans="1:19" x14ac:dyDescent="0.25">
      <c r="A239">
        <v>20948</v>
      </c>
      <c r="B239">
        <v>-85369.88</v>
      </c>
      <c r="C239">
        <v>2.93</v>
      </c>
      <c r="D239">
        <v>-29136.4778156996</v>
      </c>
      <c r="E239">
        <v>157.69</v>
      </c>
      <c r="F239" t="s">
        <v>3804</v>
      </c>
      <c r="G239">
        <v>-1.8471385926746001E-3</v>
      </c>
      <c r="H239">
        <v>-85369.88</v>
      </c>
      <c r="I239">
        <v>2.93</v>
      </c>
      <c r="J239">
        <v>-29136.4778156996</v>
      </c>
      <c r="K239">
        <v>157.69</v>
      </c>
      <c r="L239" t="s">
        <v>3804</v>
      </c>
      <c r="M239">
        <v>-1.8471385926746001E-3</v>
      </c>
      <c r="N239">
        <v>-85369.88</v>
      </c>
      <c r="O239">
        <v>2.93</v>
      </c>
      <c r="P239">
        <v>-29136.4778156996</v>
      </c>
      <c r="Q239">
        <v>157.69</v>
      </c>
      <c r="R239" t="s">
        <v>3804</v>
      </c>
      <c r="S239">
        <v>-1.8471385926746001E-3</v>
      </c>
    </row>
    <row r="240" spans="1:19" x14ac:dyDescent="0.25">
      <c r="A240">
        <v>20951</v>
      </c>
      <c r="B240">
        <v>1017.88</v>
      </c>
      <c r="C240">
        <v>536.19000000000005</v>
      </c>
      <c r="D240" t="s">
        <v>3805</v>
      </c>
      <c r="E240">
        <v>17194.78</v>
      </c>
      <c r="F240" t="s">
        <v>3806</v>
      </c>
      <c r="G240" t="s">
        <v>3807</v>
      </c>
      <c r="H240">
        <v>122371.61</v>
      </c>
      <c r="I240">
        <v>3090.34</v>
      </c>
      <c r="J240" t="s">
        <v>3808</v>
      </c>
      <c r="K240">
        <v>90399.78</v>
      </c>
      <c r="L240" t="s">
        <v>3809</v>
      </c>
      <c r="M240">
        <v>0.73873163881720605</v>
      </c>
      <c r="N240">
        <v>153063.85</v>
      </c>
      <c r="O240">
        <v>3624.74</v>
      </c>
      <c r="P240" t="s">
        <v>3810</v>
      </c>
      <c r="Q240">
        <v>107459.49</v>
      </c>
      <c r="R240" t="s">
        <v>3811</v>
      </c>
      <c r="S240" t="s">
        <v>3812</v>
      </c>
    </row>
    <row r="241" spans="1:19" x14ac:dyDescent="0.25">
      <c r="A241">
        <v>20953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11599.61</v>
      </c>
      <c r="I241">
        <v>65.25</v>
      </c>
      <c r="J241" t="s">
        <v>3813</v>
      </c>
      <c r="K241">
        <v>2260.4699999999998</v>
      </c>
      <c r="L241">
        <v>34.643218390804599</v>
      </c>
      <c r="M241" t="s">
        <v>3814</v>
      </c>
      <c r="N241">
        <v>11599.61</v>
      </c>
      <c r="O241">
        <v>65.25</v>
      </c>
      <c r="P241" t="s">
        <v>3813</v>
      </c>
      <c r="Q241">
        <v>2260.4699999999998</v>
      </c>
      <c r="R241">
        <v>34.643218390804599</v>
      </c>
      <c r="S241" t="s">
        <v>3814</v>
      </c>
    </row>
    <row r="242" spans="1:19" x14ac:dyDescent="0.25">
      <c r="A242">
        <v>20954</v>
      </c>
      <c r="B242">
        <v>51287.68</v>
      </c>
      <c r="C242">
        <v>314.42</v>
      </c>
      <c r="D242" t="s">
        <v>3815</v>
      </c>
      <c r="E242">
        <v>9981.4</v>
      </c>
      <c r="F242" t="s">
        <v>3816</v>
      </c>
      <c r="G242" t="s">
        <v>3817</v>
      </c>
      <c r="H242">
        <v>131901.22</v>
      </c>
      <c r="I242">
        <v>704.88</v>
      </c>
      <c r="J242" t="s">
        <v>3818</v>
      </c>
      <c r="K242">
        <v>22055.68</v>
      </c>
      <c r="L242" t="s">
        <v>3819</v>
      </c>
      <c r="M242" t="s">
        <v>3820</v>
      </c>
      <c r="N242">
        <v>131917.32999999999</v>
      </c>
      <c r="O242">
        <v>724.77</v>
      </c>
      <c r="P242" t="s">
        <v>3821</v>
      </c>
      <c r="Q242">
        <v>22695.94</v>
      </c>
      <c r="R242" t="s">
        <v>3822</v>
      </c>
      <c r="S242" t="s">
        <v>3823</v>
      </c>
    </row>
    <row r="243" spans="1:19" x14ac:dyDescent="0.25">
      <c r="A243">
        <v>20956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35877.49</v>
      </c>
      <c r="I243">
        <v>924.55</v>
      </c>
      <c r="J243" t="s">
        <v>3824</v>
      </c>
      <c r="K243">
        <v>17062.080000000002</v>
      </c>
      <c r="L243" t="s">
        <v>3825</v>
      </c>
      <c r="M243" t="s">
        <v>3826</v>
      </c>
      <c r="N243">
        <v>442012.75</v>
      </c>
      <c r="O243">
        <v>4374.3100000000004</v>
      </c>
      <c r="P243" t="s">
        <v>3827</v>
      </c>
      <c r="Q243">
        <v>126658.94</v>
      </c>
      <c r="R243" t="s">
        <v>3828</v>
      </c>
      <c r="S243" t="s">
        <v>3829</v>
      </c>
    </row>
    <row r="244" spans="1:19" x14ac:dyDescent="0.25">
      <c r="A244">
        <v>20959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-1.63</v>
      </c>
      <c r="J244">
        <v>0</v>
      </c>
      <c r="K244">
        <v>64.56</v>
      </c>
      <c r="L244">
        <v>-39.607361963190101</v>
      </c>
      <c r="M244">
        <v>0</v>
      </c>
      <c r="N244">
        <v>1739.53</v>
      </c>
      <c r="O244">
        <v>13.84</v>
      </c>
      <c r="P244" t="s">
        <v>3830</v>
      </c>
      <c r="Q244">
        <v>610.34</v>
      </c>
      <c r="R244" t="s">
        <v>3831</v>
      </c>
      <c r="S244" t="s">
        <v>3832</v>
      </c>
    </row>
    <row r="245" spans="1:19" x14ac:dyDescent="0.25">
      <c r="A245">
        <v>20966</v>
      </c>
      <c r="B245">
        <v>39116.519999999997</v>
      </c>
      <c r="C245">
        <v>192.17</v>
      </c>
      <c r="D245" t="s">
        <v>3833</v>
      </c>
      <c r="E245">
        <v>6680.83</v>
      </c>
      <c r="F245" t="s">
        <v>3834</v>
      </c>
      <c r="G245" t="s">
        <v>3835</v>
      </c>
      <c r="H245">
        <v>66013.289999999994</v>
      </c>
      <c r="I245">
        <v>455.33</v>
      </c>
      <c r="J245" t="s">
        <v>3836</v>
      </c>
      <c r="K245">
        <v>15755.05</v>
      </c>
      <c r="L245" t="s">
        <v>3837</v>
      </c>
      <c r="M245" t="s">
        <v>3838</v>
      </c>
      <c r="N245">
        <v>66013.289999999994</v>
      </c>
      <c r="O245">
        <v>455.33</v>
      </c>
      <c r="P245" t="s">
        <v>3836</v>
      </c>
      <c r="Q245">
        <v>15755.05</v>
      </c>
      <c r="R245" t="s">
        <v>3837</v>
      </c>
      <c r="S245" t="s">
        <v>3838</v>
      </c>
    </row>
    <row r="246" spans="1:19" x14ac:dyDescent="0.25">
      <c r="A246">
        <v>20970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-143.46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-143.46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>
        <v>20972</v>
      </c>
      <c r="B247">
        <v>81799</v>
      </c>
      <c r="C247">
        <v>1038.95</v>
      </c>
      <c r="D247" t="s">
        <v>3839</v>
      </c>
      <c r="E247">
        <v>33738.699999999997</v>
      </c>
      <c r="F247" t="s">
        <v>3840</v>
      </c>
      <c r="G247" t="s">
        <v>3841</v>
      </c>
      <c r="H247">
        <v>184066</v>
      </c>
      <c r="I247">
        <v>1707.49</v>
      </c>
      <c r="J247" t="s">
        <v>3842</v>
      </c>
      <c r="K247">
        <v>57667.91</v>
      </c>
      <c r="L247" t="s">
        <v>3843</v>
      </c>
      <c r="M247" t="s">
        <v>3844</v>
      </c>
      <c r="N247">
        <v>326775.01</v>
      </c>
      <c r="O247">
        <v>2834.81</v>
      </c>
      <c r="P247" t="s">
        <v>3845</v>
      </c>
      <c r="Q247">
        <v>95692.27</v>
      </c>
      <c r="R247" t="s">
        <v>3846</v>
      </c>
      <c r="S247" t="s">
        <v>3847</v>
      </c>
    </row>
    <row r="248" spans="1:19" x14ac:dyDescent="0.25">
      <c r="A248">
        <v>20975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6410.5</v>
      </c>
      <c r="I248">
        <v>644.92999999999995</v>
      </c>
      <c r="J248">
        <v>9.9398384320779005</v>
      </c>
      <c r="K248">
        <v>21910.83</v>
      </c>
      <c r="L248" t="s">
        <v>3848</v>
      </c>
      <c r="M248" t="s">
        <v>3849</v>
      </c>
      <c r="N248">
        <v>6429.72</v>
      </c>
      <c r="O248">
        <v>644.92999999999995</v>
      </c>
      <c r="P248">
        <v>9.96964011598158</v>
      </c>
      <c r="Q248">
        <v>21910.83</v>
      </c>
      <c r="R248" t="s">
        <v>3848</v>
      </c>
      <c r="S248" t="s">
        <v>3850</v>
      </c>
    </row>
    <row r="249" spans="1:19" x14ac:dyDescent="0.25">
      <c r="A249">
        <v>20979</v>
      </c>
      <c r="B249">
        <v>-166.8</v>
      </c>
      <c r="C249">
        <v>608.34</v>
      </c>
      <c r="D249">
        <v>-0.27418877601341302</v>
      </c>
      <c r="E249">
        <v>21091.37</v>
      </c>
      <c r="F249" t="s">
        <v>3851</v>
      </c>
      <c r="G249">
        <v>-126.447062350119</v>
      </c>
      <c r="H249">
        <v>20946.39</v>
      </c>
      <c r="I249">
        <v>774.49</v>
      </c>
      <c r="J249" t="s">
        <v>3852</v>
      </c>
      <c r="K249">
        <v>26403.46</v>
      </c>
      <c r="L249" t="s">
        <v>3853</v>
      </c>
      <c r="M249" t="s">
        <v>3854</v>
      </c>
      <c r="N249">
        <v>19183.89</v>
      </c>
      <c r="O249">
        <v>774.49</v>
      </c>
      <c r="P249" t="s">
        <v>3855</v>
      </c>
      <c r="Q249">
        <v>26403.46</v>
      </c>
      <c r="R249" t="s">
        <v>3853</v>
      </c>
      <c r="S249" t="s">
        <v>3856</v>
      </c>
    </row>
    <row r="250" spans="1:19" x14ac:dyDescent="0.25">
      <c r="A250">
        <v>20984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8647.4</v>
      </c>
      <c r="I250">
        <v>211.97</v>
      </c>
      <c r="J250">
        <v>40.7953955748455</v>
      </c>
      <c r="K250">
        <v>6288.79</v>
      </c>
      <c r="L250" t="s">
        <v>3857</v>
      </c>
      <c r="M250" t="s">
        <v>3858</v>
      </c>
      <c r="N250">
        <v>7141.45</v>
      </c>
      <c r="O250">
        <v>258.25</v>
      </c>
      <c r="P250" t="s">
        <v>3859</v>
      </c>
      <c r="Q250">
        <v>7875.65</v>
      </c>
      <c r="R250" t="s">
        <v>3860</v>
      </c>
      <c r="S250" t="s">
        <v>3861</v>
      </c>
    </row>
    <row r="251" spans="1:19" x14ac:dyDescent="0.25">
      <c r="A251">
        <v>20985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24041.85</v>
      </c>
      <c r="I251">
        <v>539.26</v>
      </c>
      <c r="J251" t="s">
        <v>3862</v>
      </c>
      <c r="K251">
        <v>18657.830000000002</v>
      </c>
      <c r="L251" t="s">
        <v>3863</v>
      </c>
      <c r="M251" t="s">
        <v>3864</v>
      </c>
      <c r="N251">
        <v>22641.85</v>
      </c>
      <c r="O251">
        <v>539.26</v>
      </c>
      <c r="P251" t="s">
        <v>3865</v>
      </c>
      <c r="Q251">
        <v>18657.830000000002</v>
      </c>
      <c r="R251" t="s">
        <v>3863</v>
      </c>
      <c r="S251" t="s">
        <v>3866</v>
      </c>
    </row>
    <row r="252" spans="1:19" x14ac:dyDescent="0.25">
      <c r="A252">
        <v>20986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147289.68</v>
      </c>
      <c r="I252">
        <v>386.43</v>
      </c>
      <c r="J252" t="s">
        <v>3867</v>
      </c>
      <c r="K252">
        <v>18887.560000000001</v>
      </c>
      <c r="L252" t="s">
        <v>3868</v>
      </c>
      <c r="M252" t="s">
        <v>3869</v>
      </c>
      <c r="N252">
        <v>147289.69</v>
      </c>
      <c r="O252">
        <v>386.43</v>
      </c>
      <c r="P252" t="s">
        <v>3870</v>
      </c>
      <c r="Q252">
        <v>18887.560000000001</v>
      </c>
      <c r="R252" t="s">
        <v>3868</v>
      </c>
      <c r="S252" t="s">
        <v>3871</v>
      </c>
    </row>
    <row r="253" spans="1:19" x14ac:dyDescent="0.25">
      <c r="A253">
        <v>20992</v>
      </c>
      <c r="B253">
        <v>57570.7</v>
      </c>
      <c r="C253">
        <v>995.47</v>
      </c>
      <c r="D253" t="s">
        <v>3872</v>
      </c>
      <c r="E253">
        <v>33937.25</v>
      </c>
      <c r="F253" t="s">
        <v>3873</v>
      </c>
      <c r="G253" t="s">
        <v>3874</v>
      </c>
      <c r="H253">
        <v>155641.57</v>
      </c>
      <c r="I253">
        <v>1696.09</v>
      </c>
      <c r="J253" t="s">
        <v>3875</v>
      </c>
      <c r="K253">
        <v>59513.18</v>
      </c>
      <c r="L253" t="s">
        <v>3876</v>
      </c>
      <c r="M253" t="s">
        <v>3877</v>
      </c>
      <c r="N253">
        <v>133417.07</v>
      </c>
      <c r="O253">
        <v>1696.09</v>
      </c>
      <c r="P253" t="s">
        <v>3878</v>
      </c>
      <c r="Q253">
        <v>59513.18</v>
      </c>
      <c r="R253" t="s">
        <v>3876</v>
      </c>
      <c r="S253" t="s">
        <v>3879</v>
      </c>
    </row>
    <row r="254" spans="1:19" x14ac:dyDescent="0.25">
      <c r="A254">
        <v>20993</v>
      </c>
      <c r="B254">
        <v>16974</v>
      </c>
      <c r="C254">
        <v>226.23</v>
      </c>
      <c r="D254" t="s">
        <v>3880</v>
      </c>
      <c r="E254">
        <v>9643.39</v>
      </c>
      <c r="F254" t="s">
        <v>3881</v>
      </c>
      <c r="G254" t="s">
        <v>3882</v>
      </c>
      <c r="H254">
        <v>77756.5</v>
      </c>
      <c r="I254">
        <v>643.78</v>
      </c>
      <c r="J254" t="s">
        <v>3883</v>
      </c>
      <c r="K254">
        <v>27243.9</v>
      </c>
      <c r="L254" t="s">
        <v>3884</v>
      </c>
      <c r="M254" t="s">
        <v>3885</v>
      </c>
      <c r="N254">
        <v>316832.25</v>
      </c>
      <c r="O254">
        <v>2403.81</v>
      </c>
      <c r="P254" t="s">
        <v>3886</v>
      </c>
      <c r="Q254">
        <v>93208.29</v>
      </c>
      <c r="R254" t="s">
        <v>3887</v>
      </c>
      <c r="S254" t="s">
        <v>3888</v>
      </c>
    </row>
    <row r="255" spans="1:19" x14ac:dyDescent="0.25">
      <c r="A255">
        <v>20997</v>
      </c>
      <c r="B255">
        <v>69316</v>
      </c>
      <c r="C255">
        <v>688.91</v>
      </c>
      <c r="D255" t="s">
        <v>3889</v>
      </c>
      <c r="E255">
        <v>24837.08</v>
      </c>
      <c r="F255" t="s">
        <v>3890</v>
      </c>
      <c r="G255" t="s">
        <v>3891</v>
      </c>
      <c r="H255">
        <v>281293.42</v>
      </c>
      <c r="I255">
        <v>1952.37</v>
      </c>
      <c r="J255" t="s">
        <v>3892</v>
      </c>
      <c r="K255">
        <v>70313.17</v>
      </c>
      <c r="L255" t="s">
        <v>3893</v>
      </c>
      <c r="M255" t="s">
        <v>3894</v>
      </c>
      <c r="N255">
        <v>295988.5</v>
      </c>
      <c r="O255">
        <v>1996.01</v>
      </c>
      <c r="P255" t="s">
        <v>3895</v>
      </c>
      <c r="Q255">
        <v>71932.27</v>
      </c>
      <c r="R255" t="s">
        <v>3896</v>
      </c>
      <c r="S255" t="s">
        <v>3897</v>
      </c>
    </row>
    <row r="256" spans="1:19" x14ac:dyDescent="0.25">
      <c r="A256">
        <v>21000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82.26</v>
      </c>
      <c r="J256">
        <v>0</v>
      </c>
      <c r="K256">
        <v>1663.56</v>
      </c>
      <c r="L256" t="s">
        <v>3898</v>
      </c>
      <c r="M256">
        <v>0</v>
      </c>
      <c r="N256">
        <v>20877.21</v>
      </c>
      <c r="O256">
        <v>346.81</v>
      </c>
      <c r="P256" t="s">
        <v>3899</v>
      </c>
      <c r="Q256">
        <v>10873.77</v>
      </c>
      <c r="R256" t="s">
        <v>3900</v>
      </c>
      <c r="S256" t="s">
        <v>3901</v>
      </c>
    </row>
    <row r="257" spans="1:19" x14ac:dyDescent="0.25">
      <c r="A257">
        <v>21001</v>
      </c>
      <c r="B257">
        <v>0</v>
      </c>
      <c r="C257">
        <v>48.08</v>
      </c>
      <c r="D257">
        <v>0</v>
      </c>
      <c r="E257">
        <v>1414.79</v>
      </c>
      <c r="F257" t="s">
        <v>3902</v>
      </c>
      <c r="G257">
        <v>0</v>
      </c>
      <c r="H257">
        <v>-63.24</v>
      </c>
      <c r="I257">
        <v>48.08</v>
      </c>
      <c r="J257">
        <v>-1.3153078202995001</v>
      </c>
      <c r="K257">
        <v>3801.55</v>
      </c>
      <c r="L257" t="s">
        <v>3903</v>
      </c>
      <c r="M257">
        <v>-60.113061353573599</v>
      </c>
      <c r="N257">
        <v>44711.42</v>
      </c>
      <c r="O257">
        <v>158.63</v>
      </c>
      <c r="P257" t="s">
        <v>3904</v>
      </c>
      <c r="Q257">
        <v>6934.17</v>
      </c>
      <c r="R257" t="s">
        <v>3905</v>
      </c>
      <c r="S257" t="s">
        <v>3906</v>
      </c>
    </row>
    <row r="258" spans="1:19" x14ac:dyDescent="0.25">
      <c r="A258">
        <v>21002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-156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-156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>
        <v>21005</v>
      </c>
      <c r="B259">
        <v>21252.38</v>
      </c>
      <c r="C259">
        <v>573.89</v>
      </c>
      <c r="D259" t="s">
        <v>3907</v>
      </c>
      <c r="E259">
        <v>18005.23</v>
      </c>
      <c r="F259" t="s">
        <v>3908</v>
      </c>
      <c r="G259" t="s">
        <v>3909</v>
      </c>
      <c r="H259">
        <v>143590.42000000001</v>
      </c>
      <c r="I259">
        <v>1916.98</v>
      </c>
      <c r="J259" t="s">
        <v>3910</v>
      </c>
      <c r="K259">
        <v>56529.09</v>
      </c>
      <c r="L259">
        <v>29.488617512963099</v>
      </c>
      <c r="M259" t="s">
        <v>3911</v>
      </c>
      <c r="N259">
        <v>201491.43</v>
      </c>
      <c r="O259">
        <v>2733.95</v>
      </c>
      <c r="P259" t="s">
        <v>3912</v>
      </c>
      <c r="Q259">
        <v>83889.78</v>
      </c>
      <c r="R259" t="s">
        <v>3913</v>
      </c>
      <c r="S259">
        <v>0.41634415915356798</v>
      </c>
    </row>
    <row r="260" spans="1:19" x14ac:dyDescent="0.25">
      <c r="A260">
        <v>21006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-1888.18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>
        <v>21007</v>
      </c>
      <c r="B261">
        <v>28197.040000000001</v>
      </c>
      <c r="C261">
        <v>272.44</v>
      </c>
      <c r="D261" t="s">
        <v>3914</v>
      </c>
      <c r="E261">
        <v>7858.96</v>
      </c>
      <c r="F261" t="s">
        <v>3915</v>
      </c>
      <c r="G261" t="s">
        <v>3916</v>
      </c>
      <c r="H261">
        <v>94381.26</v>
      </c>
      <c r="I261">
        <v>528.95000000000005</v>
      </c>
      <c r="J261">
        <v>178.43134511768599</v>
      </c>
      <c r="K261">
        <v>24852.5</v>
      </c>
      <c r="L261" t="s">
        <v>3917</v>
      </c>
      <c r="M261" t="s">
        <v>3918</v>
      </c>
      <c r="N261">
        <v>149620.81</v>
      </c>
      <c r="O261">
        <v>528.95000000000005</v>
      </c>
      <c r="P261" t="s">
        <v>3919</v>
      </c>
      <c r="Q261">
        <v>24852.5</v>
      </c>
      <c r="R261" t="s">
        <v>3917</v>
      </c>
      <c r="S261" t="s">
        <v>3920</v>
      </c>
    </row>
    <row r="262" spans="1:19" x14ac:dyDescent="0.25">
      <c r="A262">
        <v>21013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9677.02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5">
      <c r="A263">
        <v>21016</v>
      </c>
      <c r="B263">
        <v>25449.200000000001</v>
      </c>
      <c r="C263">
        <v>260.77999999999997</v>
      </c>
      <c r="D263" t="s">
        <v>3921</v>
      </c>
      <c r="E263">
        <v>9025.2099999999991</v>
      </c>
      <c r="F263" t="s">
        <v>3922</v>
      </c>
      <c r="G263">
        <v>0.35463629505053201</v>
      </c>
      <c r="H263">
        <v>25449.200000000001</v>
      </c>
      <c r="I263">
        <v>260.77999999999997</v>
      </c>
      <c r="J263" t="s">
        <v>3921</v>
      </c>
      <c r="K263">
        <v>9025.2099999999991</v>
      </c>
      <c r="L263" t="s">
        <v>3922</v>
      </c>
      <c r="M263">
        <v>0.35463629505053201</v>
      </c>
      <c r="N263">
        <v>25211.35</v>
      </c>
      <c r="O263">
        <v>260.77999999999997</v>
      </c>
      <c r="P263" t="s">
        <v>3923</v>
      </c>
      <c r="Q263">
        <v>9025.2099999999991</v>
      </c>
      <c r="R263" t="s">
        <v>3922</v>
      </c>
      <c r="S263" t="s">
        <v>3924</v>
      </c>
    </row>
    <row r="264" spans="1:19" x14ac:dyDescent="0.25">
      <c r="A264">
        <v>21018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-18720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143775</v>
      </c>
      <c r="O264">
        <v>1114.73</v>
      </c>
      <c r="P264">
        <v>128.97742054129699</v>
      </c>
      <c r="Q264">
        <v>43342.2</v>
      </c>
      <c r="R264" t="s">
        <v>3925</v>
      </c>
      <c r="S264" t="s">
        <v>3926</v>
      </c>
    </row>
    <row r="265" spans="1:19" x14ac:dyDescent="0.25">
      <c r="A265">
        <v>21020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1781.16</v>
      </c>
      <c r="I265">
        <v>20.329999999999998</v>
      </c>
      <c r="J265" t="s">
        <v>3927</v>
      </c>
      <c r="K265">
        <v>1004.4</v>
      </c>
      <c r="L265" t="s">
        <v>3928</v>
      </c>
      <c r="M265" t="s">
        <v>3929</v>
      </c>
      <c r="N265">
        <v>158482.89000000001</v>
      </c>
      <c r="O265">
        <v>1495.8</v>
      </c>
      <c r="P265" t="s">
        <v>3930</v>
      </c>
      <c r="Q265">
        <v>57352.36</v>
      </c>
      <c r="R265">
        <v>38.342265008691001</v>
      </c>
      <c r="S265" t="s">
        <v>3931</v>
      </c>
    </row>
    <row r="266" spans="1:19" x14ac:dyDescent="0.25">
      <c r="A266">
        <v>21021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-301</v>
      </c>
      <c r="J266">
        <v>0</v>
      </c>
      <c r="K266">
        <v>10341.94</v>
      </c>
      <c r="L266">
        <v>-34.3586046511627</v>
      </c>
      <c r="M266">
        <v>0</v>
      </c>
      <c r="N266">
        <v>1347980.03</v>
      </c>
      <c r="O266">
        <v>8439.51</v>
      </c>
      <c r="P266" t="s">
        <v>3932</v>
      </c>
      <c r="Q266">
        <v>313707.52000000002</v>
      </c>
      <c r="R266" t="s">
        <v>3933</v>
      </c>
      <c r="S266" t="s">
        <v>3934</v>
      </c>
    </row>
    <row r="267" spans="1:19" x14ac:dyDescent="0.25">
      <c r="A267">
        <v>21022</v>
      </c>
      <c r="B267">
        <v>14949.42</v>
      </c>
      <c r="C267">
        <v>183.94</v>
      </c>
      <c r="D267" t="s">
        <v>3935</v>
      </c>
      <c r="E267">
        <v>7507.04</v>
      </c>
      <c r="F267" t="s">
        <v>3936</v>
      </c>
      <c r="G267">
        <v>0.50216262570721804</v>
      </c>
      <c r="H267">
        <v>70240.92</v>
      </c>
      <c r="I267">
        <v>610.74</v>
      </c>
      <c r="J267" t="s">
        <v>3937</v>
      </c>
      <c r="K267">
        <v>21821.57</v>
      </c>
      <c r="L267" t="s">
        <v>3938</v>
      </c>
      <c r="M267" t="s">
        <v>3939</v>
      </c>
      <c r="N267">
        <v>282002.43</v>
      </c>
      <c r="O267">
        <v>2425.48</v>
      </c>
      <c r="P267" t="s">
        <v>3940</v>
      </c>
      <c r="Q267">
        <v>85607.51</v>
      </c>
      <c r="R267" t="s">
        <v>3941</v>
      </c>
      <c r="S267" t="s">
        <v>3942</v>
      </c>
    </row>
    <row r="268" spans="1:19" x14ac:dyDescent="0.25">
      <c r="A268">
        <v>21026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-0.12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>
        <v>21028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2.17</v>
      </c>
      <c r="P269">
        <v>0</v>
      </c>
      <c r="Q269">
        <v>58.49</v>
      </c>
      <c r="R269" t="s">
        <v>3943</v>
      </c>
      <c r="S269">
        <v>0</v>
      </c>
    </row>
    <row r="270" spans="1:19" x14ac:dyDescent="0.25">
      <c r="A270">
        <v>21029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1819.8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476484.61</v>
      </c>
      <c r="O270">
        <v>6932.52</v>
      </c>
      <c r="P270" t="s">
        <v>3944</v>
      </c>
      <c r="Q270">
        <v>239395.45</v>
      </c>
      <c r="R270" t="s">
        <v>3945</v>
      </c>
      <c r="S270" t="s">
        <v>3946</v>
      </c>
    </row>
    <row r="271" spans="1:19" x14ac:dyDescent="0.25">
      <c r="A271">
        <v>21041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33290.400000000001</v>
      </c>
      <c r="I271">
        <v>187.93</v>
      </c>
      <c r="J271" t="s">
        <v>2801</v>
      </c>
      <c r="K271">
        <v>6639.75</v>
      </c>
      <c r="L271" t="s">
        <v>2802</v>
      </c>
      <c r="M271" t="s">
        <v>2803</v>
      </c>
      <c r="N271">
        <v>82613.3</v>
      </c>
      <c r="O271">
        <v>370.61</v>
      </c>
      <c r="P271" t="s">
        <v>2804</v>
      </c>
      <c r="Q271">
        <v>14414</v>
      </c>
      <c r="R271" t="s">
        <v>2805</v>
      </c>
      <c r="S271" t="s">
        <v>2806</v>
      </c>
    </row>
    <row r="272" spans="1:19" x14ac:dyDescent="0.25">
      <c r="A272">
        <v>21044</v>
      </c>
      <c r="B272">
        <v>12204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12204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12204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>
        <v>21047</v>
      </c>
      <c r="B273">
        <v>2724.04</v>
      </c>
      <c r="C273">
        <v>9.94</v>
      </c>
      <c r="D273" t="s">
        <v>3947</v>
      </c>
      <c r="E273">
        <v>328.81</v>
      </c>
      <c r="F273">
        <v>33.079476861167002</v>
      </c>
      <c r="G273" t="s">
        <v>3948</v>
      </c>
      <c r="H273">
        <v>2724.04</v>
      </c>
      <c r="I273">
        <v>9.94</v>
      </c>
      <c r="J273" t="s">
        <v>3947</v>
      </c>
      <c r="K273">
        <v>328.81</v>
      </c>
      <c r="L273">
        <v>33.079476861167002</v>
      </c>
      <c r="M273" t="s">
        <v>3948</v>
      </c>
      <c r="N273">
        <v>2724.04</v>
      </c>
      <c r="O273">
        <v>9.94</v>
      </c>
      <c r="P273" t="s">
        <v>3947</v>
      </c>
      <c r="Q273">
        <v>328.81</v>
      </c>
      <c r="R273">
        <v>33.079476861167002</v>
      </c>
      <c r="S273" t="s">
        <v>3948</v>
      </c>
    </row>
    <row r="274" spans="1:19" x14ac:dyDescent="0.25">
      <c r="A274">
        <v>21057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-593.64</v>
      </c>
      <c r="L274">
        <v>0</v>
      </c>
      <c r="M274">
        <v>0</v>
      </c>
      <c r="N274">
        <v>16460</v>
      </c>
      <c r="O274">
        <v>132.55000000000001</v>
      </c>
      <c r="P274" t="s">
        <v>2807</v>
      </c>
      <c r="Q274">
        <v>3057.74</v>
      </c>
      <c r="R274" t="s">
        <v>2808</v>
      </c>
      <c r="S274" t="s">
        <v>2809</v>
      </c>
    </row>
    <row r="275" spans="1:19" x14ac:dyDescent="0.25">
      <c r="A275">
        <v>21060</v>
      </c>
      <c r="B275">
        <v>-4652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47.71</v>
      </c>
      <c r="J275">
        <v>0</v>
      </c>
      <c r="K275">
        <v>2324.5300000000002</v>
      </c>
      <c r="L275" t="s">
        <v>2810</v>
      </c>
      <c r="M275">
        <v>0</v>
      </c>
      <c r="N275">
        <v>546</v>
      </c>
      <c r="O275">
        <v>92.06</v>
      </c>
      <c r="P275" t="s">
        <v>3949</v>
      </c>
      <c r="Q275">
        <v>4346.3</v>
      </c>
      <c r="R275" t="s">
        <v>2811</v>
      </c>
      <c r="S275">
        <v>7.9602564102564104</v>
      </c>
    </row>
    <row r="276" spans="1:19" x14ac:dyDescent="0.25">
      <c r="A276">
        <v>21061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-5138.96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5732.97</v>
      </c>
      <c r="O276">
        <v>37.17</v>
      </c>
      <c r="P276" t="s">
        <v>2812</v>
      </c>
      <c r="Q276">
        <v>1394.23</v>
      </c>
      <c r="R276" t="s">
        <v>2813</v>
      </c>
      <c r="S276" t="s">
        <v>2814</v>
      </c>
    </row>
    <row r="277" spans="1:19" x14ac:dyDescent="0.25">
      <c r="A277">
        <v>21065</v>
      </c>
      <c r="B277">
        <v>903</v>
      </c>
      <c r="C277">
        <v>9.5500000000000007</v>
      </c>
      <c r="D277" t="s">
        <v>3950</v>
      </c>
      <c r="E277">
        <v>242.94</v>
      </c>
      <c r="F277" t="s">
        <v>3951</v>
      </c>
      <c r="G277" t="s">
        <v>3952</v>
      </c>
      <c r="H277">
        <v>2256</v>
      </c>
      <c r="I277">
        <v>9.5500000000000007</v>
      </c>
      <c r="J277" t="s">
        <v>3953</v>
      </c>
      <c r="K277">
        <v>242.94</v>
      </c>
      <c r="L277" t="s">
        <v>3951</v>
      </c>
      <c r="M277" t="s">
        <v>3954</v>
      </c>
      <c r="N277">
        <v>7180.33</v>
      </c>
      <c r="O277">
        <v>68.67</v>
      </c>
      <c r="P277" t="s">
        <v>3955</v>
      </c>
      <c r="Q277">
        <v>1890.38</v>
      </c>
      <c r="R277" t="s">
        <v>3956</v>
      </c>
      <c r="S277" t="s">
        <v>3957</v>
      </c>
    </row>
    <row r="278" spans="1:19" x14ac:dyDescent="0.25">
      <c r="A278">
        <v>21067</v>
      </c>
      <c r="B278">
        <v>79193.210000000006</v>
      </c>
      <c r="C278">
        <v>797.94</v>
      </c>
      <c r="D278" t="s">
        <v>3958</v>
      </c>
      <c r="E278">
        <v>51328.41</v>
      </c>
      <c r="F278" t="s">
        <v>3959</v>
      </c>
      <c r="G278" t="s">
        <v>3960</v>
      </c>
      <c r="H278">
        <v>426161.11</v>
      </c>
      <c r="I278">
        <v>3579.7</v>
      </c>
      <c r="J278" t="s">
        <v>3961</v>
      </c>
      <c r="K278">
        <v>230757.86</v>
      </c>
      <c r="L278" t="s">
        <v>3962</v>
      </c>
      <c r="M278" t="s">
        <v>3963</v>
      </c>
      <c r="N278">
        <v>1555643.56</v>
      </c>
      <c r="O278">
        <v>21114.69</v>
      </c>
      <c r="P278" t="s">
        <v>3964</v>
      </c>
      <c r="Q278">
        <v>775056.55</v>
      </c>
      <c r="R278" t="s">
        <v>3965</v>
      </c>
      <c r="S278" t="s">
        <v>3966</v>
      </c>
    </row>
    <row r="279" spans="1:19" x14ac:dyDescent="0.25">
      <c r="A279">
        <v>21070</v>
      </c>
      <c r="B279">
        <v>-11014.75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16805.5</v>
      </c>
      <c r="I279">
        <v>92.09</v>
      </c>
      <c r="J279" t="s">
        <v>3967</v>
      </c>
      <c r="K279">
        <v>2825.01</v>
      </c>
      <c r="L279">
        <v>30.676620697144099</v>
      </c>
      <c r="M279" t="s">
        <v>3968</v>
      </c>
      <c r="N279">
        <v>19735</v>
      </c>
      <c r="O279">
        <v>107.06</v>
      </c>
      <c r="P279" t="s">
        <v>3969</v>
      </c>
      <c r="Q279">
        <v>3373.93</v>
      </c>
      <c r="R279" t="s">
        <v>2954</v>
      </c>
      <c r="S279" t="s">
        <v>3970</v>
      </c>
    </row>
    <row r="280" spans="1:19" x14ac:dyDescent="0.25">
      <c r="A280">
        <v>21071</v>
      </c>
      <c r="B280">
        <v>-383.28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6220.93</v>
      </c>
      <c r="I280">
        <v>44.79</v>
      </c>
      <c r="J280" t="s">
        <v>3971</v>
      </c>
      <c r="K280">
        <v>1712.87</v>
      </c>
      <c r="L280" t="s">
        <v>2815</v>
      </c>
      <c r="M280" t="s">
        <v>3972</v>
      </c>
      <c r="N280">
        <v>90476.17</v>
      </c>
      <c r="O280">
        <v>816.36</v>
      </c>
      <c r="P280" t="s">
        <v>3973</v>
      </c>
      <c r="Q280">
        <v>26785.39</v>
      </c>
      <c r="R280" t="s">
        <v>2816</v>
      </c>
      <c r="S280" t="s">
        <v>3974</v>
      </c>
    </row>
    <row r="281" spans="1:19" x14ac:dyDescent="0.25">
      <c r="A281">
        <v>21072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13362.05</v>
      </c>
      <c r="O281">
        <v>5.65</v>
      </c>
      <c r="P281" t="s">
        <v>2817</v>
      </c>
      <c r="Q281">
        <v>141.25</v>
      </c>
      <c r="R281">
        <v>25</v>
      </c>
      <c r="S281" t="s">
        <v>2818</v>
      </c>
    </row>
    <row r="282" spans="1:19" x14ac:dyDescent="0.25">
      <c r="A282">
        <v>21075</v>
      </c>
      <c r="B282">
        <v>0</v>
      </c>
      <c r="C282">
        <v>143.12</v>
      </c>
      <c r="D282">
        <v>0</v>
      </c>
      <c r="E282">
        <v>3077.84</v>
      </c>
      <c r="F282" t="s">
        <v>3975</v>
      </c>
      <c r="G282">
        <v>0</v>
      </c>
      <c r="H282">
        <v>64605.55</v>
      </c>
      <c r="I282">
        <v>608.30999999999995</v>
      </c>
      <c r="J282" t="s">
        <v>3976</v>
      </c>
      <c r="K282">
        <v>8923.11</v>
      </c>
      <c r="L282" t="s">
        <v>3977</v>
      </c>
      <c r="M282" t="s">
        <v>3978</v>
      </c>
      <c r="N282">
        <v>338697.4</v>
      </c>
      <c r="O282">
        <v>1037.6099999999999</v>
      </c>
      <c r="P282" t="s">
        <v>3979</v>
      </c>
      <c r="Q282">
        <v>25033.66</v>
      </c>
      <c r="R282" t="s">
        <v>3980</v>
      </c>
      <c r="S282">
        <v>7.3911580071178498E-2</v>
      </c>
    </row>
    <row r="283" spans="1:19" x14ac:dyDescent="0.25">
      <c r="A283">
        <v>21077</v>
      </c>
      <c r="B283">
        <v>74090.039999999994</v>
      </c>
      <c r="C283">
        <v>679.11</v>
      </c>
      <c r="D283" t="s">
        <v>3981</v>
      </c>
      <c r="E283">
        <v>32099.11</v>
      </c>
      <c r="F283" t="s">
        <v>3982</v>
      </c>
      <c r="G283" t="s">
        <v>3983</v>
      </c>
      <c r="H283">
        <v>396720.76</v>
      </c>
      <c r="I283">
        <v>1973.44</v>
      </c>
      <c r="J283" t="s">
        <v>3984</v>
      </c>
      <c r="K283">
        <v>93997.54</v>
      </c>
      <c r="L283" t="s">
        <v>3985</v>
      </c>
      <c r="M283" t="s">
        <v>3986</v>
      </c>
      <c r="N283">
        <v>484774.1</v>
      </c>
      <c r="O283">
        <v>2985.02</v>
      </c>
      <c r="P283" t="s">
        <v>3987</v>
      </c>
      <c r="Q283">
        <v>142386.46</v>
      </c>
      <c r="R283" t="s">
        <v>3988</v>
      </c>
      <c r="S283" t="s">
        <v>3989</v>
      </c>
    </row>
    <row r="284" spans="1:19" x14ac:dyDescent="0.25">
      <c r="A284">
        <v>21078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12007.6</v>
      </c>
      <c r="I284">
        <v>7.0000000000000007E-2</v>
      </c>
      <c r="J284" t="s">
        <v>2955</v>
      </c>
      <c r="K284">
        <v>1.79</v>
      </c>
      <c r="L284" t="s">
        <v>2956</v>
      </c>
      <c r="M284">
        <v>1.4907225423898101E-4</v>
      </c>
      <c r="N284">
        <v>20973.599999999999</v>
      </c>
      <c r="O284">
        <v>38.950000000000003</v>
      </c>
      <c r="P284" t="s">
        <v>2957</v>
      </c>
      <c r="Q284">
        <v>1217.5999999999999</v>
      </c>
      <c r="R284" t="s">
        <v>2958</v>
      </c>
      <c r="S284">
        <v>5.8053934470000297E-2</v>
      </c>
    </row>
    <row r="285" spans="1:19" x14ac:dyDescent="0.25">
      <c r="A285">
        <v>21088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27343.61</v>
      </c>
      <c r="O285">
        <v>73.959999999999994</v>
      </c>
      <c r="P285" t="s">
        <v>2819</v>
      </c>
      <c r="Q285">
        <v>3436.37</v>
      </c>
      <c r="R285" t="s">
        <v>2820</v>
      </c>
      <c r="S285" t="s">
        <v>2821</v>
      </c>
    </row>
    <row r="286" spans="1:19" x14ac:dyDescent="0.25">
      <c r="A286">
        <v>21089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-44.12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>
        <v>21096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36387.39</v>
      </c>
      <c r="O287">
        <v>51.23</v>
      </c>
      <c r="P287">
        <v>710.27503415967203</v>
      </c>
      <c r="Q287">
        <v>1508.88</v>
      </c>
      <c r="R287" t="s">
        <v>2822</v>
      </c>
      <c r="S287" t="s">
        <v>2823</v>
      </c>
    </row>
    <row r="288" spans="1:19" x14ac:dyDescent="0.25">
      <c r="A288">
        <v>21099</v>
      </c>
      <c r="B288">
        <v>-265.91000000000003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-265.91000000000003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-265.91000000000003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>
        <v>21108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1677.54</v>
      </c>
      <c r="O289">
        <v>15.97</v>
      </c>
      <c r="P289" t="s">
        <v>2824</v>
      </c>
      <c r="Q289">
        <v>575.14</v>
      </c>
      <c r="R289" t="s">
        <v>2825</v>
      </c>
      <c r="S289" t="s">
        <v>2826</v>
      </c>
    </row>
    <row r="290" spans="1:19" x14ac:dyDescent="0.25">
      <c r="A290">
        <v>21113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16316</v>
      </c>
      <c r="O290">
        <v>111.2</v>
      </c>
      <c r="P290" t="s">
        <v>2827</v>
      </c>
      <c r="Q290">
        <v>3985.74</v>
      </c>
      <c r="R290" t="s">
        <v>2828</v>
      </c>
      <c r="S290" t="s">
        <v>2829</v>
      </c>
    </row>
    <row r="291" spans="1:19" x14ac:dyDescent="0.25">
      <c r="A291">
        <v>21114</v>
      </c>
      <c r="B291">
        <v>77746.58</v>
      </c>
      <c r="C291">
        <v>607.4</v>
      </c>
      <c r="D291" t="s">
        <v>3990</v>
      </c>
      <c r="E291">
        <v>20784.009999999998</v>
      </c>
      <c r="F291" t="s">
        <v>3991</v>
      </c>
      <c r="G291" t="s">
        <v>3992</v>
      </c>
      <c r="H291">
        <v>203813.69</v>
      </c>
      <c r="I291">
        <v>1768.04</v>
      </c>
      <c r="J291" t="s">
        <v>3993</v>
      </c>
      <c r="K291">
        <v>55795.97</v>
      </c>
      <c r="L291" t="s">
        <v>3994</v>
      </c>
      <c r="M291" t="s">
        <v>3995</v>
      </c>
      <c r="N291">
        <v>851489.79</v>
      </c>
      <c r="O291">
        <v>7936.68</v>
      </c>
      <c r="P291">
        <v>107.28538759279699</v>
      </c>
      <c r="Q291">
        <v>247125.43</v>
      </c>
      <c r="R291" t="s">
        <v>3996</v>
      </c>
      <c r="S291" t="s">
        <v>3997</v>
      </c>
    </row>
    <row r="292" spans="1:19" x14ac:dyDescent="0.25">
      <c r="A292">
        <v>21115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11.98</v>
      </c>
      <c r="J292">
        <v>0</v>
      </c>
      <c r="K292">
        <v>0</v>
      </c>
      <c r="L292">
        <v>0</v>
      </c>
      <c r="M292">
        <v>0</v>
      </c>
      <c r="N292">
        <v>-3725.2</v>
      </c>
      <c r="O292">
        <v>11.98</v>
      </c>
      <c r="P292">
        <v>-310.95158597662697</v>
      </c>
      <c r="Q292">
        <v>0</v>
      </c>
      <c r="R292">
        <v>0</v>
      </c>
      <c r="S292">
        <v>0</v>
      </c>
    </row>
    <row r="293" spans="1:19" x14ac:dyDescent="0.25">
      <c r="A293">
        <v>21121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10910.32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39415.57</v>
      </c>
      <c r="O293">
        <v>337.8</v>
      </c>
      <c r="P293" t="s">
        <v>2830</v>
      </c>
      <c r="Q293">
        <v>9318.4599999999991</v>
      </c>
      <c r="R293" t="s">
        <v>2831</v>
      </c>
      <c r="S293" t="s">
        <v>2832</v>
      </c>
    </row>
    <row r="294" spans="1:19" x14ac:dyDescent="0.25">
      <c r="A294">
        <v>21128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8</v>
      </c>
      <c r="J294">
        <v>0</v>
      </c>
      <c r="K294">
        <v>273.64</v>
      </c>
      <c r="L294">
        <v>34.204999999999998</v>
      </c>
      <c r="M294">
        <v>0</v>
      </c>
      <c r="N294">
        <v>0</v>
      </c>
      <c r="O294">
        <v>96</v>
      </c>
      <c r="P294">
        <v>0</v>
      </c>
      <c r="Q294">
        <v>2165.21</v>
      </c>
      <c r="R294" t="s">
        <v>2833</v>
      </c>
      <c r="S294">
        <v>0</v>
      </c>
    </row>
    <row r="295" spans="1:19" x14ac:dyDescent="0.25">
      <c r="A295">
        <v>21129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-447.64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5027.72</v>
      </c>
      <c r="O295">
        <v>110.34</v>
      </c>
      <c r="P295" t="s">
        <v>2959</v>
      </c>
      <c r="Q295">
        <v>2701.14</v>
      </c>
      <c r="R295" t="s">
        <v>2834</v>
      </c>
      <c r="S295" t="s">
        <v>2960</v>
      </c>
    </row>
    <row r="296" spans="1:19" x14ac:dyDescent="0.25">
      <c r="A296">
        <v>21131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-708.13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4716.9399999999996</v>
      </c>
      <c r="O296">
        <v>145.97999999999999</v>
      </c>
      <c r="P296" t="s">
        <v>2835</v>
      </c>
      <c r="Q296">
        <v>6550.25</v>
      </c>
      <c r="R296" t="s">
        <v>2836</v>
      </c>
      <c r="S296" t="s">
        <v>2837</v>
      </c>
    </row>
    <row r="297" spans="1:19" x14ac:dyDescent="0.25">
      <c r="A297">
        <v>21134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5097.2299999999996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>
        <v>21135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-6712.03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7465.27</v>
      </c>
      <c r="O298">
        <v>225.73</v>
      </c>
      <c r="P298" t="s">
        <v>2961</v>
      </c>
      <c r="Q298">
        <v>7110.99</v>
      </c>
      <c r="R298" t="s">
        <v>2838</v>
      </c>
      <c r="S298" t="s">
        <v>2962</v>
      </c>
    </row>
    <row r="299" spans="1:19" x14ac:dyDescent="0.25">
      <c r="A299">
        <v>21137</v>
      </c>
      <c r="B299">
        <v>39926</v>
      </c>
      <c r="C299">
        <v>381.26</v>
      </c>
      <c r="D299" t="s">
        <v>3998</v>
      </c>
      <c r="E299">
        <v>13366.27</v>
      </c>
      <c r="F299" t="s">
        <v>3999</v>
      </c>
      <c r="G299" t="s">
        <v>4000</v>
      </c>
      <c r="H299">
        <v>112356.68</v>
      </c>
      <c r="I299">
        <v>701.85</v>
      </c>
      <c r="J299" t="s">
        <v>4001</v>
      </c>
      <c r="K299">
        <v>25711.08</v>
      </c>
      <c r="L299" t="s">
        <v>4002</v>
      </c>
      <c r="M299" t="s">
        <v>4003</v>
      </c>
      <c r="N299">
        <v>152180.31</v>
      </c>
      <c r="O299">
        <v>1165.8900000000001</v>
      </c>
      <c r="P299" t="s">
        <v>4004</v>
      </c>
      <c r="Q299">
        <v>43653.59</v>
      </c>
      <c r="R299" t="s">
        <v>4005</v>
      </c>
      <c r="S299" t="s">
        <v>4006</v>
      </c>
    </row>
    <row r="300" spans="1:19" x14ac:dyDescent="0.25">
      <c r="A300">
        <v>21143</v>
      </c>
      <c r="B300">
        <v>791.22</v>
      </c>
      <c r="C300">
        <v>440.82</v>
      </c>
      <c r="D300" t="s">
        <v>4007</v>
      </c>
      <c r="E300">
        <v>18211.689999999999</v>
      </c>
      <c r="F300">
        <v>41.313211741754003</v>
      </c>
      <c r="G300">
        <v>23.017226561512601</v>
      </c>
      <c r="H300">
        <v>5720.42</v>
      </c>
      <c r="I300">
        <v>1557.07</v>
      </c>
      <c r="J300" t="s">
        <v>4008</v>
      </c>
      <c r="K300">
        <v>69412.039999999994</v>
      </c>
      <c r="L300" t="s">
        <v>4009</v>
      </c>
      <c r="M300" t="s">
        <v>4010</v>
      </c>
      <c r="N300">
        <v>123578.26</v>
      </c>
      <c r="O300">
        <v>5338.55</v>
      </c>
      <c r="P300" t="s">
        <v>4011</v>
      </c>
      <c r="Q300">
        <v>237425.89</v>
      </c>
      <c r="R300" t="s">
        <v>4012</v>
      </c>
      <c r="S300" t="s">
        <v>4013</v>
      </c>
    </row>
    <row r="301" spans="1:19" x14ac:dyDescent="0.25">
      <c r="A301">
        <v>21145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13275.1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112492.56</v>
      </c>
      <c r="O301">
        <v>559.61</v>
      </c>
      <c r="P301" t="s">
        <v>2839</v>
      </c>
      <c r="Q301">
        <v>17511.080000000002</v>
      </c>
      <c r="R301" t="s">
        <v>2840</v>
      </c>
      <c r="S301" t="s">
        <v>2841</v>
      </c>
    </row>
    <row r="302" spans="1:19" x14ac:dyDescent="0.25">
      <c r="A302">
        <v>21159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81.37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1050.5999999999999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5">
      <c r="A303">
        <v>21164</v>
      </c>
      <c r="B303">
        <v>10358.01</v>
      </c>
      <c r="C303">
        <v>147.12</v>
      </c>
      <c r="D303" t="s">
        <v>4014</v>
      </c>
      <c r="E303">
        <v>4622.76</v>
      </c>
      <c r="F303" t="s">
        <v>4015</v>
      </c>
      <c r="G303" t="s">
        <v>4016</v>
      </c>
      <c r="H303">
        <v>101049.8</v>
      </c>
      <c r="I303">
        <v>1008.22</v>
      </c>
      <c r="J303" t="s">
        <v>4017</v>
      </c>
      <c r="K303">
        <v>32595.26</v>
      </c>
      <c r="L303" t="s">
        <v>4018</v>
      </c>
      <c r="M303" t="s">
        <v>4019</v>
      </c>
      <c r="N303">
        <v>419749.05</v>
      </c>
      <c r="O303">
        <v>4173.26</v>
      </c>
      <c r="P303" t="s">
        <v>4020</v>
      </c>
      <c r="Q303">
        <v>123705.95</v>
      </c>
      <c r="R303" t="s">
        <v>4021</v>
      </c>
      <c r="S303" t="s">
        <v>4022</v>
      </c>
    </row>
    <row r="304" spans="1:19" x14ac:dyDescent="0.25">
      <c r="A304">
        <v>21165</v>
      </c>
      <c r="B304">
        <v>0</v>
      </c>
      <c r="C304">
        <v>12.53</v>
      </c>
      <c r="D304">
        <v>0</v>
      </c>
      <c r="E304">
        <v>535.39</v>
      </c>
      <c r="F304" t="s">
        <v>4023</v>
      </c>
      <c r="G304">
        <v>0</v>
      </c>
      <c r="H304">
        <v>0</v>
      </c>
      <c r="I304">
        <v>12.53</v>
      </c>
      <c r="J304">
        <v>0</v>
      </c>
      <c r="K304">
        <v>535.39</v>
      </c>
      <c r="L304" t="s">
        <v>4023</v>
      </c>
      <c r="M304">
        <v>0</v>
      </c>
      <c r="N304">
        <v>61567.16</v>
      </c>
      <c r="O304">
        <v>361.91</v>
      </c>
      <c r="P304" t="s">
        <v>4024</v>
      </c>
      <c r="Q304">
        <v>7009.55</v>
      </c>
      <c r="R304" t="s">
        <v>4025</v>
      </c>
      <c r="S304" t="s">
        <v>4026</v>
      </c>
    </row>
    <row r="305" spans="1:19" x14ac:dyDescent="0.25">
      <c r="A305">
        <v>21170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-1200</v>
      </c>
      <c r="I305">
        <v>52.91</v>
      </c>
      <c r="J305">
        <v>-22.680022680022599</v>
      </c>
      <c r="K305">
        <v>244.8</v>
      </c>
      <c r="L305" t="s">
        <v>2963</v>
      </c>
      <c r="M305">
        <v>-0.20399999999999999</v>
      </c>
      <c r="N305">
        <v>30239.69</v>
      </c>
      <c r="O305">
        <v>1201.22</v>
      </c>
      <c r="P305" t="s">
        <v>2842</v>
      </c>
      <c r="Q305">
        <v>34709.440000000002</v>
      </c>
      <c r="R305" t="s">
        <v>2964</v>
      </c>
      <c r="S305" t="s">
        <v>2965</v>
      </c>
    </row>
    <row r="306" spans="1:19" x14ac:dyDescent="0.25">
      <c r="A306">
        <v>21171</v>
      </c>
      <c r="B306">
        <v>10001</v>
      </c>
      <c r="C306">
        <v>55.36</v>
      </c>
      <c r="D306" t="s">
        <v>4027</v>
      </c>
      <c r="E306">
        <v>1771.88</v>
      </c>
      <c r="F306" t="s">
        <v>4028</v>
      </c>
      <c r="G306" t="s">
        <v>4029</v>
      </c>
      <c r="H306">
        <v>10001</v>
      </c>
      <c r="I306">
        <v>55.36</v>
      </c>
      <c r="J306" t="s">
        <v>4027</v>
      </c>
      <c r="K306">
        <v>1771.88</v>
      </c>
      <c r="L306" t="s">
        <v>4028</v>
      </c>
      <c r="M306" t="s">
        <v>4029</v>
      </c>
      <c r="N306">
        <v>10001</v>
      </c>
      <c r="O306">
        <v>55.36</v>
      </c>
      <c r="P306" t="s">
        <v>4027</v>
      </c>
      <c r="Q306">
        <v>1771.88</v>
      </c>
      <c r="R306" t="s">
        <v>4028</v>
      </c>
      <c r="S306" t="s">
        <v>4029</v>
      </c>
    </row>
    <row r="307" spans="1:19" x14ac:dyDescent="0.25">
      <c r="A307">
        <v>21172</v>
      </c>
      <c r="B307">
        <v>81549.81</v>
      </c>
      <c r="C307">
        <v>643.88</v>
      </c>
      <c r="D307" t="s">
        <v>4030</v>
      </c>
      <c r="E307">
        <v>24847.02</v>
      </c>
      <c r="F307" t="s">
        <v>4031</v>
      </c>
      <c r="G307" t="s">
        <v>4032</v>
      </c>
      <c r="H307">
        <v>439424.05</v>
      </c>
      <c r="I307">
        <v>3058.27</v>
      </c>
      <c r="J307" t="s">
        <v>4033</v>
      </c>
      <c r="K307">
        <v>120776.94</v>
      </c>
      <c r="L307" t="s">
        <v>4034</v>
      </c>
      <c r="M307" t="s">
        <v>4035</v>
      </c>
      <c r="N307">
        <v>1600432.93</v>
      </c>
      <c r="O307">
        <v>11400.95</v>
      </c>
      <c r="P307" t="s">
        <v>4036</v>
      </c>
      <c r="Q307">
        <v>451052.5</v>
      </c>
      <c r="R307" t="s">
        <v>4037</v>
      </c>
      <c r="S307" t="s">
        <v>4038</v>
      </c>
    </row>
    <row r="308" spans="1:19" x14ac:dyDescent="0.25">
      <c r="A308">
        <v>21173</v>
      </c>
      <c r="B308">
        <v>815.5</v>
      </c>
      <c r="C308">
        <v>78.680000000000007</v>
      </c>
      <c r="D308" t="s">
        <v>4039</v>
      </c>
      <c r="E308">
        <v>2726.92</v>
      </c>
      <c r="F308" t="s">
        <v>4040</v>
      </c>
      <c r="G308" t="s">
        <v>4041</v>
      </c>
      <c r="H308">
        <v>1504.28</v>
      </c>
      <c r="I308">
        <v>166.63</v>
      </c>
      <c r="J308" t="s">
        <v>4042</v>
      </c>
      <c r="K308">
        <v>5411.04</v>
      </c>
      <c r="L308" t="s">
        <v>4043</v>
      </c>
      <c r="M308" t="s">
        <v>4044</v>
      </c>
      <c r="N308">
        <v>195730.58</v>
      </c>
      <c r="O308">
        <v>2313.02</v>
      </c>
      <c r="P308" t="s">
        <v>4045</v>
      </c>
      <c r="Q308">
        <v>68290.34</v>
      </c>
      <c r="R308" t="s">
        <v>4046</v>
      </c>
      <c r="S308" t="s">
        <v>4047</v>
      </c>
    </row>
    <row r="309" spans="1:19" x14ac:dyDescent="0.25">
      <c r="A309">
        <v>21178</v>
      </c>
      <c r="B309">
        <v>25911.18</v>
      </c>
      <c r="C309">
        <v>2.13</v>
      </c>
      <c r="D309" t="s">
        <v>4048</v>
      </c>
      <c r="E309">
        <v>136.57</v>
      </c>
      <c r="F309" t="s">
        <v>4049</v>
      </c>
      <c r="G309">
        <v>5.2706978223299701E-3</v>
      </c>
      <c r="H309">
        <v>113464.07</v>
      </c>
      <c r="I309">
        <v>193</v>
      </c>
      <c r="J309" t="s">
        <v>4050</v>
      </c>
      <c r="K309">
        <v>7244.79</v>
      </c>
      <c r="L309" t="s">
        <v>4051</v>
      </c>
      <c r="M309">
        <v>6.3850961806675793E-2</v>
      </c>
      <c r="N309">
        <v>230835.78</v>
      </c>
      <c r="O309">
        <v>2130.2600000000002</v>
      </c>
      <c r="P309" t="s">
        <v>4052</v>
      </c>
      <c r="Q309">
        <v>84502.15</v>
      </c>
      <c r="R309" t="s">
        <v>4053</v>
      </c>
      <c r="S309" t="s">
        <v>4054</v>
      </c>
    </row>
    <row r="310" spans="1:19" x14ac:dyDescent="0.25">
      <c r="A310">
        <v>21187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9551.48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9551.48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5">
      <c r="A311">
        <v>21188</v>
      </c>
      <c r="B311">
        <v>128676.51</v>
      </c>
      <c r="C311">
        <v>1204.21</v>
      </c>
      <c r="D311" t="s">
        <v>4055</v>
      </c>
      <c r="E311">
        <v>89449.32</v>
      </c>
      <c r="F311" t="s">
        <v>4056</v>
      </c>
      <c r="G311">
        <v>0.69514878822871395</v>
      </c>
      <c r="H311">
        <v>176141.21</v>
      </c>
      <c r="I311">
        <v>2404.88</v>
      </c>
      <c r="J311" t="s">
        <v>4057</v>
      </c>
      <c r="K311">
        <v>184010.96</v>
      </c>
      <c r="L311" t="s">
        <v>4058</v>
      </c>
      <c r="M311" t="s">
        <v>4059</v>
      </c>
      <c r="N311">
        <v>349990.52</v>
      </c>
      <c r="O311">
        <v>8977.7000000000007</v>
      </c>
      <c r="P311" t="s">
        <v>4060</v>
      </c>
      <c r="Q311">
        <v>410728.4</v>
      </c>
      <c r="R311" t="s">
        <v>4061</v>
      </c>
      <c r="S311" t="s">
        <v>4062</v>
      </c>
    </row>
    <row r="312" spans="1:19" x14ac:dyDescent="0.25">
      <c r="A312">
        <v>21189</v>
      </c>
      <c r="B312">
        <v>4990.7</v>
      </c>
      <c r="C312">
        <v>293.56</v>
      </c>
      <c r="D312" t="s">
        <v>4063</v>
      </c>
      <c r="E312">
        <v>7728.67</v>
      </c>
      <c r="F312" t="s">
        <v>4064</v>
      </c>
      <c r="G312" t="s">
        <v>4065</v>
      </c>
      <c r="H312">
        <v>40445</v>
      </c>
      <c r="I312">
        <v>886.31</v>
      </c>
      <c r="J312" t="s">
        <v>4066</v>
      </c>
      <c r="K312">
        <v>23493.69</v>
      </c>
      <c r="L312" t="s">
        <v>4067</v>
      </c>
      <c r="M312" t="s">
        <v>4068</v>
      </c>
      <c r="N312">
        <v>141415.31</v>
      </c>
      <c r="O312">
        <v>2894.59</v>
      </c>
      <c r="P312" t="s">
        <v>4069</v>
      </c>
      <c r="Q312">
        <v>66063.520000000004</v>
      </c>
      <c r="R312" t="s">
        <v>4070</v>
      </c>
      <c r="S312" t="s">
        <v>4071</v>
      </c>
    </row>
    <row r="313" spans="1:19" x14ac:dyDescent="0.25">
      <c r="A313">
        <v>21191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5095.74</v>
      </c>
      <c r="O313">
        <v>42.75</v>
      </c>
      <c r="P313" t="s">
        <v>2843</v>
      </c>
      <c r="Q313">
        <v>1449.31</v>
      </c>
      <c r="R313" t="s">
        <v>2844</v>
      </c>
      <c r="S313">
        <v>0.28441600238630699</v>
      </c>
    </row>
    <row r="314" spans="1:19" x14ac:dyDescent="0.25">
      <c r="A314">
        <v>21196</v>
      </c>
      <c r="B314">
        <v>878.51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878.51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48408.24</v>
      </c>
      <c r="O314">
        <v>439.48</v>
      </c>
      <c r="P314" t="s">
        <v>4072</v>
      </c>
      <c r="Q314">
        <v>12846.41</v>
      </c>
      <c r="R314" t="s">
        <v>2845</v>
      </c>
      <c r="S314" t="s">
        <v>4073</v>
      </c>
    </row>
    <row r="315" spans="1:19" x14ac:dyDescent="0.25">
      <c r="A315">
        <v>21197</v>
      </c>
      <c r="B315">
        <v>21356.79</v>
      </c>
      <c r="C315">
        <v>350.64</v>
      </c>
      <c r="D315" t="s">
        <v>4074</v>
      </c>
      <c r="E315">
        <v>10445.620000000001</v>
      </c>
      <c r="F315" t="s">
        <v>4075</v>
      </c>
      <c r="G315" t="s">
        <v>4076</v>
      </c>
      <c r="H315">
        <v>73087.28</v>
      </c>
      <c r="I315">
        <v>1662.89</v>
      </c>
      <c r="J315" t="s">
        <v>4077</v>
      </c>
      <c r="K315">
        <v>48443.6</v>
      </c>
      <c r="L315" t="s">
        <v>4078</v>
      </c>
      <c r="M315" t="s">
        <v>4079</v>
      </c>
      <c r="N315">
        <v>1019047.53</v>
      </c>
      <c r="O315">
        <v>13045.11</v>
      </c>
      <c r="P315">
        <v>78.117204837674805</v>
      </c>
      <c r="Q315">
        <v>382594.1</v>
      </c>
      <c r="R315" t="s">
        <v>4080</v>
      </c>
      <c r="S315" t="s">
        <v>4081</v>
      </c>
    </row>
    <row r="316" spans="1:19" x14ac:dyDescent="0.25">
      <c r="A316">
        <v>21202</v>
      </c>
      <c r="B316">
        <v>13412.5</v>
      </c>
      <c r="C316">
        <v>127.19</v>
      </c>
      <c r="D316" t="s">
        <v>4082</v>
      </c>
      <c r="E316">
        <v>4138.95</v>
      </c>
      <c r="F316" t="s">
        <v>4083</v>
      </c>
      <c r="G316" t="s">
        <v>4084</v>
      </c>
      <c r="H316">
        <v>27409.48</v>
      </c>
      <c r="I316">
        <v>330.07</v>
      </c>
      <c r="J316" t="s">
        <v>4085</v>
      </c>
      <c r="K316">
        <v>9692.26</v>
      </c>
      <c r="L316">
        <v>29.3642560668949</v>
      </c>
      <c r="M316" t="s">
        <v>4086</v>
      </c>
      <c r="N316">
        <v>114452.1</v>
      </c>
      <c r="O316">
        <v>1872.79</v>
      </c>
      <c r="P316" t="s">
        <v>4087</v>
      </c>
      <c r="Q316">
        <v>56501.23</v>
      </c>
      <c r="R316" t="s">
        <v>4088</v>
      </c>
      <c r="S316" t="s">
        <v>4089</v>
      </c>
    </row>
    <row r="317" spans="1:19" x14ac:dyDescent="0.25">
      <c r="A317">
        <v>21203</v>
      </c>
      <c r="B317">
        <v>37887.32</v>
      </c>
      <c r="C317">
        <v>412.02</v>
      </c>
      <c r="D317" t="s">
        <v>4090</v>
      </c>
      <c r="E317">
        <v>15788.35</v>
      </c>
      <c r="F317" t="s">
        <v>4091</v>
      </c>
      <c r="G317" t="s">
        <v>4092</v>
      </c>
      <c r="H317">
        <v>172805.37</v>
      </c>
      <c r="I317">
        <v>1358.17</v>
      </c>
      <c r="J317" t="s">
        <v>4093</v>
      </c>
      <c r="K317">
        <v>47830.97</v>
      </c>
      <c r="L317" t="s">
        <v>4094</v>
      </c>
      <c r="M317" t="s">
        <v>4095</v>
      </c>
      <c r="N317">
        <v>270394.55</v>
      </c>
      <c r="O317">
        <v>2408.0500000000002</v>
      </c>
      <c r="P317" t="s">
        <v>4096</v>
      </c>
      <c r="Q317">
        <v>81154.679999999993</v>
      </c>
      <c r="R317" t="s">
        <v>4097</v>
      </c>
      <c r="S317" t="s">
        <v>4098</v>
      </c>
    </row>
    <row r="318" spans="1:19" x14ac:dyDescent="0.25">
      <c r="A318">
        <v>21210</v>
      </c>
      <c r="B318">
        <v>114166.07</v>
      </c>
      <c r="C318">
        <v>581.28</v>
      </c>
      <c r="D318" t="s">
        <v>4099</v>
      </c>
      <c r="E318">
        <v>40100.9</v>
      </c>
      <c r="F318" t="s">
        <v>4100</v>
      </c>
      <c r="G318" t="s">
        <v>4101</v>
      </c>
      <c r="H318">
        <v>201517.35</v>
      </c>
      <c r="I318">
        <v>1204.33</v>
      </c>
      <c r="J318" t="s">
        <v>4102</v>
      </c>
      <c r="K318">
        <v>60311.68</v>
      </c>
      <c r="L318" t="s">
        <v>4103</v>
      </c>
      <c r="M318" t="s">
        <v>4104</v>
      </c>
      <c r="N318">
        <v>771307.21</v>
      </c>
      <c r="O318">
        <v>5481.13</v>
      </c>
      <c r="P318" t="s">
        <v>4105</v>
      </c>
      <c r="Q318">
        <v>204046.4</v>
      </c>
      <c r="R318">
        <v>37.227068141058503</v>
      </c>
      <c r="S318">
        <v>0.26454621110050303</v>
      </c>
    </row>
    <row r="319" spans="1:19" x14ac:dyDescent="0.25">
      <c r="A319">
        <v>21214</v>
      </c>
      <c r="B319">
        <v>3639.6</v>
      </c>
      <c r="C319">
        <v>0.56999999999999995</v>
      </c>
      <c r="D319" t="s">
        <v>4106</v>
      </c>
      <c r="E319">
        <v>17.920000000000002</v>
      </c>
      <c r="F319" t="s">
        <v>4107</v>
      </c>
      <c r="G319">
        <v>4.9236179799977998E-3</v>
      </c>
      <c r="H319">
        <v>9837.33</v>
      </c>
      <c r="I319">
        <v>90.16</v>
      </c>
      <c r="J319" t="s">
        <v>4108</v>
      </c>
      <c r="K319">
        <v>3145.81</v>
      </c>
      <c r="L319" t="s">
        <v>4109</v>
      </c>
      <c r="M319" t="s">
        <v>4110</v>
      </c>
      <c r="N319">
        <v>57750.83</v>
      </c>
      <c r="O319">
        <v>388.42</v>
      </c>
      <c r="P319" t="s">
        <v>4111</v>
      </c>
      <c r="Q319">
        <v>12658.65</v>
      </c>
      <c r="R319" t="s">
        <v>4112</v>
      </c>
      <c r="S319" t="s">
        <v>4113</v>
      </c>
    </row>
    <row r="320" spans="1:19" x14ac:dyDescent="0.25">
      <c r="A320">
        <v>21220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-209.59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19455.91</v>
      </c>
      <c r="O320">
        <v>83.67</v>
      </c>
      <c r="P320" t="s">
        <v>2846</v>
      </c>
      <c r="Q320">
        <v>2673.01</v>
      </c>
      <c r="R320" t="s">
        <v>2847</v>
      </c>
      <c r="S320" t="s">
        <v>2848</v>
      </c>
    </row>
    <row r="321" spans="1:19" x14ac:dyDescent="0.25">
      <c r="A321">
        <v>21221</v>
      </c>
      <c r="B321">
        <v>10489.1</v>
      </c>
      <c r="C321">
        <v>35.08</v>
      </c>
      <c r="D321" t="s">
        <v>4114</v>
      </c>
      <c r="E321">
        <v>982.24</v>
      </c>
      <c r="F321">
        <v>28</v>
      </c>
      <c r="G321">
        <v>9.3643877930423003E-2</v>
      </c>
      <c r="H321">
        <v>29494.04</v>
      </c>
      <c r="I321">
        <v>190.74</v>
      </c>
      <c r="J321" t="s">
        <v>4115</v>
      </c>
      <c r="K321">
        <v>5461.54</v>
      </c>
      <c r="L321" t="s">
        <v>4116</v>
      </c>
      <c r="M321" t="s">
        <v>4117</v>
      </c>
      <c r="N321">
        <v>168244.93</v>
      </c>
      <c r="O321">
        <v>2054.9899999999998</v>
      </c>
      <c r="P321" t="s">
        <v>4118</v>
      </c>
      <c r="Q321">
        <v>58160.21</v>
      </c>
      <c r="R321" t="s">
        <v>4119</v>
      </c>
      <c r="S321">
        <v>0.34568774226955901</v>
      </c>
    </row>
    <row r="322" spans="1:19" x14ac:dyDescent="0.25">
      <c r="A322">
        <v>21245</v>
      </c>
      <c r="B322">
        <v>72328.649999999994</v>
      </c>
      <c r="C322">
        <v>1505.33</v>
      </c>
      <c r="D322" t="s">
        <v>4120</v>
      </c>
      <c r="E322">
        <v>45931</v>
      </c>
      <c r="F322" t="s">
        <v>4121</v>
      </c>
      <c r="G322" t="s">
        <v>4122</v>
      </c>
      <c r="H322">
        <v>201062.01</v>
      </c>
      <c r="I322">
        <v>4387.18</v>
      </c>
      <c r="J322">
        <v>45.829441691473797</v>
      </c>
      <c r="K322">
        <v>136210.25</v>
      </c>
      <c r="L322" t="s">
        <v>4123</v>
      </c>
      <c r="M322" t="s">
        <v>4124</v>
      </c>
      <c r="N322">
        <v>364701.28</v>
      </c>
      <c r="O322">
        <v>7598.14</v>
      </c>
      <c r="P322" t="s">
        <v>4125</v>
      </c>
      <c r="Q322">
        <v>237738.23</v>
      </c>
      <c r="R322" t="s">
        <v>4126</v>
      </c>
      <c r="S322" t="s">
        <v>4127</v>
      </c>
    </row>
    <row r="323" spans="1:19" x14ac:dyDescent="0.25">
      <c r="A323">
        <v>21247</v>
      </c>
      <c r="B323">
        <v>5411.33</v>
      </c>
      <c r="C323">
        <v>171.31</v>
      </c>
      <c r="D323" t="s">
        <v>4128</v>
      </c>
      <c r="E323">
        <v>5219.24</v>
      </c>
      <c r="F323" t="s">
        <v>4129</v>
      </c>
      <c r="G323" t="s">
        <v>4130</v>
      </c>
      <c r="H323">
        <v>-9159.64</v>
      </c>
      <c r="I323">
        <v>478.84</v>
      </c>
      <c r="J323">
        <v>-19.1288112939604</v>
      </c>
      <c r="K323">
        <v>18346.54</v>
      </c>
      <c r="L323" t="s">
        <v>4131</v>
      </c>
      <c r="M323">
        <v>-2.00297609949736</v>
      </c>
      <c r="N323">
        <v>47960.1</v>
      </c>
      <c r="O323">
        <v>2258.4899999999998</v>
      </c>
      <c r="P323" t="s">
        <v>4132</v>
      </c>
      <c r="Q323">
        <v>74768.990000000005</v>
      </c>
      <c r="R323" t="s">
        <v>4133</v>
      </c>
      <c r="S323" t="s">
        <v>4134</v>
      </c>
    </row>
    <row r="324" spans="1:19" x14ac:dyDescent="0.25">
      <c r="A324">
        <v>21249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34.31</v>
      </c>
      <c r="P324">
        <v>0</v>
      </c>
      <c r="Q324">
        <v>1385.28</v>
      </c>
      <c r="R324" t="s">
        <v>2849</v>
      </c>
      <c r="S324">
        <v>0</v>
      </c>
    </row>
    <row r="325" spans="1:19" x14ac:dyDescent="0.25">
      <c r="A325">
        <v>21250</v>
      </c>
      <c r="B325">
        <v>3336</v>
      </c>
      <c r="C325">
        <v>18.010000000000002</v>
      </c>
      <c r="D325" t="s">
        <v>4135</v>
      </c>
      <c r="E325">
        <v>584.83000000000004</v>
      </c>
      <c r="F325" t="s">
        <v>4136</v>
      </c>
      <c r="G325" t="s">
        <v>4137</v>
      </c>
      <c r="H325">
        <v>4411</v>
      </c>
      <c r="I325">
        <v>18.010000000000002</v>
      </c>
      <c r="J325" t="s">
        <v>4138</v>
      </c>
      <c r="K325">
        <v>584.83000000000004</v>
      </c>
      <c r="L325" t="s">
        <v>4136</v>
      </c>
      <c r="M325" t="s">
        <v>4139</v>
      </c>
      <c r="N325">
        <v>141554.16</v>
      </c>
      <c r="O325">
        <v>1091.08</v>
      </c>
      <c r="P325" t="s">
        <v>4140</v>
      </c>
      <c r="Q325">
        <v>31895.93</v>
      </c>
      <c r="R325" t="s">
        <v>4141</v>
      </c>
      <c r="S325" t="s">
        <v>4142</v>
      </c>
    </row>
    <row r="326" spans="1:19" x14ac:dyDescent="0.25">
      <c r="A326">
        <v>21255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-9455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25">
      <c r="A327">
        <v>21258</v>
      </c>
      <c r="B327">
        <v>-483.33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-483.33</v>
      </c>
      <c r="I327">
        <v>20.65</v>
      </c>
      <c r="J327">
        <v>-23.405811138014499</v>
      </c>
      <c r="K327">
        <v>585.23</v>
      </c>
      <c r="L327" t="s">
        <v>2966</v>
      </c>
      <c r="M327">
        <v>-1.2108290402002699</v>
      </c>
      <c r="N327">
        <v>-483.33</v>
      </c>
      <c r="O327">
        <v>20.65</v>
      </c>
      <c r="P327">
        <v>-23.405811138014499</v>
      </c>
      <c r="Q327">
        <v>585.23</v>
      </c>
      <c r="R327" t="s">
        <v>2966</v>
      </c>
      <c r="S327">
        <v>-1.2108290402002699</v>
      </c>
    </row>
    <row r="328" spans="1:19" x14ac:dyDescent="0.25">
      <c r="A328">
        <v>21265</v>
      </c>
      <c r="B328">
        <v>4864.07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9986.48</v>
      </c>
      <c r="I328">
        <v>10.24</v>
      </c>
      <c r="J328">
        <v>975.2421875</v>
      </c>
      <c r="K328">
        <v>330.37</v>
      </c>
      <c r="L328">
        <v>32.2626953125</v>
      </c>
      <c r="M328" t="s">
        <v>4143</v>
      </c>
      <c r="N328">
        <v>20233.27</v>
      </c>
      <c r="O328">
        <v>216.91</v>
      </c>
      <c r="P328" t="s">
        <v>4144</v>
      </c>
      <c r="Q328">
        <v>9175.49</v>
      </c>
      <c r="R328" t="s">
        <v>2850</v>
      </c>
      <c r="S328" t="s">
        <v>4145</v>
      </c>
    </row>
    <row r="329" spans="1:19" x14ac:dyDescent="0.25">
      <c r="A329">
        <v>21269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20300</v>
      </c>
      <c r="O329">
        <v>76.03</v>
      </c>
      <c r="P329" t="s">
        <v>2851</v>
      </c>
      <c r="Q329">
        <v>2569.2399999999998</v>
      </c>
      <c r="R329" t="s">
        <v>2852</v>
      </c>
      <c r="S329" t="s">
        <v>2853</v>
      </c>
    </row>
    <row r="330" spans="1:19" x14ac:dyDescent="0.25">
      <c r="A330">
        <v>21271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11250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11250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25">
      <c r="A331">
        <v>21273</v>
      </c>
      <c r="B331">
        <v>-624.33000000000004</v>
      </c>
      <c r="C331">
        <v>162.38</v>
      </c>
      <c r="D331">
        <v>-3.8448700578889001</v>
      </c>
      <c r="E331">
        <v>4348.13</v>
      </c>
      <c r="F331" t="s">
        <v>4146</v>
      </c>
      <c r="G331">
        <v>-6.9644739160379903</v>
      </c>
      <c r="H331">
        <v>-624.33000000000004</v>
      </c>
      <c r="I331">
        <v>170.32</v>
      </c>
      <c r="J331">
        <v>-3.6656294034758101</v>
      </c>
      <c r="K331">
        <v>4555.7700000000004</v>
      </c>
      <c r="L331" t="s">
        <v>4147</v>
      </c>
      <c r="M331">
        <v>-7.2970544423622101</v>
      </c>
      <c r="N331">
        <v>-1000.94</v>
      </c>
      <c r="O331">
        <v>262.89999999999998</v>
      </c>
      <c r="P331">
        <v>-3.80730315709395</v>
      </c>
      <c r="Q331">
        <v>7006.72</v>
      </c>
      <c r="R331" t="s">
        <v>4148</v>
      </c>
      <c r="S331">
        <v>-7.0001398685235801</v>
      </c>
    </row>
    <row r="332" spans="1:19" x14ac:dyDescent="0.25">
      <c r="A332">
        <v>21276</v>
      </c>
      <c r="B332">
        <v>11881.46</v>
      </c>
      <c r="C332">
        <v>90.82</v>
      </c>
      <c r="D332" t="s">
        <v>4149</v>
      </c>
      <c r="E332">
        <v>3905.62</v>
      </c>
      <c r="F332" t="s">
        <v>4150</v>
      </c>
      <c r="G332" t="s">
        <v>4151</v>
      </c>
      <c r="H332">
        <v>43260.95</v>
      </c>
      <c r="I332">
        <v>287.45</v>
      </c>
      <c r="J332" t="s">
        <v>4152</v>
      </c>
      <c r="K332">
        <v>12340.35</v>
      </c>
      <c r="L332">
        <v>42.930422682205602</v>
      </c>
      <c r="M332" t="s">
        <v>4153</v>
      </c>
      <c r="N332">
        <v>222402.13</v>
      </c>
      <c r="O332">
        <v>2138.92</v>
      </c>
      <c r="P332" t="s">
        <v>4154</v>
      </c>
      <c r="Q332">
        <v>77320.800000000003</v>
      </c>
      <c r="R332" t="s">
        <v>4155</v>
      </c>
      <c r="S332" t="s">
        <v>4156</v>
      </c>
    </row>
    <row r="333" spans="1:19" x14ac:dyDescent="0.25">
      <c r="A333">
        <v>21277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-52006.42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82600.61</v>
      </c>
      <c r="O333">
        <v>579.95000000000005</v>
      </c>
      <c r="P333" t="s">
        <v>2854</v>
      </c>
      <c r="Q333">
        <v>18298.22</v>
      </c>
      <c r="R333">
        <v>31.551375118544701</v>
      </c>
      <c r="S333" t="s">
        <v>2855</v>
      </c>
    </row>
    <row r="334" spans="1:19" x14ac:dyDescent="0.25">
      <c r="A334">
        <v>21280</v>
      </c>
      <c r="B334">
        <v>81017</v>
      </c>
      <c r="C334">
        <v>413.59</v>
      </c>
      <c r="D334" t="s">
        <v>4157</v>
      </c>
      <c r="E334">
        <v>15726.71</v>
      </c>
      <c r="F334" t="s">
        <v>4158</v>
      </c>
      <c r="G334" t="s">
        <v>4159</v>
      </c>
      <c r="H334">
        <v>195289.21</v>
      </c>
      <c r="I334">
        <v>866.24</v>
      </c>
      <c r="J334" t="s">
        <v>4160</v>
      </c>
      <c r="K334">
        <v>34972.69</v>
      </c>
      <c r="L334" t="s">
        <v>4161</v>
      </c>
      <c r="M334" t="s">
        <v>4162</v>
      </c>
      <c r="N334">
        <v>452074.44</v>
      </c>
      <c r="O334">
        <v>1629.71</v>
      </c>
      <c r="P334" t="s">
        <v>4163</v>
      </c>
      <c r="Q334">
        <v>64833.85</v>
      </c>
      <c r="R334" t="s">
        <v>4164</v>
      </c>
      <c r="S334" t="s">
        <v>4165</v>
      </c>
    </row>
    <row r="335" spans="1:19" x14ac:dyDescent="0.25">
      <c r="A335">
        <v>21281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-685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25">
      <c r="A336">
        <v>21283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6838.89</v>
      </c>
      <c r="O336">
        <v>32.94</v>
      </c>
      <c r="P336" t="s">
        <v>2856</v>
      </c>
      <c r="Q336">
        <v>2156.2199999999998</v>
      </c>
      <c r="R336" t="s">
        <v>2857</v>
      </c>
      <c r="S336" t="s">
        <v>2858</v>
      </c>
    </row>
    <row r="337" spans="1:19" x14ac:dyDescent="0.25">
      <c r="A337">
        <v>21286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-1469.88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8235.86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>
        <v>21287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5.2</v>
      </c>
      <c r="P338">
        <v>0</v>
      </c>
      <c r="Q338">
        <v>206.18</v>
      </c>
      <c r="R338">
        <v>39.65</v>
      </c>
      <c r="S338">
        <v>0</v>
      </c>
    </row>
    <row r="339" spans="1:19" x14ac:dyDescent="0.25">
      <c r="A339">
        <v>21288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445.8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7277.09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5">
      <c r="A340">
        <v>21289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7069.52</v>
      </c>
      <c r="I340">
        <v>27.87</v>
      </c>
      <c r="J340" t="s">
        <v>2859</v>
      </c>
      <c r="K340">
        <v>1013.85</v>
      </c>
      <c r="L340">
        <v>36.377825618945103</v>
      </c>
      <c r="M340" t="s">
        <v>2860</v>
      </c>
      <c r="N340">
        <v>36918.82</v>
      </c>
      <c r="O340">
        <v>286.58</v>
      </c>
      <c r="P340" t="s">
        <v>2861</v>
      </c>
      <c r="Q340">
        <v>12226.61</v>
      </c>
      <c r="R340" t="s">
        <v>2862</v>
      </c>
      <c r="S340" t="s">
        <v>2863</v>
      </c>
    </row>
    <row r="341" spans="1:19" x14ac:dyDescent="0.25">
      <c r="A341">
        <v>21290</v>
      </c>
      <c r="B341">
        <v>-607.92999999999995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-607.92999999999995</v>
      </c>
      <c r="I341">
        <v>9.23</v>
      </c>
      <c r="J341">
        <v>-65.864572047670606</v>
      </c>
      <c r="K341">
        <v>249.21</v>
      </c>
      <c r="L341">
        <v>27</v>
      </c>
      <c r="M341">
        <v>-0.40993206454690501</v>
      </c>
      <c r="N341">
        <v>-3329</v>
      </c>
      <c r="O341">
        <v>140.58000000000001</v>
      </c>
      <c r="P341">
        <v>-23.680466638213101</v>
      </c>
      <c r="Q341">
        <v>4159.5200000000004</v>
      </c>
      <c r="R341" t="s">
        <v>2864</v>
      </c>
      <c r="S341">
        <v>-1.2494803244217401</v>
      </c>
    </row>
    <row r="342" spans="1:19" x14ac:dyDescent="0.25">
      <c r="A342">
        <v>21300</v>
      </c>
      <c r="B342">
        <v>108245.64</v>
      </c>
      <c r="C342">
        <v>1029.08</v>
      </c>
      <c r="D342" t="s">
        <v>4166</v>
      </c>
      <c r="E342">
        <v>42145.79</v>
      </c>
      <c r="F342" t="s">
        <v>4167</v>
      </c>
      <c r="G342" t="s">
        <v>4168</v>
      </c>
      <c r="H342">
        <v>178020.01</v>
      </c>
      <c r="I342">
        <v>1717.18</v>
      </c>
      <c r="J342" t="s">
        <v>4169</v>
      </c>
      <c r="K342">
        <v>62070.01</v>
      </c>
      <c r="L342" t="s">
        <v>4170</v>
      </c>
      <c r="M342" t="s">
        <v>4171</v>
      </c>
      <c r="N342">
        <v>576404.62</v>
      </c>
      <c r="O342">
        <v>6251.29</v>
      </c>
      <c r="P342" t="s">
        <v>4172</v>
      </c>
      <c r="Q342">
        <v>198872.26</v>
      </c>
      <c r="R342" t="s">
        <v>4173</v>
      </c>
      <c r="S342" t="s">
        <v>4174</v>
      </c>
    </row>
    <row r="343" spans="1:19" x14ac:dyDescent="0.25">
      <c r="A343">
        <v>21301</v>
      </c>
      <c r="B343">
        <v>15778.29</v>
      </c>
      <c r="C343">
        <v>229.31</v>
      </c>
      <c r="D343">
        <v>68.8076839213292</v>
      </c>
      <c r="E343">
        <v>6172.58</v>
      </c>
      <c r="F343" t="s">
        <v>4175</v>
      </c>
      <c r="G343" t="s">
        <v>4176</v>
      </c>
      <c r="H343">
        <v>34977.67</v>
      </c>
      <c r="I343">
        <v>632.61</v>
      </c>
      <c r="J343" t="s">
        <v>4177</v>
      </c>
      <c r="K343">
        <v>14542.52</v>
      </c>
      <c r="L343" t="s">
        <v>4178</v>
      </c>
      <c r="M343" t="s">
        <v>4179</v>
      </c>
      <c r="N343">
        <v>53916.59</v>
      </c>
      <c r="O343">
        <v>1430.85</v>
      </c>
      <c r="P343" t="s">
        <v>4180</v>
      </c>
      <c r="Q343">
        <v>31338.49</v>
      </c>
      <c r="R343" t="s">
        <v>4181</v>
      </c>
      <c r="S343" t="s">
        <v>4182</v>
      </c>
    </row>
    <row r="344" spans="1:19" x14ac:dyDescent="0.25">
      <c r="A344">
        <v>21307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18.8</v>
      </c>
      <c r="J344">
        <v>0</v>
      </c>
      <c r="K344">
        <v>498.21</v>
      </c>
      <c r="L344" t="s">
        <v>2865</v>
      </c>
      <c r="M344">
        <v>0</v>
      </c>
      <c r="N344">
        <v>0</v>
      </c>
      <c r="O344">
        <v>62.7</v>
      </c>
      <c r="P344">
        <v>0</v>
      </c>
      <c r="Q344">
        <v>1713.26</v>
      </c>
      <c r="R344" t="s">
        <v>2866</v>
      </c>
      <c r="S344">
        <v>0</v>
      </c>
    </row>
    <row r="345" spans="1:19" x14ac:dyDescent="0.25">
      <c r="A345">
        <v>21309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3443.16</v>
      </c>
      <c r="O345">
        <v>39.61</v>
      </c>
      <c r="P345">
        <v>86.926533703610204</v>
      </c>
      <c r="Q345">
        <v>1083.3499999999999</v>
      </c>
      <c r="R345" t="s">
        <v>2867</v>
      </c>
      <c r="S345">
        <v>0.31463829737798998</v>
      </c>
    </row>
    <row r="346" spans="1:19" x14ac:dyDescent="0.25">
      <c r="A346">
        <v>21310</v>
      </c>
      <c r="B346">
        <v>54869.56</v>
      </c>
      <c r="C346">
        <v>355.18</v>
      </c>
      <c r="D346" t="s">
        <v>4183</v>
      </c>
      <c r="E346">
        <v>11181.94</v>
      </c>
      <c r="F346" t="s">
        <v>4184</v>
      </c>
      <c r="G346" t="s">
        <v>4185</v>
      </c>
      <c r="H346">
        <v>144950.59</v>
      </c>
      <c r="I346">
        <v>1708.9</v>
      </c>
      <c r="J346" t="s">
        <v>4186</v>
      </c>
      <c r="K346">
        <v>54093.24</v>
      </c>
      <c r="L346" t="s">
        <v>4187</v>
      </c>
      <c r="M346" t="s">
        <v>4188</v>
      </c>
      <c r="N346">
        <v>864557.28</v>
      </c>
      <c r="O346">
        <v>11145.85</v>
      </c>
      <c r="P346" t="s">
        <v>4189</v>
      </c>
      <c r="Q346">
        <v>332237.81</v>
      </c>
      <c r="R346" t="s">
        <v>4190</v>
      </c>
      <c r="S346" t="s">
        <v>4191</v>
      </c>
    </row>
    <row r="347" spans="1:19" x14ac:dyDescent="0.25">
      <c r="A347">
        <v>21311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1260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>
        <v>21315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72</v>
      </c>
      <c r="J348">
        <v>0</v>
      </c>
      <c r="K348">
        <v>2749.61</v>
      </c>
      <c r="L348" t="s">
        <v>2868</v>
      </c>
      <c r="M348">
        <v>0</v>
      </c>
      <c r="N348">
        <v>0</v>
      </c>
      <c r="O348">
        <v>224</v>
      </c>
      <c r="P348">
        <v>0</v>
      </c>
      <c r="Q348">
        <v>8216.9500000000007</v>
      </c>
      <c r="R348">
        <v>36.682812499999997</v>
      </c>
      <c r="S348">
        <v>0</v>
      </c>
    </row>
    <row r="349" spans="1:19" x14ac:dyDescent="0.25">
      <c r="A349">
        <v>21332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1052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25">
      <c r="A350">
        <v>21375</v>
      </c>
      <c r="B350">
        <v>3408.13</v>
      </c>
      <c r="C350">
        <v>30.64</v>
      </c>
      <c r="D350" t="s">
        <v>4192</v>
      </c>
      <c r="E350">
        <v>922.11</v>
      </c>
      <c r="F350" t="s">
        <v>4193</v>
      </c>
      <c r="G350" t="s">
        <v>4194</v>
      </c>
      <c r="H350">
        <v>6756.13</v>
      </c>
      <c r="I350">
        <v>54.64</v>
      </c>
      <c r="J350" t="s">
        <v>4195</v>
      </c>
      <c r="K350">
        <v>1632.06</v>
      </c>
      <c r="L350" t="s">
        <v>4196</v>
      </c>
      <c r="M350" t="s">
        <v>4197</v>
      </c>
      <c r="N350">
        <v>15857.38</v>
      </c>
      <c r="O350">
        <v>151.61000000000001</v>
      </c>
      <c r="P350" t="s">
        <v>4198</v>
      </c>
      <c r="Q350">
        <v>4375.2299999999996</v>
      </c>
      <c r="R350" t="s">
        <v>4199</v>
      </c>
      <c r="S350" t="s">
        <v>4200</v>
      </c>
    </row>
    <row r="351" spans="1:19" x14ac:dyDescent="0.25">
      <c r="A351">
        <v>21381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2500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25">
      <c r="A352">
        <v>21388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21.35</v>
      </c>
      <c r="P352">
        <v>0</v>
      </c>
      <c r="Q352">
        <v>630.74</v>
      </c>
      <c r="R352" t="s">
        <v>2869</v>
      </c>
      <c r="S352">
        <v>0</v>
      </c>
    </row>
    <row r="353" spans="1:19" x14ac:dyDescent="0.25">
      <c r="A353">
        <v>21398</v>
      </c>
      <c r="B353">
        <v>12000</v>
      </c>
      <c r="C353">
        <v>76.459999999999994</v>
      </c>
      <c r="D353" t="s">
        <v>4201</v>
      </c>
      <c r="E353">
        <v>2402.37</v>
      </c>
      <c r="F353" t="s">
        <v>4202</v>
      </c>
      <c r="G353">
        <v>0.2001975</v>
      </c>
      <c r="H353">
        <v>34500</v>
      </c>
      <c r="I353">
        <v>213.73</v>
      </c>
      <c r="J353" t="s">
        <v>4203</v>
      </c>
      <c r="K353">
        <v>6734.73</v>
      </c>
      <c r="L353" t="s">
        <v>4204</v>
      </c>
      <c r="M353" t="s">
        <v>4205</v>
      </c>
      <c r="N353">
        <v>93241.49</v>
      </c>
      <c r="O353">
        <v>596.74</v>
      </c>
      <c r="P353" t="s">
        <v>4206</v>
      </c>
      <c r="Q353">
        <v>16797.96</v>
      </c>
      <c r="R353" t="s">
        <v>4207</v>
      </c>
      <c r="S353" t="s">
        <v>4208</v>
      </c>
    </row>
    <row r="354" spans="1:19" x14ac:dyDescent="0.25">
      <c r="A354">
        <v>21402</v>
      </c>
      <c r="B354">
        <v>-8549.85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-9384.33</v>
      </c>
      <c r="I354">
        <v>280.86</v>
      </c>
      <c r="J354">
        <v>-33.412839136936498</v>
      </c>
      <c r="K354">
        <v>7355.17</v>
      </c>
      <c r="L354" t="s">
        <v>2870</v>
      </c>
      <c r="M354">
        <v>-0.78377145731234898</v>
      </c>
      <c r="N354">
        <v>-33486.800000000003</v>
      </c>
      <c r="O354">
        <v>473.4</v>
      </c>
      <c r="P354">
        <v>-70.736797634135996</v>
      </c>
      <c r="Q354">
        <v>13246.15</v>
      </c>
      <c r="R354" t="s">
        <v>2871</v>
      </c>
      <c r="S354">
        <v>-0.39556332644504699</v>
      </c>
    </row>
    <row r="355" spans="1:19" x14ac:dyDescent="0.25">
      <c r="A355">
        <v>21407</v>
      </c>
      <c r="B355">
        <v>68009.42</v>
      </c>
      <c r="C355">
        <v>338.1</v>
      </c>
      <c r="D355" t="s">
        <v>4209</v>
      </c>
      <c r="E355">
        <v>11292.53</v>
      </c>
      <c r="F355" t="s">
        <v>4210</v>
      </c>
      <c r="G355" t="s">
        <v>4211</v>
      </c>
      <c r="H355">
        <v>163206.82</v>
      </c>
      <c r="I355">
        <v>872.45</v>
      </c>
      <c r="J355" t="s">
        <v>4212</v>
      </c>
      <c r="K355">
        <v>28720.07</v>
      </c>
      <c r="L355" t="s">
        <v>4213</v>
      </c>
      <c r="M355" t="s">
        <v>4214</v>
      </c>
      <c r="N355">
        <v>376048.89</v>
      </c>
      <c r="O355">
        <v>1920.52</v>
      </c>
      <c r="P355" t="s">
        <v>4215</v>
      </c>
      <c r="Q355">
        <v>59494.84</v>
      </c>
      <c r="R355" t="s">
        <v>4216</v>
      </c>
      <c r="S355" t="s">
        <v>4217</v>
      </c>
    </row>
    <row r="356" spans="1:19" x14ac:dyDescent="0.25">
      <c r="A356">
        <v>21412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1200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1200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5">
      <c r="A357">
        <v>21415</v>
      </c>
      <c r="B357">
        <v>51.37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29919.37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45827.06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>
        <v>21424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16160.03</v>
      </c>
      <c r="O358">
        <v>303.24</v>
      </c>
      <c r="P358" t="s">
        <v>2872</v>
      </c>
      <c r="Q358">
        <v>6661.2</v>
      </c>
      <c r="R358" t="s">
        <v>2873</v>
      </c>
      <c r="S358" t="s">
        <v>2874</v>
      </c>
    </row>
    <row r="359" spans="1:19" x14ac:dyDescent="0.25">
      <c r="A359">
        <v>21433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52.72</v>
      </c>
      <c r="P359">
        <v>0</v>
      </c>
      <c r="Q359">
        <v>2036.27</v>
      </c>
      <c r="R359" t="s">
        <v>2875</v>
      </c>
      <c r="S359">
        <v>0</v>
      </c>
    </row>
    <row r="360" spans="1:19" x14ac:dyDescent="0.25">
      <c r="A360">
        <v>21440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>
        <v>21444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-20275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>
        <v>21450</v>
      </c>
      <c r="B362">
        <v>0</v>
      </c>
      <c r="C362">
        <v>43.94</v>
      </c>
      <c r="D362">
        <v>0</v>
      </c>
      <c r="E362">
        <v>1654.9</v>
      </c>
      <c r="F362" t="s">
        <v>4218</v>
      </c>
      <c r="G362">
        <v>0</v>
      </c>
      <c r="H362">
        <v>10980</v>
      </c>
      <c r="I362">
        <v>116.34</v>
      </c>
      <c r="J362" t="s">
        <v>4219</v>
      </c>
      <c r="K362">
        <v>4247.3</v>
      </c>
      <c r="L362" t="s">
        <v>4220</v>
      </c>
      <c r="M362" t="s">
        <v>4221</v>
      </c>
      <c r="N362">
        <v>26082</v>
      </c>
      <c r="O362">
        <v>425.57</v>
      </c>
      <c r="P362" t="s">
        <v>4222</v>
      </c>
      <c r="Q362">
        <v>16208.03</v>
      </c>
      <c r="R362" t="s">
        <v>4223</v>
      </c>
      <c r="S362" t="s">
        <v>4224</v>
      </c>
    </row>
    <row r="363" spans="1:19" x14ac:dyDescent="0.25">
      <c r="A363">
        <v>21453</v>
      </c>
      <c r="B363">
        <v>49551.14</v>
      </c>
      <c r="C363">
        <v>360.15</v>
      </c>
      <c r="D363" t="s">
        <v>4225</v>
      </c>
      <c r="E363">
        <v>11684.54</v>
      </c>
      <c r="F363" t="s">
        <v>4226</v>
      </c>
      <c r="G363" t="s">
        <v>4227</v>
      </c>
      <c r="H363">
        <v>84867.86</v>
      </c>
      <c r="I363">
        <v>634.04</v>
      </c>
      <c r="J363">
        <v>133.85253296322</v>
      </c>
      <c r="K363">
        <v>21750.39</v>
      </c>
      <c r="L363" t="s">
        <v>4228</v>
      </c>
      <c r="M363" t="s">
        <v>4229</v>
      </c>
      <c r="N363">
        <v>365108.9</v>
      </c>
      <c r="O363">
        <v>2273.79</v>
      </c>
      <c r="P363" t="s">
        <v>4230</v>
      </c>
      <c r="Q363">
        <v>89459.27</v>
      </c>
      <c r="R363" t="s">
        <v>4231</v>
      </c>
      <c r="S363" t="s">
        <v>4232</v>
      </c>
    </row>
    <row r="364" spans="1:19" x14ac:dyDescent="0.25">
      <c r="A364">
        <v>21454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32383.18</v>
      </c>
      <c r="O364">
        <v>346.2</v>
      </c>
      <c r="P364" t="s">
        <v>2876</v>
      </c>
      <c r="Q364">
        <v>8329.86</v>
      </c>
      <c r="R364" t="s">
        <v>2877</v>
      </c>
      <c r="S364" t="s">
        <v>2878</v>
      </c>
    </row>
    <row r="365" spans="1:19" x14ac:dyDescent="0.25">
      <c r="A365">
        <v>21460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31.34</v>
      </c>
      <c r="P365">
        <v>0</v>
      </c>
      <c r="Q365">
        <v>1898.99</v>
      </c>
      <c r="R365" t="s">
        <v>2879</v>
      </c>
      <c r="S365">
        <v>0</v>
      </c>
    </row>
    <row r="366" spans="1:19" x14ac:dyDescent="0.25">
      <c r="A366">
        <v>21462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3130.54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>
        <v>21473</v>
      </c>
      <c r="B367">
        <v>-120000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-28574.7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25">
      <c r="A368">
        <v>21483</v>
      </c>
      <c r="B368">
        <v>-4000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36.76</v>
      </c>
      <c r="J368">
        <v>0</v>
      </c>
      <c r="K368">
        <v>1785.43</v>
      </c>
      <c r="L368" t="s">
        <v>2880</v>
      </c>
      <c r="M368">
        <v>0</v>
      </c>
      <c r="N368">
        <v>1809</v>
      </c>
      <c r="O368">
        <v>113.39</v>
      </c>
      <c r="P368" t="s">
        <v>4233</v>
      </c>
      <c r="Q368">
        <v>4530.43</v>
      </c>
      <c r="R368" t="s">
        <v>2881</v>
      </c>
      <c r="S368" t="s">
        <v>4234</v>
      </c>
    </row>
    <row r="369" spans="1:19" x14ac:dyDescent="0.25">
      <c r="A369">
        <v>21484</v>
      </c>
      <c r="B369">
        <v>42375</v>
      </c>
      <c r="C369">
        <v>397.59</v>
      </c>
      <c r="D369" t="s">
        <v>4235</v>
      </c>
      <c r="E369">
        <v>29260.99</v>
      </c>
      <c r="F369">
        <v>73.595890238688099</v>
      </c>
      <c r="G369" t="s">
        <v>4236</v>
      </c>
      <c r="H369">
        <v>148265</v>
      </c>
      <c r="I369">
        <v>937.59</v>
      </c>
      <c r="J369" t="s">
        <v>4237</v>
      </c>
      <c r="K369">
        <v>66493</v>
      </c>
      <c r="L369">
        <v>70.919058437056705</v>
      </c>
      <c r="M369" t="s">
        <v>4238</v>
      </c>
      <c r="N369">
        <v>148265</v>
      </c>
      <c r="O369">
        <v>937.59</v>
      </c>
      <c r="P369" t="s">
        <v>4237</v>
      </c>
      <c r="Q369">
        <v>66493</v>
      </c>
      <c r="R369">
        <v>70.919058437056705</v>
      </c>
      <c r="S369" t="s">
        <v>4238</v>
      </c>
    </row>
    <row r="370" spans="1:19" x14ac:dyDescent="0.25">
      <c r="A370">
        <v>21486</v>
      </c>
      <c r="B370">
        <v>20139.41</v>
      </c>
      <c r="C370">
        <v>11.61</v>
      </c>
      <c r="D370" t="s">
        <v>4239</v>
      </c>
      <c r="E370">
        <v>362.34</v>
      </c>
      <c r="F370" t="s">
        <v>4240</v>
      </c>
      <c r="G370" t="s">
        <v>4241</v>
      </c>
      <c r="H370">
        <v>38366.68</v>
      </c>
      <c r="I370">
        <v>103.12</v>
      </c>
      <c r="J370" t="s">
        <v>4242</v>
      </c>
      <c r="K370">
        <v>3419.59</v>
      </c>
      <c r="L370" t="s">
        <v>4243</v>
      </c>
      <c r="M370">
        <v>8.9129161032437496E-2</v>
      </c>
      <c r="N370">
        <v>105995.27</v>
      </c>
      <c r="O370">
        <v>1121.57</v>
      </c>
      <c r="P370" t="s">
        <v>4244</v>
      </c>
      <c r="Q370">
        <v>39402.81</v>
      </c>
      <c r="R370" t="s">
        <v>4245</v>
      </c>
      <c r="S370" t="s">
        <v>4246</v>
      </c>
    </row>
    <row r="371" spans="1:19" x14ac:dyDescent="0.25">
      <c r="A371">
        <v>21491</v>
      </c>
      <c r="B371">
        <v>32913.94</v>
      </c>
      <c r="C371">
        <v>66.37</v>
      </c>
      <c r="D371" t="s">
        <v>4247</v>
      </c>
      <c r="E371">
        <v>2957.13</v>
      </c>
      <c r="F371" t="s">
        <v>4248</v>
      </c>
      <c r="G371">
        <v>8.9844303052141403E-2</v>
      </c>
      <c r="H371">
        <v>30341.16</v>
      </c>
      <c r="I371">
        <v>339.1</v>
      </c>
      <c r="J371" t="s">
        <v>4249</v>
      </c>
      <c r="K371">
        <v>14160.85</v>
      </c>
      <c r="L371" t="s">
        <v>4250</v>
      </c>
      <c r="M371" t="s">
        <v>4251</v>
      </c>
      <c r="N371">
        <v>275107.14</v>
      </c>
      <c r="O371">
        <v>6692.99</v>
      </c>
      <c r="P371" t="s">
        <v>4252</v>
      </c>
      <c r="Q371">
        <v>215778.78</v>
      </c>
      <c r="R371" t="s">
        <v>4253</v>
      </c>
      <c r="S371">
        <v>0.78434452846262004</v>
      </c>
    </row>
    <row r="372" spans="1:19" x14ac:dyDescent="0.25">
      <c r="A372">
        <v>21494</v>
      </c>
      <c r="B372">
        <v>44834.1</v>
      </c>
      <c r="C372">
        <v>182.7</v>
      </c>
      <c r="D372" t="s">
        <v>4254</v>
      </c>
      <c r="E372">
        <v>11404.05</v>
      </c>
      <c r="F372" t="s">
        <v>4255</v>
      </c>
      <c r="G372" t="s">
        <v>4256</v>
      </c>
      <c r="H372">
        <v>60010</v>
      </c>
      <c r="I372">
        <v>311.26</v>
      </c>
      <c r="J372" t="s">
        <v>4257</v>
      </c>
      <c r="K372">
        <v>19835.03</v>
      </c>
      <c r="L372">
        <v>63.724956627899502</v>
      </c>
      <c r="M372" t="s">
        <v>4258</v>
      </c>
      <c r="N372">
        <v>72715.960000000006</v>
      </c>
      <c r="O372">
        <v>906.67</v>
      </c>
      <c r="P372" t="s">
        <v>4259</v>
      </c>
      <c r="Q372">
        <v>36754.370000000003</v>
      </c>
      <c r="R372" t="s">
        <v>4260</v>
      </c>
      <c r="S372" t="s">
        <v>4261</v>
      </c>
    </row>
    <row r="373" spans="1:19" x14ac:dyDescent="0.25">
      <c r="A373">
        <v>21496</v>
      </c>
      <c r="B373">
        <v>30785</v>
      </c>
      <c r="C373">
        <v>263.11</v>
      </c>
      <c r="D373" t="s">
        <v>4262</v>
      </c>
      <c r="E373">
        <v>10458.200000000001</v>
      </c>
      <c r="F373" t="s">
        <v>4263</v>
      </c>
      <c r="G373">
        <v>0.33971739483514701</v>
      </c>
      <c r="H373">
        <v>30785</v>
      </c>
      <c r="I373">
        <v>263.11</v>
      </c>
      <c r="J373" t="s">
        <v>4262</v>
      </c>
      <c r="K373">
        <v>10458.200000000001</v>
      </c>
      <c r="L373" t="s">
        <v>4263</v>
      </c>
      <c r="M373">
        <v>0.33971739483514701</v>
      </c>
      <c r="N373">
        <v>30785</v>
      </c>
      <c r="O373">
        <v>263.11</v>
      </c>
      <c r="P373" t="s">
        <v>4262</v>
      </c>
      <c r="Q373">
        <v>10458.200000000001</v>
      </c>
      <c r="R373" t="s">
        <v>4263</v>
      </c>
      <c r="S373">
        <v>0.33971739483514701</v>
      </c>
    </row>
    <row r="374" spans="1:19" x14ac:dyDescent="0.25">
      <c r="A374">
        <v>21498</v>
      </c>
      <c r="B374">
        <v>408566.08</v>
      </c>
      <c r="C374">
        <v>1438.76</v>
      </c>
      <c r="D374" t="s">
        <v>4264</v>
      </c>
      <c r="E374">
        <v>50198.81</v>
      </c>
      <c r="F374" t="s">
        <v>4265</v>
      </c>
      <c r="G374" t="s">
        <v>4266</v>
      </c>
      <c r="H374">
        <v>652542.03</v>
      </c>
      <c r="I374">
        <v>3477.38</v>
      </c>
      <c r="J374" t="s">
        <v>4267</v>
      </c>
      <c r="K374">
        <v>122550.88</v>
      </c>
      <c r="L374" t="s">
        <v>4268</v>
      </c>
      <c r="M374">
        <v>0.187805343358496</v>
      </c>
      <c r="N374">
        <v>1939152.17</v>
      </c>
      <c r="O374">
        <v>12462.43</v>
      </c>
      <c r="P374">
        <v>155.59984449260699</v>
      </c>
      <c r="Q374">
        <v>472104</v>
      </c>
      <c r="R374" t="s">
        <v>4269</v>
      </c>
      <c r="S374" t="s">
        <v>4270</v>
      </c>
    </row>
    <row r="375" spans="1:19" x14ac:dyDescent="0.25">
      <c r="A375">
        <v>21500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251427.95</v>
      </c>
      <c r="O375">
        <v>3070.32</v>
      </c>
      <c r="P375" t="s">
        <v>2882</v>
      </c>
      <c r="Q375">
        <v>133681.25</v>
      </c>
      <c r="R375" t="s">
        <v>2883</v>
      </c>
      <c r="S375" t="s">
        <v>2884</v>
      </c>
    </row>
    <row r="376" spans="1:19" x14ac:dyDescent="0.25">
      <c r="A376">
        <v>21501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6450</v>
      </c>
      <c r="I376">
        <v>8.39</v>
      </c>
      <c r="J376" t="s">
        <v>2885</v>
      </c>
      <c r="K376">
        <v>204.38</v>
      </c>
      <c r="L376" t="s">
        <v>2886</v>
      </c>
      <c r="M376">
        <v>3.1686821705426298E-2</v>
      </c>
      <c r="N376">
        <v>28673.599999999999</v>
      </c>
      <c r="O376">
        <v>106.16</v>
      </c>
      <c r="P376" t="s">
        <v>2887</v>
      </c>
      <c r="Q376">
        <v>3361.91</v>
      </c>
      <c r="R376" t="s">
        <v>2888</v>
      </c>
      <c r="S376" t="s">
        <v>2889</v>
      </c>
    </row>
    <row r="377" spans="1:19" x14ac:dyDescent="0.25">
      <c r="A377">
        <v>21503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-16.850000000000001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>
        <v>21506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-8190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8190</v>
      </c>
      <c r="O378">
        <v>68.91</v>
      </c>
      <c r="P378" t="s">
        <v>2967</v>
      </c>
      <c r="Q378">
        <v>3223.58</v>
      </c>
      <c r="R378" t="s">
        <v>2890</v>
      </c>
      <c r="S378" t="s">
        <v>2968</v>
      </c>
    </row>
    <row r="379" spans="1:19" x14ac:dyDescent="0.25">
      <c r="A379">
        <v>21508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8764.48</v>
      </c>
      <c r="O379">
        <v>34.74</v>
      </c>
      <c r="P379" t="s">
        <v>2891</v>
      </c>
      <c r="Q379">
        <v>1303.78</v>
      </c>
      <c r="R379" t="s">
        <v>2892</v>
      </c>
      <c r="S379" t="s">
        <v>2893</v>
      </c>
    </row>
    <row r="380" spans="1:19" x14ac:dyDescent="0.25">
      <c r="A380">
        <v>21509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-2612.5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>
        <v>21510</v>
      </c>
      <c r="B381">
        <v>5050</v>
      </c>
      <c r="C381">
        <v>22.93</v>
      </c>
      <c r="D381" t="s">
        <v>4271</v>
      </c>
      <c r="E381">
        <v>994.67</v>
      </c>
      <c r="F381" t="s">
        <v>4272</v>
      </c>
      <c r="G381" t="s">
        <v>4273</v>
      </c>
      <c r="H381">
        <v>5050</v>
      </c>
      <c r="I381">
        <v>40.97</v>
      </c>
      <c r="J381" t="s">
        <v>4274</v>
      </c>
      <c r="K381">
        <v>1809.42</v>
      </c>
      <c r="L381" t="s">
        <v>4275</v>
      </c>
      <c r="M381" t="s">
        <v>4276</v>
      </c>
      <c r="N381">
        <v>28282.639999999999</v>
      </c>
      <c r="O381">
        <v>74.709999999999994</v>
      </c>
      <c r="P381" t="s">
        <v>4277</v>
      </c>
      <c r="Q381">
        <v>3606.25</v>
      </c>
      <c r="R381" t="s">
        <v>4278</v>
      </c>
      <c r="S381" t="s">
        <v>4279</v>
      </c>
    </row>
    <row r="382" spans="1:19" x14ac:dyDescent="0.25">
      <c r="A382">
        <v>21513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20.079999999999998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15076.89</v>
      </c>
      <c r="O382">
        <v>87</v>
      </c>
      <c r="P382" t="s">
        <v>2894</v>
      </c>
      <c r="Q382">
        <v>2624.16</v>
      </c>
      <c r="R382" t="s">
        <v>2895</v>
      </c>
      <c r="S382" t="s">
        <v>2896</v>
      </c>
    </row>
    <row r="383" spans="1:19" x14ac:dyDescent="0.25">
      <c r="A383">
        <v>21514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-3486.41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18895.400000000001</v>
      </c>
      <c r="O383">
        <v>237.79</v>
      </c>
      <c r="P383" t="s">
        <v>2897</v>
      </c>
      <c r="Q383">
        <v>5975.25</v>
      </c>
      <c r="R383" t="s">
        <v>2898</v>
      </c>
      <c r="S383" t="s">
        <v>2899</v>
      </c>
    </row>
    <row r="384" spans="1:19" x14ac:dyDescent="0.25">
      <c r="A384">
        <v>21518</v>
      </c>
      <c r="B384">
        <v>2397</v>
      </c>
      <c r="C384">
        <v>47.21</v>
      </c>
      <c r="D384" t="s">
        <v>4280</v>
      </c>
      <c r="E384">
        <v>1535.93</v>
      </c>
      <c r="F384" t="s">
        <v>4281</v>
      </c>
      <c r="G384" t="s">
        <v>4282</v>
      </c>
      <c r="H384">
        <v>2983.27</v>
      </c>
      <c r="I384">
        <v>89.01</v>
      </c>
      <c r="J384" t="s">
        <v>4283</v>
      </c>
      <c r="K384">
        <v>2996.71</v>
      </c>
      <c r="L384" t="s">
        <v>4284</v>
      </c>
      <c r="M384" t="s">
        <v>4285</v>
      </c>
      <c r="N384">
        <v>33158.6</v>
      </c>
      <c r="O384">
        <v>792.89</v>
      </c>
      <c r="P384">
        <v>41.819924579702104</v>
      </c>
      <c r="Q384">
        <v>29327.88</v>
      </c>
      <c r="R384" t="s">
        <v>4286</v>
      </c>
      <c r="S384" t="s">
        <v>4287</v>
      </c>
    </row>
    <row r="385" spans="1:19" x14ac:dyDescent="0.25">
      <c r="A385">
        <v>21526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1598.5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1598.5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>
        <v>21527</v>
      </c>
      <c r="B386">
        <v>6642.49</v>
      </c>
      <c r="C386">
        <v>18.89</v>
      </c>
      <c r="D386" t="s">
        <v>4288</v>
      </c>
      <c r="E386">
        <v>569.52</v>
      </c>
      <c r="F386" t="s">
        <v>4289</v>
      </c>
      <c r="G386">
        <v>8.5738932237760204E-2</v>
      </c>
      <c r="H386">
        <v>31625.17</v>
      </c>
      <c r="I386">
        <v>62.66</v>
      </c>
      <c r="J386" t="s">
        <v>4290</v>
      </c>
      <c r="K386">
        <v>2109.35</v>
      </c>
      <c r="L386" t="s">
        <v>4291</v>
      </c>
      <c r="M386">
        <v>6.6698455692095801E-2</v>
      </c>
      <c r="N386">
        <v>108575.74</v>
      </c>
      <c r="O386">
        <v>1022.12</v>
      </c>
      <c r="P386" t="s">
        <v>4292</v>
      </c>
      <c r="Q386">
        <v>36769.31</v>
      </c>
      <c r="R386" t="s">
        <v>4293</v>
      </c>
      <c r="S386" t="s">
        <v>4294</v>
      </c>
    </row>
    <row r="387" spans="1:19" x14ac:dyDescent="0.25">
      <c r="A387">
        <v>21529</v>
      </c>
      <c r="B387">
        <v>3771.04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66979.64</v>
      </c>
      <c r="I387">
        <v>354.92</v>
      </c>
      <c r="J387" t="s">
        <v>4295</v>
      </c>
      <c r="K387">
        <v>12228.02</v>
      </c>
      <c r="L387" t="s">
        <v>2900</v>
      </c>
      <c r="M387" t="s">
        <v>4296</v>
      </c>
      <c r="N387">
        <v>296992.81</v>
      </c>
      <c r="O387">
        <v>1771.34</v>
      </c>
      <c r="P387" t="s">
        <v>4297</v>
      </c>
      <c r="Q387">
        <v>51315.82</v>
      </c>
      <c r="R387" t="s">
        <v>2901</v>
      </c>
      <c r="S387" t="s">
        <v>4298</v>
      </c>
    </row>
    <row r="388" spans="1:19" x14ac:dyDescent="0.25">
      <c r="A388">
        <v>21531</v>
      </c>
      <c r="B388">
        <v>15453.58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51521.64</v>
      </c>
      <c r="I388">
        <v>198.69</v>
      </c>
      <c r="J388" t="s">
        <v>4299</v>
      </c>
      <c r="K388">
        <v>7212.78</v>
      </c>
      <c r="L388" t="s">
        <v>2902</v>
      </c>
      <c r="M388" t="s">
        <v>4300</v>
      </c>
      <c r="N388">
        <v>331778.77</v>
      </c>
      <c r="O388">
        <v>1714.03</v>
      </c>
      <c r="P388" t="s">
        <v>4301</v>
      </c>
      <c r="Q388">
        <v>50301.38</v>
      </c>
      <c r="R388" t="s">
        <v>2903</v>
      </c>
      <c r="S388">
        <v>0.15161120767311301</v>
      </c>
    </row>
    <row r="389" spans="1:19" x14ac:dyDescent="0.25">
      <c r="A389">
        <v>21533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114750</v>
      </c>
      <c r="O389">
        <v>363.19</v>
      </c>
      <c r="P389" t="s">
        <v>2904</v>
      </c>
      <c r="Q389">
        <v>15575.25</v>
      </c>
      <c r="R389" t="s">
        <v>2905</v>
      </c>
      <c r="S389" t="s">
        <v>2906</v>
      </c>
    </row>
    <row r="390" spans="1:19" x14ac:dyDescent="0.25">
      <c r="A390">
        <v>21536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9.69</v>
      </c>
      <c r="P390">
        <v>0</v>
      </c>
      <c r="Q390">
        <v>384.21</v>
      </c>
      <c r="R390" t="s">
        <v>2907</v>
      </c>
      <c r="S390">
        <v>0</v>
      </c>
    </row>
    <row r="391" spans="1:19" x14ac:dyDescent="0.25">
      <c r="A391">
        <v>21541</v>
      </c>
      <c r="B391">
        <v>27255.42</v>
      </c>
      <c r="C391">
        <v>488.34</v>
      </c>
      <c r="D391">
        <v>55.812384813859197</v>
      </c>
      <c r="E391">
        <v>20845.95</v>
      </c>
      <c r="F391" t="s">
        <v>4302</v>
      </c>
      <c r="G391" t="s">
        <v>4303</v>
      </c>
      <c r="H391">
        <v>124724.18</v>
      </c>
      <c r="I391">
        <v>1453.19</v>
      </c>
      <c r="J391" t="s">
        <v>4304</v>
      </c>
      <c r="K391">
        <v>61059.39</v>
      </c>
      <c r="L391" t="s">
        <v>4305</v>
      </c>
      <c r="M391" t="s">
        <v>4306</v>
      </c>
      <c r="N391">
        <v>436291.48</v>
      </c>
      <c r="O391">
        <v>3855.46</v>
      </c>
      <c r="P391" t="s">
        <v>4307</v>
      </c>
      <c r="Q391">
        <v>168823.11</v>
      </c>
      <c r="R391" t="s">
        <v>4308</v>
      </c>
      <c r="S391" t="s">
        <v>4309</v>
      </c>
    </row>
    <row r="392" spans="1:19" x14ac:dyDescent="0.25">
      <c r="A392">
        <v>21544</v>
      </c>
      <c r="B392">
        <v>15020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8680</v>
      </c>
      <c r="I392">
        <v>202.56</v>
      </c>
      <c r="J392" t="s">
        <v>4310</v>
      </c>
      <c r="K392">
        <v>6639.24</v>
      </c>
      <c r="L392" t="s">
        <v>2908</v>
      </c>
      <c r="M392">
        <v>0.76488940092165902</v>
      </c>
      <c r="N392">
        <v>8680</v>
      </c>
      <c r="O392">
        <v>202.56</v>
      </c>
      <c r="P392" t="s">
        <v>4310</v>
      </c>
      <c r="Q392">
        <v>6639.24</v>
      </c>
      <c r="R392" t="s">
        <v>2908</v>
      </c>
      <c r="S392">
        <v>0.76488940092165902</v>
      </c>
    </row>
    <row r="393" spans="1:19" x14ac:dyDescent="0.25">
      <c r="A393">
        <v>21545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10700.31</v>
      </c>
      <c r="I393">
        <v>15.6</v>
      </c>
      <c r="J393" t="s">
        <v>2909</v>
      </c>
      <c r="K393">
        <v>1137.05</v>
      </c>
      <c r="L393" t="s">
        <v>2910</v>
      </c>
      <c r="M393" t="s">
        <v>2911</v>
      </c>
      <c r="N393">
        <v>43334.29</v>
      </c>
      <c r="O393">
        <v>423.18</v>
      </c>
      <c r="P393" t="s">
        <v>2912</v>
      </c>
      <c r="Q393">
        <v>13951.7</v>
      </c>
      <c r="R393" t="s">
        <v>2913</v>
      </c>
      <c r="S393">
        <v>0.32195519991212501</v>
      </c>
    </row>
    <row r="394" spans="1:19" x14ac:dyDescent="0.25">
      <c r="A394">
        <v>21548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680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5">
      <c r="A395">
        <v>21549</v>
      </c>
      <c r="B395">
        <v>93790.28</v>
      </c>
      <c r="C395">
        <v>840.9</v>
      </c>
      <c r="D395" t="s">
        <v>4311</v>
      </c>
      <c r="E395">
        <v>36189.760000000002</v>
      </c>
      <c r="F395" t="s">
        <v>4312</v>
      </c>
      <c r="G395" t="s">
        <v>4313</v>
      </c>
      <c r="H395">
        <v>141404.06</v>
      </c>
      <c r="I395">
        <v>1811.6</v>
      </c>
      <c r="J395" t="s">
        <v>4314</v>
      </c>
      <c r="K395">
        <v>73238.16</v>
      </c>
      <c r="L395" t="s">
        <v>4315</v>
      </c>
      <c r="M395" t="s">
        <v>4316</v>
      </c>
      <c r="N395">
        <v>141404.06</v>
      </c>
      <c r="O395">
        <v>1908.59</v>
      </c>
      <c r="P395" t="s">
        <v>4317</v>
      </c>
      <c r="Q395">
        <v>78429.570000000007</v>
      </c>
      <c r="R395">
        <v>41.092937718420401</v>
      </c>
      <c r="S395" t="s">
        <v>4318</v>
      </c>
    </row>
    <row r="396" spans="1:19" x14ac:dyDescent="0.25">
      <c r="A396">
        <v>21550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28475</v>
      </c>
      <c r="O396">
        <v>45.79</v>
      </c>
      <c r="P396" t="s">
        <v>2914</v>
      </c>
      <c r="Q396">
        <v>3281.94</v>
      </c>
      <c r="R396">
        <v>71.673727888185198</v>
      </c>
      <c r="S396" t="s">
        <v>2915</v>
      </c>
    </row>
    <row r="397" spans="1:19" x14ac:dyDescent="0.25">
      <c r="A397">
        <v>21552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52296.4</v>
      </c>
      <c r="O397">
        <v>499.28</v>
      </c>
      <c r="P397" t="s">
        <v>2916</v>
      </c>
      <c r="Q397">
        <v>21656.93</v>
      </c>
      <c r="R397">
        <v>43.376321903541097</v>
      </c>
      <c r="S397" t="s">
        <v>2917</v>
      </c>
    </row>
    <row r="398" spans="1:19" x14ac:dyDescent="0.25">
      <c r="A398">
        <v>21554</v>
      </c>
      <c r="B398">
        <v>4750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8892.07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8544.48</v>
      </c>
      <c r="O398">
        <v>209.96</v>
      </c>
      <c r="P398" t="s">
        <v>4319</v>
      </c>
      <c r="Q398">
        <v>5735.9</v>
      </c>
      <c r="R398" t="s">
        <v>2918</v>
      </c>
      <c r="S398" t="s">
        <v>4320</v>
      </c>
    </row>
    <row r="399" spans="1:19" x14ac:dyDescent="0.25">
      <c r="A399">
        <v>21555</v>
      </c>
      <c r="B399">
        <v>69281.5</v>
      </c>
      <c r="C399">
        <v>330.67</v>
      </c>
      <c r="D399" t="s">
        <v>4321</v>
      </c>
      <c r="E399">
        <v>11742.28</v>
      </c>
      <c r="F399" t="s">
        <v>4322</v>
      </c>
      <c r="G399" t="s">
        <v>4323</v>
      </c>
      <c r="H399">
        <v>108919.3</v>
      </c>
      <c r="I399">
        <v>644.61</v>
      </c>
      <c r="J399" t="s">
        <v>4324</v>
      </c>
      <c r="K399">
        <v>22020.18</v>
      </c>
      <c r="L399" t="s">
        <v>4325</v>
      </c>
      <c r="M399" t="s">
        <v>4326</v>
      </c>
      <c r="N399">
        <v>449790.7</v>
      </c>
      <c r="O399">
        <v>3119.9</v>
      </c>
      <c r="P399" t="s">
        <v>4327</v>
      </c>
      <c r="Q399">
        <v>107787.46</v>
      </c>
      <c r="R399" t="s">
        <v>4328</v>
      </c>
      <c r="S399" t="s">
        <v>4329</v>
      </c>
    </row>
    <row r="400" spans="1:19" x14ac:dyDescent="0.25">
      <c r="A400">
        <v>21556</v>
      </c>
      <c r="B400">
        <v>16040</v>
      </c>
      <c r="C400">
        <v>263.43</v>
      </c>
      <c r="D400" t="s">
        <v>4330</v>
      </c>
      <c r="E400">
        <v>9442.06</v>
      </c>
      <c r="F400" t="s">
        <v>4331</v>
      </c>
      <c r="G400" t="s">
        <v>4332</v>
      </c>
      <c r="H400">
        <v>61426.62</v>
      </c>
      <c r="I400">
        <v>965.16</v>
      </c>
      <c r="J400" t="s">
        <v>4333</v>
      </c>
      <c r="K400">
        <v>33353.599999999999</v>
      </c>
      <c r="L400" t="s">
        <v>4334</v>
      </c>
      <c r="M400" t="s">
        <v>4335</v>
      </c>
      <c r="N400">
        <v>135573.31</v>
      </c>
      <c r="O400">
        <v>2336.7800000000002</v>
      </c>
      <c r="P400" t="s">
        <v>4336</v>
      </c>
      <c r="Q400">
        <v>78796.009999999995</v>
      </c>
      <c r="R400" t="s">
        <v>4337</v>
      </c>
      <c r="S400">
        <v>0.58120591730038895</v>
      </c>
    </row>
    <row r="401" spans="1:19" x14ac:dyDescent="0.25">
      <c r="A401">
        <v>21557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-212.04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-2446.21</v>
      </c>
      <c r="O401">
        <v>419.7</v>
      </c>
      <c r="P401">
        <v>-5.8284727186085297</v>
      </c>
      <c r="Q401">
        <v>11545.3</v>
      </c>
      <c r="R401" t="s">
        <v>2919</v>
      </c>
      <c r="S401">
        <v>-4.7196683849710297</v>
      </c>
    </row>
    <row r="402" spans="1:19" x14ac:dyDescent="0.25">
      <c r="A402">
        <v>21558</v>
      </c>
      <c r="B402">
        <v>388420.07</v>
      </c>
      <c r="C402">
        <v>2016.99</v>
      </c>
      <c r="D402" t="s">
        <v>4338</v>
      </c>
      <c r="E402">
        <v>77108.75</v>
      </c>
      <c r="F402" t="s">
        <v>4339</v>
      </c>
      <c r="G402" t="s">
        <v>4340</v>
      </c>
      <c r="H402">
        <v>978183.92</v>
      </c>
      <c r="I402">
        <v>5451.89</v>
      </c>
      <c r="J402" t="s">
        <v>4341</v>
      </c>
      <c r="K402">
        <v>204916.87</v>
      </c>
      <c r="L402" t="s">
        <v>4342</v>
      </c>
      <c r="M402" t="s">
        <v>4343</v>
      </c>
      <c r="N402">
        <v>1196346.67</v>
      </c>
      <c r="O402">
        <v>9071.24</v>
      </c>
      <c r="P402" t="s">
        <v>4344</v>
      </c>
      <c r="Q402">
        <v>281930.83</v>
      </c>
      <c r="R402" t="s">
        <v>4345</v>
      </c>
      <c r="S402" t="s">
        <v>4346</v>
      </c>
    </row>
    <row r="403" spans="1:19" x14ac:dyDescent="0.25">
      <c r="A403">
        <v>21565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18575</v>
      </c>
      <c r="O403">
        <v>214.34</v>
      </c>
      <c r="P403" t="s">
        <v>2920</v>
      </c>
      <c r="Q403">
        <v>5076.54</v>
      </c>
      <c r="R403" t="s">
        <v>2921</v>
      </c>
      <c r="S403" t="s">
        <v>2922</v>
      </c>
    </row>
    <row r="404" spans="1:19" x14ac:dyDescent="0.25">
      <c r="A404">
        <v>21569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-2318.9699999999998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16339.03</v>
      </c>
      <c r="O404">
        <v>17.78</v>
      </c>
      <c r="P404" t="s">
        <v>2969</v>
      </c>
      <c r="Q404">
        <v>562.08000000000004</v>
      </c>
      <c r="R404" t="s">
        <v>2923</v>
      </c>
      <c r="S404">
        <v>3.4401062976198701E-2</v>
      </c>
    </row>
    <row r="405" spans="1:19" x14ac:dyDescent="0.25">
      <c r="A405">
        <v>21571</v>
      </c>
      <c r="B405">
        <v>0</v>
      </c>
      <c r="C405">
        <v>40</v>
      </c>
      <c r="D405">
        <v>0</v>
      </c>
      <c r="E405">
        <v>1655.05</v>
      </c>
      <c r="F405">
        <v>41.376249999999999</v>
      </c>
      <c r="G405">
        <v>0</v>
      </c>
      <c r="H405">
        <v>0</v>
      </c>
      <c r="I405">
        <v>88</v>
      </c>
      <c r="J405">
        <v>0</v>
      </c>
      <c r="K405">
        <v>3526.37</v>
      </c>
      <c r="L405" t="s">
        <v>4347</v>
      </c>
      <c r="M405">
        <v>0</v>
      </c>
      <c r="N405">
        <v>0</v>
      </c>
      <c r="O405">
        <v>568</v>
      </c>
      <c r="P405">
        <v>0</v>
      </c>
      <c r="Q405">
        <v>21302.32</v>
      </c>
      <c r="R405" t="s">
        <v>4348</v>
      </c>
      <c r="S405">
        <v>0</v>
      </c>
    </row>
    <row r="406" spans="1:19" x14ac:dyDescent="0.25">
      <c r="A406">
        <v>21572</v>
      </c>
      <c r="B406">
        <v>17400</v>
      </c>
      <c r="C406">
        <v>173.97</v>
      </c>
      <c r="D406" t="s">
        <v>4349</v>
      </c>
      <c r="E406">
        <v>4461.38</v>
      </c>
      <c r="F406" t="s">
        <v>4350</v>
      </c>
      <c r="G406" t="s">
        <v>4351</v>
      </c>
      <c r="H406">
        <v>59100</v>
      </c>
      <c r="I406">
        <v>596.46</v>
      </c>
      <c r="J406" t="s">
        <v>4352</v>
      </c>
      <c r="K406">
        <v>15718.36</v>
      </c>
      <c r="L406" t="s">
        <v>4353</v>
      </c>
      <c r="M406" t="s">
        <v>4354</v>
      </c>
      <c r="N406">
        <v>233950</v>
      </c>
      <c r="O406">
        <v>2739.87</v>
      </c>
      <c r="P406" t="s">
        <v>4355</v>
      </c>
      <c r="Q406">
        <v>67492.320000000007</v>
      </c>
      <c r="R406" t="s">
        <v>4356</v>
      </c>
      <c r="S406" t="s">
        <v>4357</v>
      </c>
    </row>
    <row r="407" spans="1:19" x14ac:dyDescent="0.25">
      <c r="A407">
        <v>21575</v>
      </c>
      <c r="B407">
        <v>98652.64</v>
      </c>
      <c r="C407">
        <v>328.55</v>
      </c>
      <c r="D407" t="s">
        <v>4358</v>
      </c>
      <c r="E407">
        <v>11038.93</v>
      </c>
      <c r="F407" t="s">
        <v>4359</v>
      </c>
      <c r="G407" t="s">
        <v>4360</v>
      </c>
      <c r="H407">
        <v>183693.22</v>
      </c>
      <c r="I407">
        <v>939.54</v>
      </c>
      <c r="J407" t="s">
        <v>4361</v>
      </c>
      <c r="K407">
        <v>24952.26</v>
      </c>
      <c r="L407" t="s">
        <v>4362</v>
      </c>
      <c r="M407" t="s">
        <v>4363</v>
      </c>
      <c r="N407">
        <v>444524.78</v>
      </c>
      <c r="O407">
        <v>2695.56</v>
      </c>
      <c r="P407" t="s">
        <v>4364</v>
      </c>
      <c r="Q407">
        <v>73157.740000000005</v>
      </c>
      <c r="R407" t="s">
        <v>4365</v>
      </c>
      <c r="S407" t="s">
        <v>4366</v>
      </c>
    </row>
    <row r="408" spans="1:19" x14ac:dyDescent="0.25">
      <c r="A408">
        <v>21581</v>
      </c>
      <c r="B408">
        <v>4260.6000000000004</v>
      </c>
      <c r="C408">
        <v>16.84</v>
      </c>
      <c r="D408" t="s">
        <v>4367</v>
      </c>
      <c r="E408">
        <v>541.62</v>
      </c>
      <c r="F408" t="s">
        <v>4368</v>
      </c>
      <c r="G408" t="s">
        <v>4369</v>
      </c>
      <c r="H408">
        <v>4260.6000000000004</v>
      </c>
      <c r="I408">
        <v>16.84</v>
      </c>
      <c r="J408" t="s">
        <v>4367</v>
      </c>
      <c r="K408">
        <v>541.62</v>
      </c>
      <c r="L408" t="s">
        <v>4368</v>
      </c>
      <c r="M408" t="s">
        <v>4369</v>
      </c>
      <c r="N408">
        <v>4260.6000000000004</v>
      </c>
      <c r="O408">
        <v>16.84</v>
      </c>
      <c r="P408" t="s">
        <v>4367</v>
      </c>
      <c r="Q408">
        <v>541.62</v>
      </c>
      <c r="R408" t="s">
        <v>4368</v>
      </c>
      <c r="S408" t="s">
        <v>4369</v>
      </c>
    </row>
    <row r="409" spans="1:19" x14ac:dyDescent="0.25">
      <c r="A409">
        <v>21583</v>
      </c>
      <c r="B409">
        <v>222350.63</v>
      </c>
      <c r="C409">
        <v>1819.95</v>
      </c>
      <c r="D409" t="s">
        <v>4370</v>
      </c>
      <c r="E409">
        <v>65891.289999999994</v>
      </c>
      <c r="F409" t="s">
        <v>4371</v>
      </c>
      <c r="G409" t="s">
        <v>4372</v>
      </c>
      <c r="H409">
        <v>548258.63</v>
      </c>
      <c r="I409">
        <v>5486.64</v>
      </c>
      <c r="J409" t="s">
        <v>4373</v>
      </c>
      <c r="K409">
        <v>199628.87</v>
      </c>
      <c r="L409" t="s">
        <v>4374</v>
      </c>
      <c r="M409" t="s">
        <v>4375</v>
      </c>
      <c r="N409">
        <v>1213651.56</v>
      </c>
      <c r="O409">
        <v>12966.56</v>
      </c>
      <c r="P409" t="s">
        <v>4376</v>
      </c>
      <c r="Q409">
        <v>458118.9</v>
      </c>
      <c r="R409">
        <v>35.330797065682802</v>
      </c>
      <c r="S409" t="s">
        <v>4377</v>
      </c>
    </row>
    <row r="410" spans="1:19" x14ac:dyDescent="0.25">
      <c r="A410">
        <v>21586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19625.18</v>
      </c>
      <c r="O410">
        <v>134.44999999999999</v>
      </c>
      <c r="P410" t="s">
        <v>2924</v>
      </c>
      <c r="Q410">
        <v>3746.79</v>
      </c>
      <c r="R410" t="s">
        <v>2925</v>
      </c>
      <c r="S410" t="s">
        <v>2926</v>
      </c>
    </row>
    <row r="411" spans="1:19" x14ac:dyDescent="0.25">
      <c r="A411">
        <v>21594</v>
      </c>
      <c r="B411">
        <v>629.5</v>
      </c>
      <c r="C411">
        <v>30.43</v>
      </c>
      <c r="D411" t="s">
        <v>4378</v>
      </c>
      <c r="E411">
        <v>905.52</v>
      </c>
      <c r="F411" t="s">
        <v>4379</v>
      </c>
      <c r="G411" t="s">
        <v>4380</v>
      </c>
      <c r="H411">
        <v>19858.400000000001</v>
      </c>
      <c r="I411">
        <v>184.36</v>
      </c>
      <c r="J411" t="s">
        <v>4381</v>
      </c>
      <c r="K411">
        <v>4123.6099999999997</v>
      </c>
      <c r="L411" t="s">
        <v>4382</v>
      </c>
      <c r="M411" t="s">
        <v>4383</v>
      </c>
      <c r="N411">
        <v>62276.6</v>
      </c>
      <c r="O411">
        <v>534.04999999999995</v>
      </c>
      <c r="P411" t="s">
        <v>4384</v>
      </c>
      <c r="Q411">
        <v>14285.75</v>
      </c>
      <c r="R411" t="s">
        <v>4385</v>
      </c>
      <c r="S411" t="s">
        <v>4386</v>
      </c>
    </row>
    <row r="412" spans="1:19" x14ac:dyDescent="0.25">
      <c r="A412">
        <v>21595</v>
      </c>
      <c r="B412">
        <v>12869.84</v>
      </c>
      <c r="C412">
        <v>221.85</v>
      </c>
      <c r="D412">
        <v>58.0114491773721</v>
      </c>
      <c r="E412">
        <v>6049.54</v>
      </c>
      <c r="F412" t="s">
        <v>4387</v>
      </c>
      <c r="G412" t="s">
        <v>4388</v>
      </c>
      <c r="H412">
        <v>30517.919999999998</v>
      </c>
      <c r="I412">
        <v>627.27</v>
      </c>
      <c r="J412" t="s">
        <v>4389</v>
      </c>
      <c r="K412">
        <v>16794.29</v>
      </c>
      <c r="L412" t="s">
        <v>4390</v>
      </c>
      <c r="M412" t="s">
        <v>4391</v>
      </c>
      <c r="N412">
        <v>126687.46</v>
      </c>
      <c r="O412">
        <v>1998.36</v>
      </c>
      <c r="P412" t="s">
        <v>4392</v>
      </c>
      <c r="Q412">
        <v>51785.14</v>
      </c>
      <c r="R412" t="s">
        <v>4393</v>
      </c>
      <c r="S412" t="s">
        <v>4394</v>
      </c>
    </row>
    <row r="413" spans="1:19" x14ac:dyDescent="0.25">
      <c r="A413">
        <v>21596</v>
      </c>
      <c r="B413">
        <v>49844.32</v>
      </c>
      <c r="C413">
        <v>536.74</v>
      </c>
      <c r="D413" t="s">
        <v>4395</v>
      </c>
      <c r="E413">
        <v>22340.21</v>
      </c>
      <c r="F413" t="s">
        <v>4396</v>
      </c>
      <c r="G413" t="s">
        <v>4397</v>
      </c>
      <c r="H413">
        <v>61205.56</v>
      </c>
      <c r="I413">
        <v>709.45</v>
      </c>
      <c r="J413" t="s">
        <v>4398</v>
      </c>
      <c r="K413">
        <v>29191.4</v>
      </c>
      <c r="L413" t="s">
        <v>4399</v>
      </c>
      <c r="M413" t="s">
        <v>4400</v>
      </c>
      <c r="N413">
        <v>310668.40999999997</v>
      </c>
      <c r="O413">
        <v>2854.76</v>
      </c>
      <c r="P413" t="s">
        <v>4401</v>
      </c>
      <c r="Q413">
        <v>117140.2</v>
      </c>
      <c r="R413" t="s">
        <v>4402</v>
      </c>
      <c r="S413" t="s">
        <v>4403</v>
      </c>
    </row>
    <row r="414" spans="1:19" x14ac:dyDescent="0.25">
      <c r="A414">
        <v>21604</v>
      </c>
      <c r="B414">
        <v>3863.63</v>
      </c>
      <c r="C414">
        <v>128.13</v>
      </c>
      <c r="D414" t="s">
        <v>4404</v>
      </c>
      <c r="E414">
        <v>4335.37</v>
      </c>
      <c r="F414" t="s">
        <v>4405</v>
      </c>
      <c r="G414" t="s">
        <v>4406</v>
      </c>
      <c r="H414">
        <v>36426.15</v>
      </c>
      <c r="I414">
        <v>331.92</v>
      </c>
      <c r="J414" t="s">
        <v>4407</v>
      </c>
      <c r="K414">
        <v>11837.17</v>
      </c>
      <c r="L414" t="s">
        <v>4408</v>
      </c>
      <c r="M414" t="s">
        <v>4409</v>
      </c>
      <c r="N414">
        <v>135433.85999999999</v>
      </c>
      <c r="O414">
        <v>1109.98</v>
      </c>
      <c r="P414" t="s">
        <v>4410</v>
      </c>
      <c r="Q414">
        <v>32659.38</v>
      </c>
      <c r="R414" t="s">
        <v>4411</v>
      </c>
      <c r="S414" t="s">
        <v>4412</v>
      </c>
    </row>
    <row r="415" spans="1:19" x14ac:dyDescent="0.25">
      <c r="A415">
        <v>21614</v>
      </c>
      <c r="B415">
        <v>54424.41</v>
      </c>
      <c r="C415">
        <v>815.91</v>
      </c>
      <c r="D415">
        <v>66.703937934330995</v>
      </c>
      <c r="E415">
        <v>34421.03</v>
      </c>
      <c r="F415" t="s">
        <v>4413</v>
      </c>
      <c r="G415" t="s">
        <v>4414</v>
      </c>
      <c r="H415">
        <v>114097.93</v>
      </c>
      <c r="I415">
        <v>1287.03</v>
      </c>
      <c r="J415" t="s">
        <v>4415</v>
      </c>
      <c r="K415">
        <v>51579.65</v>
      </c>
      <c r="L415" t="s">
        <v>4416</v>
      </c>
      <c r="M415" t="s">
        <v>4417</v>
      </c>
      <c r="N415">
        <v>418875.76</v>
      </c>
      <c r="O415">
        <v>4479.3599999999997</v>
      </c>
      <c r="P415" t="s">
        <v>4418</v>
      </c>
      <c r="Q415">
        <v>168362.44</v>
      </c>
      <c r="R415" t="s">
        <v>4419</v>
      </c>
      <c r="S415" t="s">
        <v>4420</v>
      </c>
    </row>
    <row r="416" spans="1:19" x14ac:dyDescent="0.25">
      <c r="A416">
        <v>21618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1815</v>
      </c>
      <c r="O416">
        <v>67.98</v>
      </c>
      <c r="P416" t="s">
        <v>2927</v>
      </c>
      <c r="Q416">
        <v>2908.45</v>
      </c>
      <c r="R416" t="s">
        <v>2928</v>
      </c>
      <c r="S416" t="s">
        <v>2929</v>
      </c>
    </row>
    <row r="417" spans="1:19" x14ac:dyDescent="0.25">
      <c r="A417">
        <v>21620</v>
      </c>
      <c r="B417">
        <v>175623.75</v>
      </c>
      <c r="C417">
        <v>918.58</v>
      </c>
      <c r="D417" t="s">
        <v>4421</v>
      </c>
      <c r="E417">
        <v>31803.25</v>
      </c>
      <c r="F417" t="s">
        <v>4422</v>
      </c>
      <c r="G417" t="s">
        <v>4423</v>
      </c>
      <c r="H417">
        <v>227789.19</v>
      </c>
      <c r="I417">
        <v>1514.34</v>
      </c>
      <c r="J417" t="s">
        <v>4424</v>
      </c>
      <c r="K417">
        <v>51296.91</v>
      </c>
      <c r="L417" t="s">
        <v>4425</v>
      </c>
      <c r="M417" t="s">
        <v>4426</v>
      </c>
      <c r="N417">
        <v>382692.77</v>
      </c>
      <c r="O417">
        <v>2406.5700000000002</v>
      </c>
      <c r="P417" t="s">
        <v>4427</v>
      </c>
      <c r="Q417">
        <v>87850.18</v>
      </c>
      <c r="R417" t="s">
        <v>4428</v>
      </c>
      <c r="S417" t="s">
        <v>4429</v>
      </c>
    </row>
    <row r="418" spans="1:19" x14ac:dyDescent="0.25">
      <c r="A418">
        <v>21621</v>
      </c>
      <c r="B418">
        <v>253767.24</v>
      </c>
      <c r="C418">
        <v>1809.72</v>
      </c>
      <c r="D418" t="s">
        <v>4430</v>
      </c>
      <c r="E418">
        <v>74090.679999999993</v>
      </c>
      <c r="F418" t="s">
        <v>4431</v>
      </c>
      <c r="G418" t="s">
        <v>4432</v>
      </c>
      <c r="H418">
        <v>541002.49</v>
      </c>
      <c r="I418">
        <v>4837.34</v>
      </c>
      <c r="J418" t="s">
        <v>4433</v>
      </c>
      <c r="K418">
        <v>194711.75</v>
      </c>
      <c r="L418" t="s">
        <v>4434</v>
      </c>
      <c r="M418" t="s">
        <v>4435</v>
      </c>
      <c r="N418">
        <v>2241299.86</v>
      </c>
      <c r="O418">
        <v>17583.419999999998</v>
      </c>
      <c r="P418" t="s">
        <v>4436</v>
      </c>
      <c r="Q418">
        <v>729983.01</v>
      </c>
      <c r="R418" t="s">
        <v>4437</v>
      </c>
      <c r="S418" t="s">
        <v>4438</v>
      </c>
    </row>
    <row r="419" spans="1:19" x14ac:dyDescent="0.25">
      <c r="A419">
        <v>21622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3840.7</v>
      </c>
      <c r="I419">
        <v>117.65</v>
      </c>
      <c r="J419" t="s">
        <v>2970</v>
      </c>
      <c r="K419">
        <v>5726.09</v>
      </c>
      <c r="L419" t="s">
        <v>2930</v>
      </c>
      <c r="M419">
        <v>1.4908974926445699</v>
      </c>
      <c r="N419">
        <v>69136.789999999994</v>
      </c>
      <c r="O419">
        <v>797.72</v>
      </c>
      <c r="P419" t="s">
        <v>2971</v>
      </c>
      <c r="Q419">
        <v>35718.86</v>
      </c>
      <c r="R419" t="s">
        <v>2931</v>
      </c>
      <c r="S419" t="s">
        <v>2972</v>
      </c>
    </row>
    <row r="420" spans="1:19" x14ac:dyDescent="0.25">
      <c r="A420">
        <v>21623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2656</v>
      </c>
      <c r="O420">
        <v>7.3</v>
      </c>
      <c r="P420" t="s">
        <v>2932</v>
      </c>
      <c r="Q420">
        <v>994.13</v>
      </c>
      <c r="R420" t="s">
        <v>2933</v>
      </c>
      <c r="S420" t="s">
        <v>2934</v>
      </c>
    </row>
    <row r="421" spans="1:19" x14ac:dyDescent="0.25">
      <c r="A421">
        <v>21624</v>
      </c>
      <c r="B421">
        <v>53952.3</v>
      </c>
      <c r="C421">
        <v>366.71</v>
      </c>
      <c r="D421" t="s">
        <v>4439</v>
      </c>
      <c r="E421">
        <v>13438.17</v>
      </c>
      <c r="F421" t="s">
        <v>4440</v>
      </c>
      <c r="G421" t="s">
        <v>4441</v>
      </c>
      <c r="H421">
        <v>152235.92000000001</v>
      </c>
      <c r="I421">
        <v>1097.69</v>
      </c>
      <c r="J421" t="s">
        <v>4442</v>
      </c>
      <c r="K421">
        <v>40639.67</v>
      </c>
      <c r="L421" t="s">
        <v>4443</v>
      </c>
      <c r="M421" t="s">
        <v>4444</v>
      </c>
      <c r="N421">
        <v>515817.95</v>
      </c>
      <c r="O421">
        <v>3879.77</v>
      </c>
      <c r="P421" t="s">
        <v>4445</v>
      </c>
      <c r="Q421">
        <v>150930.10999999999</v>
      </c>
      <c r="R421">
        <v>38.9018189222557</v>
      </c>
      <c r="S421" t="s">
        <v>4446</v>
      </c>
    </row>
    <row r="422" spans="1:19" x14ac:dyDescent="0.25">
      <c r="A422">
        <v>21628</v>
      </c>
      <c r="B422">
        <v>-494.38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-3012.32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-3158.65</v>
      </c>
      <c r="O422">
        <v>61.18</v>
      </c>
      <c r="P422">
        <v>-51.628800261523303</v>
      </c>
      <c r="Q422">
        <v>1554.82</v>
      </c>
      <c r="R422" t="s">
        <v>2935</v>
      </c>
      <c r="S422">
        <v>-0.49224193880296901</v>
      </c>
    </row>
    <row r="423" spans="1:19" x14ac:dyDescent="0.25">
      <c r="A423">
        <v>21630</v>
      </c>
      <c r="B423">
        <v>6734.4</v>
      </c>
      <c r="C423">
        <v>92.7</v>
      </c>
      <c r="D423" t="s">
        <v>4447</v>
      </c>
      <c r="E423">
        <v>3338.69</v>
      </c>
      <c r="F423" t="s">
        <v>4448</v>
      </c>
      <c r="G423" t="s">
        <v>4449</v>
      </c>
      <c r="H423">
        <v>10645.15</v>
      </c>
      <c r="I423">
        <v>198.29</v>
      </c>
      <c r="J423" t="s">
        <v>4450</v>
      </c>
      <c r="K423">
        <v>6605.73</v>
      </c>
      <c r="L423" t="s">
        <v>4451</v>
      </c>
      <c r="M423" t="s">
        <v>4452</v>
      </c>
      <c r="N423">
        <v>14340.15</v>
      </c>
      <c r="O423">
        <v>222.27</v>
      </c>
      <c r="P423" t="s">
        <v>4453</v>
      </c>
      <c r="Q423">
        <v>7556.54</v>
      </c>
      <c r="R423">
        <v>33.997120619066898</v>
      </c>
      <c r="S423" t="s">
        <v>4454</v>
      </c>
    </row>
    <row r="424" spans="1:19" x14ac:dyDescent="0.25">
      <c r="A424">
        <v>21635</v>
      </c>
      <c r="B424">
        <v>556.64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556.64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3431.64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25">
      <c r="A425">
        <v>21638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-118.94</v>
      </c>
      <c r="I425">
        <v>77.180000000000007</v>
      </c>
      <c r="J425">
        <v>-1.5410728167919101</v>
      </c>
      <c r="K425">
        <v>2128.12</v>
      </c>
      <c r="L425" t="s">
        <v>2936</v>
      </c>
      <c r="M425">
        <v>-17.892382713973401</v>
      </c>
      <c r="N425">
        <v>-3613.7</v>
      </c>
      <c r="O425">
        <v>263.95999999999998</v>
      </c>
      <c r="P425">
        <v>-13.6903318684649</v>
      </c>
      <c r="Q425">
        <v>7183.14</v>
      </c>
      <c r="R425" t="s">
        <v>2937</v>
      </c>
      <c r="S425">
        <v>-1.98775216537067</v>
      </c>
    </row>
    <row r="426" spans="1:19" x14ac:dyDescent="0.25">
      <c r="A426">
        <v>21641</v>
      </c>
      <c r="B426">
        <v>17402.96</v>
      </c>
      <c r="C426">
        <v>48.66</v>
      </c>
      <c r="D426" t="s">
        <v>4455</v>
      </c>
      <c r="E426">
        <v>2698.37</v>
      </c>
      <c r="F426" t="s">
        <v>4456</v>
      </c>
      <c r="G426" t="s">
        <v>4457</v>
      </c>
      <c r="H426">
        <v>41897.61</v>
      </c>
      <c r="I426">
        <v>313.14999999999998</v>
      </c>
      <c r="J426" t="s">
        <v>4458</v>
      </c>
      <c r="K426">
        <v>12230.02</v>
      </c>
      <c r="L426" t="s">
        <v>4459</v>
      </c>
      <c r="M426" t="s">
        <v>4460</v>
      </c>
      <c r="N426">
        <v>213654.23</v>
      </c>
      <c r="O426">
        <v>1154.6099999999999</v>
      </c>
      <c r="P426" t="s">
        <v>4461</v>
      </c>
      <c r="Q426">
        <v>44198.11</v>
      </c>
      <c r="R426" t="s">
        <v>4462</v>
      </c>
      <c r="S426" t="s">
        <v>4463</v>
      </c>
    </row>
    <row r="427" spans="1:19" x14ac:dyDescent="0.25">
      <c r="A427">
        <v>21642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684.15</v>
      </c>
      <c r="O427">
        <v>13.31</v>
      </c>
      <c r="P427" t="s">
        <v>2938</v>
      </c>
      <c r="Q427">
        <v>332.75</v>
      </c>
      <c r="R427">
        <v>25</v>
      </c>
      <c r="S427" t="s">
        <v>2939</v>
      </c>
    </row>
    <row r="428" spans="1:19" x14ac:dyDescent="0.25">
      <c r="A428">
        <v>21643</v>
      </c>
      <c r="B428">
        <v>-252.66</v>
      </c>
      <c r="C428">
        <v>55.35</v>
      </c>
      <c r="D428">
        <v>-4.5647696476964699</v>
      </c>
      <c r="E428">
        <v>2218.46</v>
      </c>
      <c r="F428" t="s">
        <v>4464</v>
      </c>
      <c r="G428">
        <v>-8.7804163698250601</v>
      </c>
      <c r="H428">
        <v>-146.65</v>
      </c>
      <c r="I428">
        <v>70.930000000000007</v>
      </c>
      <c r="J428">
        <v>-2.0675313689552999</v>
      </c>
      <c r="K428">
        <v>2992.93</v>
      </c>
      <c r="L428" t="s">
        <v>4465</v>
      </c>
      <c r="M428">
        <v>-20.408660075008498</v>
      </c>
      <c r="N428">
        <v>106363.65</v>
      </c>
      <c r="O428">
        <v>802.55</v>
      </c>
      <c r="P428" t="s">
        <v>4466</v>
      </c>
      <c r="Q428">
        <v>29392.799999999999</v>
      </c>
      <c r="R428" t="s">
        <v>4467</v>
      </c>
      <c r="S428" t="s">
        <v>4468</v>
      </c>
    </row>
    <row r="429" spans="1:19" x14ac:dyDescent="0.25">
      <c r="A429">
        <v>21648</v>
      </c>
      <c r="B429">
        <v>1044.43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24320.61</v>
      </c>
      <c r="I429">
        <v>155.01</v>
      </c>
      <c r="J429" t="s">
        <v>4469</v>
      </c>
      <c r="K429">
        <v>5276.92</v>
      </c>
      <c r="L429" t="s">
        <v>2940</v>
      </c>
      <c r="M429" t="s">
        <v>4470</v>
      </c>
      <c r="N429">
        <v>121569.83</v>
      </c>
      <c r="O429">
        <v>744.48</v>
      </c>
      <c r="P429" t="s">
        <v>4471</v>
      </c>
      <c r="Q429">
        <v>26556.43</v>
      </c>
      <c r="R429" t="s">
        <v>2941</v>
      </c>
      <c r="S429" t="s">
        <v>4472</v>
      </c>
    </row>
    <row r="430" spans="1:19" x14ac:dyDescent="0.25">
      <c r="A430">
        <v>21651</v>
      </c>
      <c r="B430">
        <v>16278.69</v>
      </c>
      <c r="C430">
        <v>141.91999999999999</v>
      </c>
      <c r="D430" t="s">
        <v>4473</v>
      </c>
      <c r="E430">
        <v>4861.38</v>
      </c>
      <c r="F430" t="s">
        <v>4474</v>
      </c>
      <c r="G430" t="s">
        <v>4475</v>
      </c>
      <c r="H430">
        <v>39782.199999999997</v>
      </c>
      <c r="I430">
        <v>595.57000000000005</v>
      </c>
      <c r="J430">
        <v>66.796850076397405</v>
      </c>
      <c r="K430">
        <v>18906.28</v>
      </c>
      <c r="L430" t="s">
        <v>4476</v>
      </c>
      <c r="M430" t="s">
        <v>4477</v>
      </c>
      <c r="N430">
        <v>151705.31</v>
      </c>
      <c r="O430">
        <v>1780.77</v>
      </c>
      <c r="P430" t="s">
        <v>4478</v>
      </c>
      <c r="Q430">
        <v>57808.54</v>
      </c>
      <c r="R430" t="s">
        <v>4479</v>
      </c>
      <c r="S430" t="s">
        <v>4480</v>
      </c>
    </row>
    <row r="431" spans="1:19" x14ac:dyDescent="0.25">
      <c r="A431">
        <v>21654</v>
      </c>
      <c r="B431">
        <v>21400.26</v>
      </c>
      <c r="C431">
        <v>193.87</v>
      </c>
      <c r="D431" t="s">
        <v>4481</v>
      </c>
      <c r="E431">
        <v>7882.71</v>
      </c>
      <c r="F431" t="s">
        <v>4482</v>
      </c>
      <c r="G431" t="s">
        <v>4483</v>
      </c>
      <c r="H431">
        <v>50613.919999999998</v>
      </c>
      <c r="I431">
        <v>612.20000000000005</v>
      </c>
      <c r="J431" t="s">
        <v>4484</v>
      </c>
      <c r="K431">
        <v>25845.31</v>
      </c>
      <c r="L431" t="s">
        <v>4485</v>
      </c>
      <c r="M431" t="s">
        <v>4486</v>
      </c>
      <c r="N431">
        <v>374379.83</v>
      </c>
      <c r="O431">
        <v>1485.57</v>
      </c>
      <c r="P431" t="s">
        <v>4487</v>
      </c>
      <c r="Q431">
        <v>61761.72</v>
      </c>
      <c r="R431" t="s">
        <v>4488</v>
      </c>
      <c r="S431" t="s">
        <v>4489</v>
      </c>
    </row>
    <row r="432" spans="1:19" x14ac:dyDescent="0.25">
      <c r="A432">
        <v>21655</v>
      </c>
      <c r="B432">
        <v>2049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2938.96</v>
      </c>
      <c r="I432">
        <v>8.7100000000000009</v>
      </c>
      <c r="J432" t="s">
        <v>4490</v>
      </c>
      <c r="K432">
        <v>411.83</v>
      </c>
      <c r="L432" t="s">
        <v>2942</v>
      </c>
      <c r="M432" t="s">
        <v>4491</v>
      </c>
      <c r="N432">
        <v>52586.44</v>
      </c>
      <c r="O432">
        <v>698.63</v>
      </c>
      <c r="P432" t="s">
        <v>4492</v>
      </c>
      <c r="Q432">
        <v>27919.08</v>
      </c>
      <c r="R432" t="s">
        <v>2943</v>
      </c>
      <c r="S432" t="s">
        <v>4493</v>
      </c>
    </row>
    <row r="433" spans="1:19" x14ac:dyDescent="0.25">
      <c r="A433">
        <v>21666</v>
      </c>
      <c r="B433">
        <v>267446.56</v>
      </c>
      <c r="C433">
        <v>2047.72</v>
      </c>
      <c r="D433" t="s">
        <v>4494</v>
      </c>
      <c r="E433">
        <v>69359.53</v>
      </c>
      <c r="F433" t="s">
        <v>4495</v>
      </c>
      <c r="G433" t="s">
        <v>4496</v>
      </c>
      <c r="H433">
        <v>706940.65</v>
      </c>
      <c r="I433">
        <v>6028.35</v>
      </c>
      <c r="J433" t="s">
        <v>4497</v>
      </c>
      <c r="K433">
        <v>201334.28</v>
      </c>
      <c r="L433" t="s">
        <v>4498</v>
      </c>
      <c r="M433" t="s">
        <v>4499</v>
      </c>
      <c r="N433">
        <v>1814683.06</v>
      </c>
      <c r="O433">
        <v>17128.32</v>
      </c>
      <c r="P433" t="s">
        <v>4500</v>
      </c>
      <c r="Q433">
        <v>544563.94999999995</v>
      </c>
      <c r="R433" t="s">
        <v>4501</v>
      </c>
      <c r="S433" t="s">
        <v>4502</v>
      </c>
    </row>
    <row r="434" spans="1:19" x14ac:dyDescent="0.25">
      <c r="A434">
        <v>21668</v>
      </c>
      <c r="B434">
        <v>320133.73</v>
      </c>
      <c r="C434">
        <v>1907.33</v>
      </c>
      <c r="D434" t="s">
        <v>4503</v>
      </c>
      <c r="E434">
        <v>69478.17</v>
      </c>
      <c r="F434" t="s">
        <v>4504</v>
      </c>
      <c r="G434" t="s">
        <v>4505</v>
      </c>
      <c r="H434">
        <v>449922.07</v>
      </c>
      <c r="I434">
        <v>4753.33</v>
      </c>
      <c r="J434" t="s">
        <v>4506</v>
      </c>
      <c r="K434">
        <v>173887.04</v>
      </c>
      <c r="L434" t="s">
        <v>4507</v>
      </c>
      <c r="M434" t="s">
        <v>4508</v>
      </c>
      <c r="N434">
        <v>1658831.93</v>
      </c>
      <c r="O434">
        <v>12753.72</v>
      </c>
      <c r="P434" t="s">
        <v>4509</v>
      </c>
      <c r="Q434">
        <v>405704.18</v>
      </c>
      <c r="R434" t="s">
        <v>4510</v>
      </c>
      <c r="S434" t="s">
        <v>4511</v>
      </c>
    </row>
    <row r="435" spans="1:19" x14ac:dyDescent="0.25">
      <c r="A435">
        <v>21670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666.75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5">
      <c r="A436">
        <v>21672</v>
      </c>
      <c r="B436">
        <v>24594</v>
      </c>
      <c r="C436">
        <v>196.3</v>
      </c>
      <c r="D436" t="s">
        <v>4512</v>
      </c>
      <c r="E436">
        <v>6933.52</v>
      </c>
      <c r="F436" t="s">
        <v>4513</v>
      </c>
      <c r="G436" t="s">
        <v>4514</v>
      </c>
      <c r="H436">
        <v>9408.34</v>
      </c>
      <c r="I436">
        <v>511.18</v>
      </c>
      <c r="J436" t="s">
        <v>4515</v>
      </c>
      <c r="K436">
        <v>17593.59</v>
      </c>
      <c r="L436" t="s">
        <v>4516</v>
      </c>
      <c r="M436" t="s">
        <v>4517</v>
      </c>
      <c r="N436">
        <v>37463.160000000003</v>
      </c>
      <c r="O436">
        <v>1558.6</v>
      </c>
      <c r="P436" t="s">
        <v>4518</v>
      </c>
      <c r="Q436">
        <v>46659.93</v>
      </c>
      <c r="R436" t="s">
        <v>4519</v>
      </c>
      <c r="S436" t="s">
        <v>4520</v>
      </c>
    </row>
    <row r="437" spans="1:19" x14ac:dyDescent="0.25">
      <c r="A437">
        <v>21674</v>
      </c>
      <c r="B437">
        <v>8501.2900000000009</v>
      </c>
      <c r="C437">
        <v>11.6</v>
      </c>
      <c r="D437">
        <v>732.86982758620695</v>
      </c>
      <c r="E437">
        <v>394.4</v>
      </c>
      <c r="F437">
        <v>34</v>
      </c>
      <c r="G437">
        <v>4.6392959186194002E-2</v>
      </c>
      <c r="H437">
        <v>71063.13</v>
      </c>
      <c r="I437">
        <v>11.6</v>
      </c>
      <c r="J437" t="s">
        <v>4521</v>
      </c>
      <c r="K437">
        <v>394.4</v>
      </c>
      <c r="L437">
        <v>34</v>
      </c>
      <c r="M437">
        <v>5.5499947722539101E-3</v>
      </c>
      <c r="N437">
        <v>83267.13</v>
      </c>
      <c r="O437">
        <v>11.62</v>
      </c>
      <c r="P437">
        <v>7165.8459552495697</v>
      </c>
      <c r="Q437">
        <v>395.27</v>
      </c>
      <c r="R437" t="s">
        <v>4522</v>
      </c>
      <c r="S437">
        <v>4.7470112155901098E-3</v>
      </c>
    </row>
    <row r="438" spans="1:19" x14ac:dyDescent="0.25">
      <c r="A438">
        <v>21677</v>
      </c>
      <c r="B438">
        <v>1989.84</v>
      </c>
      <c r="C438">
        <v>177.15</v>
      </c>
      <c r="D438" t="s">
        <v>4523</v>
      </c>
      <c r="E438">
        <v>5686.96</v>
      </c>
      <c r="F438" t="s">
        <v>4524</v>
      </c>
      <c r="G438" t="s">
        <v>4525</v>
      </c>
      <c r="H438">
        <v>15926.66</v>
      </c>
      <c r="I438">
        <v>429.01</v>
      </c>
      <c r="J438" t="s">
        <v>4526</v>
      </c>
      <c r="K438">
        <v>13294.92</v>
      </c>
      <c r="L438" t="s">
        <v>4527</v>
      </c>
      <c r="M438" t="s">
        <v>4528</v>
      </c>
      <c r="N438">
        <v>191351.57</v>
      </c>
      <c r="O438">
        <v>2030.88</v>
      </c>
      <c r="P438" t="s">
        <v>4529</v>
      </c>
      <c r="Q438">
        <v>58570.53</v>
      </c>
      <c r="R438" t="s">
        <v>4530</v>
      </c>
      <c r="S438">
        <v>0.30608857821234497</v>
      </c>
    </row>
    <row r="439" spans="1:19" x14ac:dyDescent="0.25">
      <c r="A439">
        <v>21686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-2012</v>
      </c>
      <c r="O439">
        <v>60.66</v>
      </c>
      <c r="P439">
        <v>-33.168480052752997</v>
      </c>
      <c r="Q439">
        <v>2243.0700000000002</v>
      </c>
      <c r="R439" t="s">
        <v>2944</v>
      </c>
      <c r="S439">
        <v>-1.11484592445328</v>
      </c>
    </row>
    <row r="440" spans="1:19" x14ac:dyDescent="0.25">
      <c r="A440">
        <v>21687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1823.56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1823.56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5">
      <c r="A441">
        <v>21699</v>
      </c>
      <c r="B441">
        <v>-257318.32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74</v>
      </c>
      <c r="J441">
        <v>0</v>
      </c>
      <c r="K441">
        <v>1906.82</v>
      </c>
      <c r="L441" t="s">
        <v>4531</v>
      </c>
      <c r="M441">
        <v>0</v>
      </c>
      <c r="N441">
        <v>0</v>
      </c>
      <c r="O441">
        <v>1350.04</v>
      </c>
      <c r="P441">
        <v>0</v>
      </c>
      <c r="Q441">
        <v>37365.480000000003</v>
      </c>
      <c r="R441" t="s">
        <v>4532</v>
      </c>
      <c r="S441">
        <v>0</v>
      </c>
    </row>
    <row r="442" spans="1:19" x14ac:dyDescent="0.25">
      <c r="A442">
        <v>21703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131718.96</v>
      </c>
      <c r="O442">
        <v>49.12</v>
      </c>
      <c r="P442" t="s">
        <v>4533</v>
      </c>
      <c r="Q442">
        <v>1487.44</v>
      </c>
      <c r="R442" t="s">
        <v>4534</v>
      </c>
      <c r="S442">
        <v>1.1292527666480199E-2</v>
      </c>
    </row>
    <row r="443" spans="1:19" x14ac:dyDescent="0.25">
      <c r="A443">
        <v>21707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45199.39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25">
      <c r="A444">
        <v>21708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692566.62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1553162.14</v>
      </c>
      <c r="O444">
        <v>19.809999999999999</v>
      </c>
      <c r="P444" t="s">
        <v>4535</v>
      </c>
      <c r="Q444">
        <v>881.13</v>
      </c>
      <c r="R444" t="s">
        <v>4536</v>
      </c>
      <c r="S444">
        <v>5.6731359676331005E-4</v>
      </c>
    </row>
    <row r="445" spans="1:19" x14ac:dyDescent="0.25">
      <c r="A445">
        <v>21709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2447188.88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3186732.62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25">
      <c r="A446">
        <v>21716</v>
      </c>
      <c r="B446">
        <v>11772.91</v>
      </c>
      <c r="C446">
        <v>375.42</v>
      </c>
      <c r="D446" t="s">
        <v>4537</v>
      </c>
      <c r="E446">
        <v>10530.7</v>
      </c>
      <c r="F446" t="s">
        <v>4538</v>
      </c>
      <c r="G446" t="s">
        <v>4539</v>
      </c>
      <c r="H446">
        <v>37032.54</v>
      </c>
      <c r="I446">
        <v>901.43</v>
      </c>
      <c r="J446" t="s">
        <v>4540</v>
      </c>
      <c r="K446">
        <v>26103.56</v>
      </c>
      <c r="L446" t="s">
        <v>4541</v>
      </c>
      <c r="M446">
        <v>0.70488170673683204</v>
      </c>
      <c r="N446">
        <v>202724.4</v>
      </c>
      <c r="O446">
        <v>2852.19</v>
      </c>
      <c r="P446" t="s">
        <v>4542</v>
      </c>
      <c r="Q446">
        <v>82418.210000000006</v>
      </c>
      <c r="R446" t="s">
        <v>4543</v>
      </c>
      <c r="S446" t="s">
        <v>4544</v>
      </c>
    </row>
    <row r="447" spans="1:19" x14ac:dyDescent="0.25">
      <c r="A447">
        <v>21718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-202.94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551.54999999999995</v>
      </c>
      <c r="O447">
        <v>64.22</v>
      </c>
      <c r="P447" t="s">
        <v>4545</v>
      </c>
      <c r="Q447">
        <v>2094.27</v>
      </c>
      <c r="R447" t="s">
        <v>4546</v>
      </c>
      <c r="S447" t="s">
        <v>4547</v>
      </c>
    </row>
    <row r="448" spans="1:19" x14ac:dyDescent="0.25">
      <c r="A448">
        <v>21719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240.72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25">
      <c r="A449">
        <v>21721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287517.74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463441.02</v>
      </c>
      <c r="O449">
        <v>915.66</v>
      </c>
      <c r="P449" t="s">
        <v>4548</v>
      </c>
      <c r="Q449">
        <v>30335.01</v>
      </c>
      <c r="R449" t="s">
        <v>4549</v>
      </c>
      <c r="S449">
        <v>6.5456031492421601E-2</v>
      </c>
    </row>
    <row r="450" spans="1:19" x14ac:dyDescent="0.25">
      <c r="A450">
        <v>21722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1144.6500000000001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1144.6500000000001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5">
      <c r="A451">
        <v>21723</v>
      </c>
      <c r="B451">
        <v>1052.29</v>
      </c>
      <c r="C451">
        <v>6.05</v>
      </c>
      <c r="D451" t="s">
        <v>4550</v>
      </c>
      <c r="E451">
        <v>0</v>
      </c>
      <c r="F451">
        <v>0</v>
      </c>
      <c r="G451">
        <v>0</v>
      </c>
      <c r="H451">
        <v>7437.82</v>
      </c>
      <c r="I451">
        <v>66.08</v>
      </c>
      <c r="J451" t="s">
        <v>4551</v>
      </c>
      <c r="K451">
        <v>1457.8</v>
      </c>
      <c r="L451" t="s">
        <v>4552</v>
      </c>
      <c r="M451" t="s">
        <v>4553</v>
      </c>
      <c r="N451">
        <v>7265.72</v>
      </c>
      <c r="O451">
        <v>242.49</v>
      </c>
      <c r="P451" t="s">
        <v>4554</v>
      </c>
      <c r="Q451">
        <v>6324.37</v>
      </c>
      <c r="R451" t="s">
        <v>4555</v>
      </c>
      <c r="S451" t="s">
        <v>4556</v>
      </c>
    </row>
    <row r="452" spans="1:19" x14ac:dyDescent="0.25">
      <c r="A452">
        <v>21724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327.36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25">
      <c r="A453">
        <v>21725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5115.71</v>
      </c>
      <c r="I453">
        <v>29.79</v>
      </c>
      <c r="J453" t="s">
        <v>4557</v>
      </c>
      <c r="K453">
        <v>1097.5999999999999</v>
      </c>
      <c r="L453">
        <v>36.844578717690503</v>
      </c>
      <c r="M453" t="s">
        <v>4558</v>
      </c>
      <c r="N453">
        <v>17574.080000000002</v>
      </c>
      <c r="O453">
        <v>95.76</v>
      </c>
      <c r="P453" t="s">
        <v>4559</v>
      </c>
      <c r="Q453">
        <v>3775.23</v>
      </c>
      <c r="R453" t="s">
        <v>4560</v>
      </c>
      <c r="S453" t="s">
        <v>4561</v>
      </c>
    </row>
    <row r="454" spans="1:19" x14ac:dyDescent="0.25">
      <c r="A454">
        <v>21726</v>
      </c>
      <c r="B454">
        <v>3216.88</v>
      </c>
      <c r="C454">
        <v>57.37</v>
      </c>
      <c r="D454" t="s">
        <v>4562</v>
      </c>
      <c r="E454">
        <v>3097.12</v>
      </c>
      <c r="F454" t="s">
        <v>4563</v>
      </c>
      <c r="G454" t="s">
        <v>4564</v>
      </c>
      <c r="H454">
        <v>62451.17</v>
      </c>
      <c r="I454">
        <v>670.17</v>
      </c>
      <c r="J454" t="s">
        <v>4565</v>
      </c>
      <c r="K454">
        <v>20465.150000000001</v>
      </c>
      <c r="L454" t="s">
        <v>4566</v>
      </c>
      <c r="M454" t="s">
        <v>4567</v>
      </c>
      <c r="N454">
        <v>167410.81</v>
      </c>
      <c r="O454">
        <v>1015.28</v>
      </c>
      <c r="P454" t="s">
        <v>4568</v>
      </c>
      <c r="Q454">
        <v>32288.33</v>
      </c>
      <c r="R454" t="s">
        <v>4569</v>
      </c>
      <c r="S454" t="s">
        <v>4570</v>
      </c>
    </row>
    <row r="455" spans="1:19" x14ac:dyDescent="0.25">
      <c r="A455">
        <v>21731</v>
      </c>
      <c r="B455">
        <v>0</v>
      </c>
      <c r="C455">
        <v>5.33</v>
      </c>
      <c r="D455">
        <v>0</v>
      </c>
      <c r="E455">
        <v>174.71</v>
      </c>
      <c r="F455" t="s">
        <v>4571</v>
      </c>
      <c r="G455">
        <v>0</v>
      </c>
      <c r="H455">
        <v>-65.66</v>
      </c>
      <c r="I455">
        <v>9.5299999999999994</v>
      </c>
      <c r="J455">
        <v>-6.8898216159496304</v>
      </c>
      <c r="K455">
        <v>317.12</v>
      </c>
      <c r="L455" t="s">
        <v>4572</v>
      </c>
      <c r="M455">
        <v>-4.8297289064879596</v>
      </c>
      <c r="N455">
        <v>2877.9</v>
      </c>
      <c r="O455">
        <v>173.02</v>
      </c>
      <c r="P455" t="s">
        <v>4573</v>
      </c>
      <c r="Q455">
        <v>5061</v>
      </c>
      <c r="R455" t="s">
        <v>4574</v>
      </c>
      <c r="S455" t="s">
        <v>4575</v>
      </c>
    </row>
    <row r="456" spans="1:19" x14ac:dyDescent="0.25">
      <c r="A456">
        <v>21732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1664.66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-2640.85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5">
      <c r="A457">
        <v>21733</v>
      </c>
      <c r="B457">
        <v>215776.5</v>
      </c>
      <c r="C457">
        <v>4962.88</v>
      </c>
      <c r="D457" t="s">
        <v>4576</v>
      </c>
      <c r="E457">
        <v>155914.71</v>
      </c>
      <c r="F457" t="s">
        <v>4577</v>
      </c>
      <c r="G457" t="s">
        <v>4578</v>
      </c>
      <c r="H457">
        <v>626554.59</v>
      </c>
      <c r="I457">
        <v>13337.44</v>
      </c>
      <c r="J457" t="s">
        <v>4579</v>
      </c>
      <c r="K457">
        <v>418982.34</v>
      </c>
      <c r="L457" t="s">
        <v>4580</v>
      </c>
      <c r="M457" t="s">
        <v>4581</v>
      </c>
      <c r="N457">
        <v>2548640.08</v>
      </c>
      <c r="O457">
        <v>47830.16</v>
      </c>
      <c r="P457" t="s">
        <v>4582</v>
      </c>
      <c r="Q457">
        <v>1494385.25</v>
      </c>
      <c r="R457" t="s">
        <v>4583</v>
      </c>
      <c r="S457" t="s">
        <v>4584</v>
      </c>
    </row>
    <row r="458" spans="1:19" x14ac:dyDescent="0.25">
      <c r="A458">
        <v>21735</v>
      </c>
      <c r="B458">
        <v>79794.789999999994</v>
      </c>
      <c r="C458">
        <v>1861.98</v>
      </c>
      <c r="D458" t="s">
        <v>4585</v>
      </c>
      <c r="E458">
        <v>57255.32</v>
      </c>
      <c r="F458" t="s">
        <v>4586</v>
      </c>
      <c r="G458" t="s">
        <v>4587</v>
      </c>
      <c r="H458">
        <v>197590.5</v>
      </c>
      <c r="I458">
        <v>5675.55</v>
      </c>
      <c r="J458" t="s">
        <v>4588</v>
      </c>
      <c r="K458">
        <v>176313.22</v>
      </c>
      <c r="L458" t="s">
        <v>4589</v>
      </c>
      <c r="M458" t="s">
        <v>4590</v>
      </c>
      <c r="N458">
        <v>671017.5</v>
      </c>
      <c r="O458">
        <v>19272.61</v>
      </c>
      <c r="P458" t="s">
        <v>4591</v>
      </c>
      <c r="Q458">
        <v>561886.99</v>
      </c>
      <c r="R458" t="s">
        <v>4592</v>
      </c>
      <c r="S458" t="s">
        <v>4593</v>
      </c>
    </row>
    <row r="459" spans="1:19" x14ac:dyDescent="0.25">
      <c r="A459">
        <v>21736</v>
      </c>
      <c r="B459">
        <v>3763.28</v>
      </c>
      <c r="C459">
        <v>254.6</v>
      </c>
      <c r="D459" t="s">
        <v>4594</v>
      </c>
      <c r="E459">
        <v>10055.67</v>
      </c>
      <c r="F459" t="s">
        <v>4595</v>
      </c>
      <c r="G459" t="s">
        <v>4596</v>
      </c>
      <c r="H459">
        <v>53160.6</v>
      </c>
      <c r="I459">
        <v>1107.05</v>
      </c>
      <c r="J459" t="s">
        <v>4597</v>
      </c>
      <c r="K459">
        <v>39025.14</v>
      </c>
      <c r="L459" t="s">
        <v>4598</v>
      </c>
      <c r="M459" t="s">
        <v>4599</v>
      </c>
      <c r="N459">
        <v>141926.82</v>
      </c>
      <c r="O459">
        <v>4707.42</v>
      </c>
      <c r="P459" t="s">
        <v>4600</v>
      </c>
      <c r="Q459">
        <v>153028.49</v>
      </c>
      <c r="R459" t="s">
        <v>4601</v>
      </c>
      <c r="S459" t="s">
        <v>4602</v>
      </c>
    </row>
    <row r="460" spans="1:19" x14ac:dyDescent="0.25">
      <c r="A460">
        <v>21738</v>
      </c>
      <c r="B460">
        <v>-3.23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631.76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-13209.51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5">
      <c r="A461">
        <v>21739</v>
      </c>
      <c r="B461">
        <v>48211.85</v>
      </c>
      <c r="C461">
        <v>702.54</v>
      </c>
      <c r="D461">
        <v>68.625060494776093</v>
      </c>
      <c r="E461">
        <v>18997.87</v>
      </c>
      <c r="F461" t="s">
        <v>4603</v>
      </c>
      <c r="G461" t="s">
        <v>4604</v>
      </c>
      <c r="H461">
        <v>103006.56</v>
      </c>
      <c r="I461">
        <v>1964.47</v>
      </c>
      <c r="J461" t="s">
        <v>4605</v>
      </c>
      <c r="K461">
        <v>48787.08</v>
      </c>
      <c r="L461" t="s">
        <v>4606</v>
      </c>
      <c r="M461" t="s">
        <v>4607</v>
      </c>
      <c r="N461">
        <v>375301.4</v>
      </c>
      <c r="O461">
        <v>4598.0600000000004</v>
      </c>
      <c r="P461" t="s">
        <v>4608</v>
      </c>
      <c r="Q461">
        <v>113243.77</v>
      </c>
      <c r="R461" t="s">
        <v>4609</v>
      </c>
      <c r="S461" t="s">
        <v>4610</v>
      </c>
    </row>
    <row r="462" spans="1:19" x14ac:dyDescent="0.25">
      <c r="A462">
        <v>21740</v>
      </c>
      <c r="B462">
        <v>135.66999999999999</v>
      </c>
      <c r="C462">
        <v>1.87</v>
      </c>
      <c r="D462" t="s">
        <v>4611</v>
      </c>
      <c r="E462">
        <v>79.55</v>
      </c>
      <c r="F462" t="s">
        <v>4612</v>
      </c>
      <c r="G462" t="s">
        <v>4613</v>
      </c>
      <c r="H462">
        <v>135.66999999999999</v>
      </c>
      <c r="I462">
        <v>1.87</v>
      </c>
      <c r="J462" t="s">
        <v>4611</v>
      </c>
      <c r="K462">
        <v>79.55</v>
      </c>
      <c r="L462" t="s">
        <v>4612</v>
      </c>
      <c r="M462" t="s">
        <v>4613</v>
      </c>
      <c r="N462">
        <v>419.29</v>
      </c>
      <c r="O462">
        <v>1.87</v>
      </c>
      <c r="P462" t="s">
        <v>4614</v>
      </c>
      <c r="Q462">
        <v>79.55</v>
      </c>
      <c r="R462" t="s">
        <v>4612</v>
      </c>
      <c r="S462" t="s">
        <v>4615</v>
      </c>
    </row>
    <row r="463" spans="1:19" x14ac:dyDescent="0.25">
      <c r="A463">
        <v>21741</v>
      </c>
      <c r="B463">
        <v>149818.79</v>
      </c>
      <c r="C463">
        <v>2916.59</v>
      </c>
      <c r="D463" t="s">
        <v>4616</v>
      </c>
      <c r="E463">
        <v>82937.86</v>
      </c>
      <c r="F463" t="s">
        <v>4617</v>
      </c>
      <c r="G463" t="s">
        <v>4618</v>
      </c>
      <c r="H463">
        <v>437911.52</v>
      </c>
      <c r="I463">
        <v>7877.59</v>
      </c>
      <c r="J463" t="s">
        <v>4619</v>
      </c>
      <c r="K463">
        <v>231379.16</v>
      </c>
      <c r="L463" t="s">
        <v>4620</v>
      </c>
      <c r="M463" t="s">
        <v>4621</v>
      </c>
      <c r="N463">
        <v>1197976.94</v>
      </c>
      <c r="O463">
        <v>23080.400000000001</v>
      </c>
      <c r="P463" t="s">
        <v>4622</v>
      </c>
      <c r="Q463">
        <v>679070.38</v>
      </c>
      <c r="R463" t="s">
        <v>4623</v>
      </c>
      <c r="S463" t="s">
        <v>4624</v>
      </c>
    </row>
    <row r="464" spans="1:19" x14ac:dyDescent="0.25">
      <c r="A464">
        <v>21742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861.09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25">
      <c r="A465">
        <v>21754</v>
      </c>
      <c r="B465">
        <v>9309.25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9309.25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10209.450000000001</v>
      </c>
      <c r="O465">
        <v>4.47</v>
      </c>
      <c r="P465" t="s">
        <v>4625</v>
      </c>
      <c r="Q465">
        <v>136.91999999999999</v>
      </c>
      <c r="R465" t="s">
        <v>4626</v>
      </c>
      <c r="S465" t="s">
        <v>4627</v>
      </c>
    </row>
    <row r="466" spans="1:19" x14ac:dyDescent="0.25">
      <c r="A466">
        <v>21755</v>
      </c>
      <c r="B466">
        <v>-9993.5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385748.5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411212.6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25">
      <c r="A467">
        <v>21759</v>
      </c>
      <c r="B467">
        <v>-17092.71</v>
      </c>
      <c r="C467">
        <v>-10.47</v>
      </c>
      <c r="D467" t="s">
        <v>4628</v>
      </c>
      <c r="E467">
        <v>0</v>
      </c>
      <c r="F467">
        <v>0</v>
      </c>
      <c r="G467">
        <v>0</v>
      </c>
      <c r="H467">
        <v>13722.77</v>
      </c>
      <c r="I467">
        <v>287.83</v>
      </c>
      <c r="J467" t="s">
        <v>4629</v>
      </c>
      <c r="K467">
        <v>9754.77</v>
      </c>
      <c r="L467" t="s">
        <v>4630</v>
      </c>
      <c r="M467" t="s">
        <v>4631</v>
      </c>
      <c r="N467">
        <v>20910.419999999998</v>
      </c>
      <c r="O467">
        <v>550.36</v>
      </c>
      <c r="P467" t="s">
        <v>4632</v>
      </c>
      <c r="Q467">
        <v>19541.650000000001</v>
      </c>
      <c r="R467" t="s">
        <v>4633</v>
      </c>
      <c r="S467">
        <v>0.93454124785633197</v>
      </c>
    </row>
    <row r="468" spans="1:19" x14ac:dyDescent="0.25">
      <c r="A468">
        <v>21760</v>
      </c>
      <c r="B468">
        <v>-659.06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-659.06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5">
      <c r="A469">
        <v>21761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-159.69999999999999</v>
      </c>
      <c r="O469">
        <v>22.94</v>
      </c>
      <c r="P469">
        <v>-6.9616390584132501</v>
      </c>
      <c r="Q469">
        <v>676.18</v>
      </c>
      <c r="R469" t="s">
        <v>4634</v>
      </c>
      <c r="S469">
        <v>-4.23406386975579</v>
      </c>
    </row>
    <row r="470" spans="1:19" x14ac:dyDescent="0.25">
      <c r="A470">
        <v>21765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1023531.08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1023531.08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25">
      <c r="A471">
        <v>21769</v>
      </c>
      <c r="B471">
        <v>-148000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-148000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-146318.19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5">
      <c r="A472">
        <v>21771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-500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25">
      <c r="A473">
        <v>21780</v>
      </c>
      <c r="B473">
        <v>66094.52</v>
      </c>
      <c r="C473">
        <v>10.220000000000001</v>
      </c>
      <c r="D473" t="s">
        <v>4635</v>
      </c>
      <c r="E473">
        <v>284.19</v>
      </c>
      <c r="F473" t="s">
        <v>4636</v>
      </c>
      <c r="G473">
        <v>4.2997513258285196E-3</v>
      </c>
      <c r="H473">
        <v>45599.64</v>
      </c>
      <c r="I473">
        <v>48</v>
      </c>
      <c r="J473">
        <v>949.99249999999995</v>
      </c>
      <c r="K473">
        <v>1446.93</v>
      </c>
      <c r="L473">
        <v>30.144375</v>
      </c>
      <c r="M473">
        <v>3.1731171561880697E-2</v>
      </c>
      <c r="N473">
        <v>119104.47</v>
      </c>
      <c r="O473">
        <v>4498.66</v>
      </c>
      <c r="P473" t="s">
        <v>4637</v>
      </c>
      <c r="Q473">
        <v>122285.84</v>
      </c>
      <c r="R473" t="s">
        <v>4638</v>
      </c>
      <c r="S473" t="s">
        <v>4639</v>
      </c>
    </row>
    <row r="474" spans="1:19" x14ac:dyDescent="0.25">
      <c r="A474">
        <v>21784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-2866.3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-2866.3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25">
      <c r="A475">
        <v>21785</v>
      </c>
      <c r="B475">
        <v>534.62</v>
      </c>
      <c r="C475">
        <v>34.07</v>
      </c>
      <c r="D475" t="s">
        <v>4640</v>
      </c>
      <c r="E475">
        <v>1011.64</v>
      </c>
      <c r="F475" t="s">
        <v>4641</v>
      </c>
      <c r="G475" t="s">
        <v>4642</v>
      </c>
      <c r="H475">
        <v>10301.14</v>
      </c>
      <c r="I475">
        <v>304.75</v>
      </c>
      <c r="J475" t="s">
        <v>4643</v>
      </c>
      <c r="K475">
        <v>10080.26</v>
      </c>
      <c r="L475" t="s">
        <v>4644</v>
      </c>
      <c r="M475">
        <v>0.97855771302981998</v>
      </c>
      <c r="N475">
        <v>12257.87</v>
      </c>
      <c r="O475">
        <v>362.5</v>
      </c>
      <c r="P475" t="s">
        <v>4645</v>
      </c>
      <c r="Q475">
        <v>11840.04</v>
      </c>
      <c r="R475" t="s">
        <v>4646</v>
      </c>
      <c r="S475" t="s">
        <v>4647</v>
      </c>
    </row>
    <row r="476" spans="1:19" x14ac:dyDescent="0.25">
      <c r="A476">
        <v>21787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12271.44</v>
      </c>
      <c r="O476">
        <v>148.88999999999999</v>
      </c>
      <c r="P476" t="s">
        <v>4648</v>
      </c>
      <c r="Q476">
        <v>4308.01</v>
      </c>
      <c r="R476" t="s">
        <v>4649</v>
      </c>
      <c r="S476" t="s">
        <v>4650</v>
      </c>
    </row>
    <row r="477" spans="1:19" x14ac:dyDescent="0.25">
      <c r="A477">
        <v>21788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-592.04</v>
      </c>
      <c r="O477">
        <v>70.91</v>
      </c>
      <c r="P477">
        <v>-8.3491750105767792</v>
      </c>
      <c r="Q477">
        <v>2086.33</v>
      </c>
      <c r="R477" t="s">
        <v>4651</v>
      </c>
      <c r="S477">
        <v>-3.5239679751368098</v>
      </c>
    </row>
    <row r="478" spans="1:19" x14ac:dyDescent="0.25">
      <c r="A478">
        <v>21790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1653106.24</v>
      </c>
      <c r="O478">
        <v>38.35</v>
      </c>
      <c r="P478" t="s">
        <v>4652</v>
      </c>
      <c r="Q478">
        <v>1053.56</v>
      </c>
      <c r="R478" t="s">
        <v>4653</v>
      </c>
      <c r="S478">
        <v>6.3732141014723805E-4</v>
      </c>
    </row>
    <row r="479" spans="1:19" x14ac:dyDescent="0.25">
      <c r="A479">
        <v>21791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149.66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2090.3000000000002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5">
      <c r="A480">
        <v>21796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46405.04</v>
      </c>
      <c r="O480">
        <v>488.11</v>
      </c>
      <c r="P480" t="s">
        <v>4654</v>
      </c>
      <c r="Q480">
        <v>14493.01</v>
      </c>
      <c r="R480" t="s">
        <v>4655</v>
      </c>
      <c r="S480" t="s">
        <v>4656</v>
      </c>
    </row>
    <row r="481" spans="1:19" x14ac:dyDescent="0.25">
      <c r="A481">
        <v>21798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-4301.22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>
        <v>21801</v>
      </c>
      <c r="B482">
        <v>135217.35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135217.35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131149.67000000001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>
        <v>21807</v>
      </c>
      <c r="B483">
        <v>-178152.39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-178152.39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1074619.54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>
        <v>21809</v>
      </c>
      <c r="B484">
        <v>101964.03</v>
      </c>
      <c r="C484">
        <v>825.83</v>
      </c>
      <c r="D484" t="s">
        <v>4657</v>
      </c>
      <c r="E484">
        <v>24366.81</v>
      </c>
      <c r="F484" t="s">
        <v>4658</v>
      </c>
      <c r="G484" t="s">
        <v>4659</v>
      </c>
      <c r="H484">
        <v>312032.98</v>
      </c>
      <c r="I484">
        <v>2886.26</v>
      </c>
      <c r="J484" t="s">
        <v>4660</v>
      </c>
      <c r="K484">
        <v>87948.71</v>
      </c>
      <c r="L484" t="s">
        <v>4661</v>
      </c>
      <c r="M484">
        <v>0.28185709728503699</v>
      </c>
      <c r="N484">
        <v>799873.9</v>
      </c>
      <c r="O484">
        <v>7391.62</v>
      </c>
      <c r="P484" t="s">
        <v>4662</v>
      </c>
      <c r="Q484">
        <v>233402.19</v>
      </c>
      <c r="R484" t="s">
        <v>4663</v>
      </c>
      <c r="S484" t="s">
        <v>4664</v>
      </c>
    </row>
    <row r="485" spans="1:19" x14ac:dyDescent="0.25">
      <c r="A485">
        <v>21811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-521.24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5">
      <c r="A486">
        <v>21813</v>
      </c>
      <c r="B486">
        <v>437.99</v>
      </c>
      <c r="C486">
        <v>11.75</v>
      </c>
      <c r="D486" t="s">
        <v>4665</v>
      </c>
      <c r="E486">
        <v>358.7</v>
      </c>
      <c r="F486" t="s">
        <v>4666</v>
      </c>
      <c r="G486" t="s">
        <v>4667</v>
      </c>
      <c r="H486">
        <v>437.99</v>
      </c>
      <c r="I486">
        <v>11.75</v>
      </c>
      <c r="J486" t="s">
        <v>4665</v>
      </c>
      <c r="K486">
        <v>358.7</v>
      </c>
      <c r="L486" t="s">
        <v>4666</v>
      </c>
      <c r="M486" t="s">
        <v>4667</v>
      </c>
      <c r="N486">
        <v>12030.48</v>
      </c>
      <c r="O486">
        <v>121.27</v>
      </c>
      <c r="P486" t="s">
        <v>4668</v>
      </c>
      <c r="Q486">
        <v>4232.26</v>
      </c>
      <c r="R486" t="s">
        <v>4669</v>
      </c>
      <c r="S486" t="s">
        <v>4670</v>
      </c>
    </row>
    <row r="487" spans="1:19" x14ac:dyDescent="0.25">
      <c r="A487">
        <v>21816</v>
      </c>
      <c r="B487">
        <v>48885.59</v>
      </c>
      <c r="C487">
        <v>537.75</v>
      </c>
      <c r="D487" t="s">
        <v>4671</v>
      </c>
      <c r="E487">
        <v>17186.650000000001</v>
      </c>
      <c r="F487" t="s">
        <v>4672</v>
      </c>
      <c r="G487" t="s">
        <v>4673</v>
      </c>
      <c r="H487">
        <v>90262.05</v>
      </c>
      <c r="I487">
        <v>1862.47</v>
      </c>
      <c r="J487" t="s">
        <v>4674</v>
      </c>
      <c r="K487">
        <v>58733.64</v>
      </c>
      <c r="L487" t="s">
        <v>4675</v>
      </c>
      <c r="M487" t="s">
        <v>4676</v>
      </c>
      <c r="N487">
        <v>345389.79</v>
      </c>
      <c r="O487">
        <v>6316.01</v>
      </c>
      <c r="P487" t="s">
        <v>4677</v>
      </c>
      <c r="Q487">
        <v>202476.76</v>
      </c>
      <c r="R487" t="s">
        <v>4678</v>
      </c>
      <c r="S487" t="s">
        <v>4679</v>
      </c>
    </row>
    <row r="488" spans="1:19" x14ac:dyDescent="0.25">
      <c r="A488">
        <v>21817</v>
      </c>
      <c r="B488">
        <v>3148.01</v>
      </c>
      <c r="C488">
        <v>222.89</v>
      </c>
      <c r="D488" t="s">
        <v>4680</v>
      </c>
      <c r="E488">
        <v>5658.33</v>
      </c>
      <c r="F488" t="s">
        <v>4681</v>
      </c>
      <c r="G488" t="s">
        <v>4682</v>
      </c>
      <c r="H488">
        <v>17391.96</v>
      </c>
      <c r="I488">
        <v>581.52</v>
      </c>
      <c r="J488" t="s">
        <v>4683</v>
      </c>
      <c r="K488">
        <v>16996.11</v>
      </c>
      <c r="L488" t="s">
        <v>4684</v>
      </c>
      <c r="M488" t="s">
        <v>4685</v>
      </c>
      <c r="N488">
        <v>39180.75</v>
      </c>
      <c r="O488">
        <v>1348.62</v>
      </c>
      <c r="P488" t="s">
        <v>4686</v>
      </c>
      <c r="Q488">
        <v>37652.04</v>
      </c>
      <c r="R488" t="s">
        <v>4687</v>
      </c>
      <c r="S488" t="s">
        <v>4688</v>
      </c>
    </row>
    <row r="489" spans="1:19" x14ac:dyDescent="0.25">
      <c r="A489">
        <v>21818</v>
      </c>
      <c r="B489">
        <v>3001.09</v>
      </c>
      <c r="C489">
        <v>452.23</v>
      </c>
      <c r="D489" t="s">
        <v>4689</v>
      </c>
      <c r="E489">
        <v>11282.75</v>
      </c>
      <c r="F489" t="s">
        <v>4690</v>
      </c>
      <c r="G489" t="s">
        <v>4691</v>
      </c>
      <c r="H489">
        <v>9694.94</v>
      </c>
      <c r="I489">
        <v>1808.45</v>
      </c>
      <c r="J489" t="s">
        <v>4692</v>
      </c>
      <c r="K489">
        <v>47660.68</v>
      </c>
      <c r="L489" t="s">
        <v>4693</v>
      </c>
      <c r="M489">
        <v>4.9160366129135404</v>
      </c>
      <c r="N489">
        <v>345396.62</v>
      </c>
      <c r="O489">
        <v>11204.29</v>
      </c>
      <c r="P489" t="s">
        <v>4694</v>
      </c>
      <c r="Q489">
        <v>277953.19</v>
      </c>
      <c r="R489" t="s">
        <v>4695</v>
      </c>
      <c r="S489" t="s">
        <v>4696</v>
      </c>
    </row>
    <row r="490" spans="1:19" x14ac:dyDescent="0.25">
      <c r="A490">
        <v>21819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11954.62</v>
      </c>
      <c r="I490">
        <v>176.52</v>
      </c>
      <c r="J490">
        <v>67.723883979152504</v>
      </c>
      <c r="K490">
        <v>5349.43</v>
      </c>
      <c r="L490" t="s">
        <v>4697</v>
      </c>
      <c r="M490" t="s">
        <v>4698</v>
      </c>
      <c r="N490">
        <v>21870.33</v>
      </c>
      <c r="O490">
        <v>250.76</v>
      </c>
      <c r="P490" t="s">
        <v>4699</v>
      </c>
      <c r="Q490">
        <v>8186.17</v>
      </c>
      <c r="R490" t="s">
        <v>4700</v>
      </c>
      <c r="S490" t="s">
        <v>4701</v>
      </c>
    </row>
    <row r="491" spans="1:19" x14ac:dyDescent="0.25">
      <c r="A491">
        <v>21825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90203.199999999997</v>
      </c>
      <c r="O491">
        <v>14.27</v>
      </c>
      <c r="P491" t="s">
        <v>4702</v>
      </c>
      <c r="Q491">
        <v>453.49</v>
      </c>
      <c r="R491" t="s">
        <v>4703</v>
      </c>
      <c r="S491">
        <v>5.0274269648970301E-3</v>
      </c>
    </row>
    <row r="492" spans="1:19" x14ac:dyDescent="0.25">
      <c r="A492">
        <v>21826</v>
      </c>
      <c r="B492">
        <v>67775.199999999997</v>
      </c>
      <c r="C492">
        <v>3362.1</v>
      </c>
      <c r="D492" t="s">
        <v>4704</v>
      </c>
      <c r="E492">
        <v>84591.81</v>
      </c>
      <c r="F492" t="s">
        <v>4705</v>
      </c>
      <c r="G492" t="s">
        <v>4706</v>
      </c>
      <c r="H492">
        <v>261085.07</v>
      </c>
      <c r="I492">
        <v>9159.56</v>
      </c>
      <c r="J492" t="s">
        <v>4707</v>
      </c>
      <c r="K492">
        <v>232281.57</v>
      </c>
      <c r="L492" t="s">
        <v>4708</v>
      </c>
      <c r="M492" t="s">
        <v>4709</v>
      </c>
      <c r="N492">
        <v>1641395.2</v>
      </c>
      <c r="O492">
        <v>31618.19</v>
      </c>
      <c r="P492" t="s">
        <v>4710</v>
      </c>
      <c r="Q492">
        <v>754792.82</v>
      </c>
      <c r="R492" t="s">
        <v>4711</v>
      </c>
      <c r="S492" t="s">
        <v>4712</v>
      </c>
    </row>
    <row r="493" spans="1:19" x14ac:dyDescent="0.25">
      <c r="A493">
        <v>21828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3334.87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25">
      <c r="A494">
        <v>21829</v>
      </c>
      <c r="B494">
        <v>25883.4</v>
      </c>
      <c r="C494">
        <v>155.76</v>
      </c>
      <c r="D494" t="s">
        <v>4713</v>
      </c>
      <c r="E494">
        <v>4516.25</v>
      </c>
      <c r="F494" t="s">
        <v>4714</v>
      </c>
      <c r="G494" t="s">
        <v>4715</v>
      </c>
      <c r="H494">
        <v>44427.68</v>
      </c>
      <c r="I494">
        <v>454.18</v>
      </c>
      <c r="J494" t="s">
        <v>4716</v>
      </c>
      <c r="K494">
        <v>13184.46</v>
      </c>
      <c r="L494" t="s">
        <v>4717</v>
      </c>
      <c r="M494" t="s">
        <v>4718</v>
      </c>
      <c r="N494">
        <v>43266.18</v>
      </c>
      <c r="O494">
        <v>2628.61</v>
      </c>
      <c r="P494" t="s">
        <v>4719</v>
      </c>
      <c r="Q494">
        <v>67059</v>
      </c>
      <c r="R494" t="s">
        <v>4720</v>
      </c>
      <c r="S494" t="s">
        <v>4721</v>
      </c>
    </row>
    <row r="495" spans="1:19" x14ac:dyDescent="0.25">
      <c r="A495">
        <v>21830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-1400.3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25">
      <c r="A496">
        <v>21831</v>
      </c>
      <c r="B496">
        <v>-229.93</v>
      </c>
      <c r="C496">
        <v>71.150000000000006</v>
      </c>
      <c r="D496">
        <v>-3.23162333099086</v>
      </c>
      <c r="E496">
        <v>1101.6400000000001</v>
      </c>
      <c r="F496" t="s">
        <v>4722</v>
      </c>
      <c r="G496">
        <v>-4.7911973209237502</v>
      </c>
      <c r="H496">
        <v>540.82000000000005</v>
      </c>
      <c r="I496">
        <v>246.74</v>
      </c>
      <c r="J496" t="s">
        <v>4723</v>
      </c>
      <c r="K496">
        <v>6172.2</v>
      </c>
      <c r="L496" t="s">
        <v>4724</v>
      </c>
      <c r="M496" t="s">
        <v>4725</v>
      </c>
      <c r="N496">
        <v>-40045.03</v>
      </c>
      <c r="O496">
        <v>1283.82</v>
      </c>
      <c r="P496">
        <v>-31.192090791543901</v>
      </c>
      <c r="Q496">
        <v>37449.79</v>
      </c>
      <c r="R496" t="s">
        <v>4726</v>
      </c>
      <c r="S496">
        <v>-0.93519195765367102</v>
      </c>
    </row>
    <row r="497" spans="1:19" x14ac:dyDescent="0.25">
      <c r="A497">
        <v>21832</v>
      </c>
      <c r="B497">
        <v>16383.42</v>
      </c>
      <c r="C497">
        <v>164.27</v>
      </c>
      <c r="D497" t="s">
        <v>4727</v>
      </c>
      <c r="E497">
        <v>6743.23</v>
      </c>
      <c r="F497" t="s">
        <v>4728</v>
      </c>
      <c r="G497" t="s">
        <v>4729</v>
      </c>
      <c r="H497">
        <v>32700.42</v>
      </c>
      <c r="I497">
        <v>321.93</v>
      </c>
      <c r="J497" t="s">
        <v>4730</v>
      </c>
      <c r="K497">
        <v>11467.85</v>
      </c>
      <c r="L497" t="s">
        <v>4731</v>
      </c>
      <c r="M497" t="s">
        <v>4732</v>
      </c>
      <c r="N497">
        <v>33298.559999999998</v>
      </c>
      <c r="O497">
        <v>2337.27</v>
      </c>
      <c r="P497" t="s">
        <v>4733</v>
      </c>
      <c r="Q497">
        <v>76354.490000000005</v>
      </c>
      <c r="R497" t="s">
        <v>4734</v>
      </c>
      <c r="S497" t="s">
        <v>4735</v>
      </c>
    </row>
    <row r="498" spans="1:19" x14ac:dyDescent="0.25">
      <c r="A498">
        <v>21834</v>
      </c>
      <c r="B498">
        <v>-10074.89</v>
      </c>
      <c r="C498">
        <v>393.37</v>
      </c>
      <c r="D498">
        <v>-25.611739583598101</v>
      </c>
      <c r="E498">
        <v>12957.63</v>
      </c>
      <c r="F498" t="s">
        <v>4736</v>
      </c>
      <c r="G498">
        <v>-1.28613116371493</v>
      </c>
      <c r="H498">
        <v>73217.460000000006</v>
      </c>
      <c r="I498">
        <v>1208.9100000000001</v>
      </c>
      <c r="J498" t="s">
        <v>4737</v>
      </c>
      <c r="K498">
        <v>42043.64</v>
      </c>
      <c r="L498" t="s">
        <v>4738</v>
      </c>
      <c r="M498" t="s">
        <v>4739</v>
      </c>
      <c r="N498">
        <v>385030.40000000002</v>
      </c>
      <c r="O498">
        <v>2899.54</v>
      </c>
      <c r="P498" t="s">
        <v>4740</v>
      </c>
      <c r="Q498">
        <v>94920.91</v>
      </c>
      <c r="R498" t="s">
        <v>4741</v>
      </c>
      <c r="S498" t="s">
        <v>4742</v>
      </c>
    </row>
    <row r="499" spans="1:19" x14ac:dyDescent="0.25">
      <c r="A499">
        <v>21835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1790.38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25">
      <c r="A500">
        <v>21836</v>
      </c>
      <c r="B500">
        <v>-5018.17</v>
      </c>
      <c r="C500">
        <v>329.86</v>
      </c>
      <c r="D500">
        <v>-15.2130297702055</v>
      </c>
      <c r="E500">
        <v>11704.13</v>
      </c>
      <c r="F500" t="s">
        <v>4743</v>
      </c>
      <c r="G500">
        <v>-2.3323502392306299</v>
      </c>
      <c r="H500">
        <v>-48968.18</v>
      </c>
      <c r="I500">
        <v>1011.13</v>
      </c>
      <c r="J500">
        <v>-48.429163411232899</v>
      </c>
      <c r="K500">
        <v>33689.5</v>
      </c>
      <c r="L500" t="s">
        <v>4744</v>
      </c>
      <c r="M500">
        <v>-0.68798758704121699</v>
      </c>
      <c r="N500">
        <v>89412.31</v>
      </c>
      <c r="O500">
        <v>4562.34</v>
      </c>
      <c r="P500" t="s">
        <v>4745</v>
      </c>
      <c r="Q500">
        <v>145802.71</v>
      </c>
      <c r="R500" t="s">
        <v>4746</v>
      </c>
      <c r="S500" t="s">
        <v>4747</v>
      </c>
    </row>
    <row r="501" spans="1:19" x14ac:dyDescent="0.25">
      <c r="A501">
        <v>21837</v>
      </c>
      <c r="B501">
        <v>-3931.04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23210.71</v>
      </c>
      <c r="I501">
        <v>43.83</v>
      </c>
      <c r="J501" t="s">
        <v>4748</v>
      </c>
      <c r="K501">
        <v>1212.1199999999999</v>
      </c>
      <c r="L501" t="s">
        <v>4749</v>
      </c>
      <c r="M501">
        <v>5.2222443863199297E-2</v>
      </c>
      <c r="N501">
        <v>78860.62</v>
      </c>
      <c r="O501">
        <v>561.22</v>
      </c>
      <c r="P501" t="s">
        <v>4750</v>
      </c>
      <c r="Q501">
        <v>16927.77</v>
      </c>
      <c r="R501" t="s">
        <v>4751</v>
      </c>
      <c r="S501" t="s">
        <v>4752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8F4F-83EA-4485-A2F4-2F6CE24E9F74}">
  <dimension ref="A2:L423"/>
  <sheetViews>
    <sheetView workbookViewId="0">
      <selection activeCell="C422" sqref="C422"/>
    </sheetView>
  </sheetViews>
  <sheetFormatPr defaultRowHeight="15.75" x14ac:dyDescent="0.25"/>
  <cols>
    <col min="3" max="3" width="11.77734375" bestFit="1" customWidth="1"/>
    <col min="4" max="4" width="11.5546875" bestFit="1" customWidth="1"/>
  </cols>
  <sheetData>
    <row r="2" spans="1:6" x14ac:dyDescent="0.25">
      <c r="A2" s="88" t="s">
        <v>1122</v>
      </c>
    </row>
    <row r="4" spans="1:6" ht="19.5" x14ac:dyDescent="0.25">
      <c r="F4" s="89" t="s">
        <v>519</v>
      </c>
    </row>
    <row r="7" spans="1:6" x14ac:dyDescent="0.25">
      <c r="A7" s="90" t="s">
        <v>520</v>
      </c>
    </row>
    <row r="8" spans="1:6" x14ac:dyDescent="0.25">
      <c r="B8" s="90" t="s">
        <v>521</v>
      </c>
    </row>
    <row r="10" spans="1:6" x14ac:dyDescent="0.25">
      <c r="B10" s="90" t="s">
        <v>522</v>
      </c>
    </row>
    <row r="11" spans="1:6" x14ac:dyDescent="0.25">
      <c r="B11" s="90" t="s">
        <v>1123</v>
      </c>
    </row>
    <row r="13" spans="1:6" x14ac:dyDescent="0.25">
      <c r="B13" s="90" t="s">
        <v>1066</v>
      </c>
    </row>
    <row r="14" spans="1:6" x14ac:dyDescent="0.25">
      <c r="B14" s="90" t="s">
        <v>523</v>
      </c>
    </row>
    <row r="15" spans="1:6" x14ac:dyDescent="0.25">
      <c r="A15" s="90" t="s">
        <v>1089</v>
      </c>
    </row>
    <row r="22" spans="1:11" x14ac:dyDescent="0.25">
      <c r="A22" s="91" t="s">
        <v>524</v>
      </c>
      <c r="B22" s="92" t="s">
        <v>1124</v>
      </c>
      <c r="C22" s="93" t="s">
        <v>525</v>
      </c>
      <c r="D22" s="93" t="s">
        <v>526</v>
      </c>
      <c r="E22" s="93" t="s">
        <v>527</v>
      </c>
      <c r="F22" s="93" t="s">
        <v>528</v>
      </c>
      <c r="G22" s="93" t="s">
        <v>529</v>
      </c>
      <c r="H22" s="93" t="s">
        <v>530</v>
      </c>
      <c r="I22" s="93" t="s">
        <v>531</v>
      </c>
      <c r="J22" s="93" t="s">
        <v>532</v>
      </c>
      <c r="K22" s="93" t="s">
        <v>533</v>
      </c>
    </row>
    <row r="24" spans="1:11" x14ac:dyDescent="0.25">
      <c r="A24" s="92" t="s">
        <v>488</v>
      </c>
    </row>
    <row r="26" spans="1:11" x14ac:dyDescent="0.25">
      <c r="A26" s="94" t="s">
        <v>575</v>
      </c>
      <c r="B26" s="95" t="s">
        <v>669</v>
      </c>
      <c r="C26" s="96">
        <v>284867.69300000003</v>
      </c>
      <c r="D26" s="97">
        <v>98451.384999999995</v>
      </c>
      <c r="E26" s="97">
        <v>52707.71</v>
      </c>
      <c r="F26" s="97">
        <v>25804.25</v>
      </c>
      <c r="G26" s="97">
        <v>52289.697999999997</v>
      </c>
      <c r="H26" s="97">
        <v>41131.99</v>
      </c>
      <c r="I26" s="97">
        <v>14482.66</v>
      </c>
      <c r="J26" s="97">
        <v>0</v>
      </c>
      <c r="K26" s="97">
        <v>0</v>
      </c>
    </row>
    <row r="28" spans="1:11" x14ac:dyDescent="0.25">
      <c r="A28" s="94" t="s">
        <v>992</v>
      </c>
      <c r="B28" s="95" t="s">
        <v>993</v>
      </c>
      <c r="C28" s="96">
        <v>109714.58</v>
      </c>
      <c r="D28" s="97">
        <v>7643.7</v>
      </c>
      <c r="E28" s="97">
        <v>102070.88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</row>
    <row r="30" spans="1:11" x14ac:dyDescent="0.25">
      <c r="A30" s="94" t="s">
        <v>464</v>
      </c>
      <c r="B30" s="95" t="s">
        <v>670</v>
      </c>
      <c r="C30" s="96">
        <v>223093.6</v>
      </c>
      <c r="D30" s="97">
        <v>222613.6</v>
      </c>
      <c r="E30" s="97">
        <v>480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</row>
    <row r="32" spans="1:11" x14ac:dyDescent="0.25">
      <c r="A32" s="94" t="s">
        <v>858</v>
      </c>
      <c r="B32" s="95" t="s">
        <v>859</v>
      </c>
      <c r="C32" s="96">
        <v>611690.32999999996</v>
      </c>
      <c r="D32" s="97">
        <v>438069.54</v>
      </c>
      <c r="E32" s="97">
        <v>120116.35</v>
      </c>
      <c r="F32" s="97">
        <v>52836.9</v>
      </c>
      <c r="G32" s="97">
        <v>667.54</v>
      </c>
      <c r="H32" s="97">
        <v>0</v>
      </c>
      <c r="I32" s="97">
        <v>0</v>
      </c>
      <c r="J32" s="97">
        <v>0</v>
      </c>
      <c r="K32" s="97">
        <v>0</v>
      </c>
    </row>
    <row r="35" spans="1:11" x14ac:dyDescent="0.25">
      <c r="C35" s="98">
        <v>1229366.203</v>
      </c>
      <c r="D35" s="99">
        <v>766778.22499999998</v>
      </c>
      <c r="E35" s="99">
        <v>275374.94</v>
      </c>
      <c r="F35" s="99">
        <v>78641.149999999994</v>
      </c>
      <c r="G35" s="99">
        <v>52957.237999999998</v>
      </c>
      <c r="H35" s="99">
        <v>41131.99</v>
      </c>
      <c r="I35" s="99">
        <v>14482.66</v>
      </c>
      <c r="J35" s="99">
        <v>0</v>
      </c>
      <c r="K35" s="99">
        <v>0</v>
      </c>
    </row>
    <row r="38" spans="1:11" x14ac:dyDescent="0.25">
      <c r="A38" s="92" t="s">
        <v>490</v>
      </c>
    </row>
    <row r="40" spans="1:11" x14ac:dyDescent="0.25">
      <c r="A40" s="94" t="s">
        <v>184</v>
      </c>
      <c r="B40" s="95" t="s">
        <v>534</v>
      </c>
      <c r="C40" s="96">
        <v>39573.25</v>
      </c>
      <c r="D40" s="97">
        <v>18045.48</v>
      </c>
      <c r="E40" s="97">
        <v>20267.77</v>
      </c>
      <c r="F40" s="97">
        <v>1260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</row>
    <row r="42" spans="1:11" x14ac:dyDescent="0.25">
      <c r="A42" s="94" t="s">
        <v>579</v>
      </c>
      <c r="B42" s="95" t="s">
        <v>1125</v>
      </c>
      <c r="C42" s="96">
        <v>27372.44</v>
      </c>
      <c r="D42" s="97">
        <v>27266.720000000001</v>
      </c>
      <c r="E42" s="97">
        <v>105.72</v>
      </c>
      <c r="F42" s="97">
        <v>0</v>
      </c>
      <c r="G42" s="97">
        <v>0</v>
      </c>
      <c r="H42" s="97">
        <v>0</v>
      </c>
      <c r="I42" s="97">
        <v>0</v>
      </c>
      <c r="J42" s="97">
        <v>0</v>
      </c>
      <c r="K42" s="97">
        <v>0</v>
      </c>
    </row>
    <row r="45" spans="1:11" x14ac:dyDescent="0.25">
      <c r="C45" s="98">
        <v>66945.69</v>
      </c>
      <c r="D45" s="99">
        <v>45312.2</v>
      </c>
      <c r="E45" s="99">
        <v>20373.490000000002</v>
      </c>
      <c r="F45" s="99">
        <v>1260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</row>
    <row r="48" spans="1:11" x14ac:dyDescent="0.25">
      <c r="A48" s="92" t="s">
        <v>491</v>
      </c>
    </row>
    <row r="50" spans="1:11" x14ac:dyDescent="0.25">
      <c r="A50" s="94" t="s">
        <v>573</v>
      </c>
      <c r="B50" s="95" t="s">
        <v>671</v>
      </c>
      <c r="C50" s="96">
        <v>463995.06</v>
      </c>
      <c r="D50" s="97">
        <v>251398.53</v>
      </c>
      <c r="E50" s="97">
        <v>185266.68</v>
      </c>
      <c r="F50" s="97">
        <v>4170.74</v>
      </c>
      <c r="G50" s="97">
        <v>6437.21</v>
      </c>
      <c r="H50" s="97">
        <v>16721.900000000001</v>
      </c>
      <c r="I50" s="97">
        <v>0</v>
      </c>
      <c r="J50" s="97">
        <v>0</v>
      </c>
      <c r="K50" s="97">
        <v>0</v>
      </c>
    </row>
    <row r="52" spans="1:11" x14ac:dyDescent="0.25">
      <c r="A52" s="94" t="s">
        <v>1010</v>
      </c>
      <c r="B52" s="95" t="s">
        <v>1011</v>
      </c>
      <c r="C52" s="96">
        <v>354095.06</v>
      </c>
      <c r="D52" s="97">
        <v>198391.14</v>
      </c>
      <c r="E52" s="97">
        <v>155703.92000000001</v>
      </c>
      <c r="F52" s="97">
        <v>0</v>
      </c>
      <c r="G52" s="97">
        <v>0</v>
      </c>
      <c r="H52" s="97">
        <v>0</v>
      </c>
      <c r="I52" s="97">
        <v>0</v>
      </c>
      <c r="J52" s="97">
        <v>0</v>
      </c>
      <c r="K52" s="97">
        <v>0</v>
      </c>
    </row>
    <row r="54" spans="1:11" x14ac:dyDescent="0.25">
      <c r="A54" s="94" t="s">
        <v>492</v>
      </c>
      <c r="B54" s="95" t="s">
        <v>836</v>
      </c>
      <c r="C54" s="96">
        <v>15432.1775</v>
      </c>
      <c r="D54" s="97">
        <v>0</v>
      </c>
      <c r="E54" s="97">
        <v>15432.1775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</v>
      </c>
    </row>
    <row r="56" spans="1:11" x14ac:dyDescent="0.25">
      <c r="A56" s="94" t="s">
        <v>469</v>
      </c>
      <c r="B56" s="95" t="s">
        <v>1067</v>
      </c>
      <c r="C56" s="96">
        <v>11945.34</v>
      </c>
      <c r="D56" s="97">
        <v>0</v>
      </c>
      <c r="E56" s="97">
        <v>2546.11</v>
      </c>
      <c r="F56" s="97">
        <v>9399.23</v>
      </c>
      <c r="G56" s="97">
        <v>0</v>
      </c>
      <c r="H56" s="97">
        <v>0</v>
      </c>
      <c r="I56" s="97">
        <v>0</v>
      </c>
      <c r="J56" s="97">
        <v>0</v>
      </c>
      <c r="K56" s="97">
        <v>0</v>
      </c>
    </row>
    <row r="58" spans="1:11" x14ac:dyDescent="0.25">
      <c r="A58" s="94" t="s">
        <v>741</v>
      </c>
      <c r="B58" s="95" t="s">
        <v>775</v>
      </c>
      <c r="C58" s="96">
        <v>3320</v>
      </c>
      <c r="D58" s="97">
        <v>0</v>
      </c>
      <c r="E58" s="97">
        <v>0</v>
      </c>
      <c r="F58" s="97">
        <v>0</v>
      </c>
      <c r="G58" s="97">
        <v>0</v>
      </c>
      <c r="H58" s="97">
        <v>0</v>
      </c>
      <c r="I58" s="97">
        <v>3320</v>
      </c>
      <c r="J58" s="97">
        <v>0</v>
      </c>
      <c r="K58" s="97">
        <v>0</v>
      </c>
    </row>
    <row r="60" spans="1:11" x14ac:dyDescent="0.25">
      <c r="A60" s="94" t="s">
        <v>591</v>
      </c>
      <c r="B60" s="95" t="s">
        <v>592</v>
      </c>
      <c r="C60" s="96">
        <v>993.24</v>
      </c>
      <c r="D60" s="97">
        <v>0</v>
      </c>
      <c r="E60" s="97">
        <v>0</v>
      </c>
      <c r="F60" s="97">
        <v>0</v>
      </c>
      <c r="G60" s="97">
        <v>0</v>
      </c>
      <c r="H60" s="97">
        <v>0</v>
      </c>
      <c r="I60" s="97">
        <v>993.24</v>
      </c>
      <c r="J60" s="97">
        <v>0</v>
      </c>
      <c r="K60" s="97">
        <v>0</v>
      </c>
    </row>
    <row r="63" spans="1:11" x14ac:dyDescent="0.25">
      <c r="C63" s="98">
        <v>849780.87749999994</v>
      </c>
      <c r="D63" s="99">
        <v>449789.67</v>
      </c>
      <c r="E63" s="99">
        <v>358948.88750000001</v>
      </c>
      <c r="F63" s="99">
        <v>13569.97</v>
      </c>
      <c r="G63" s="99">
        <v>6437.21</v>
      </c>
      <c r="H63" s="99">
        <v>16721.900000000001</v>
      </c>
      <c r="I63" s="99">
        <v>4313.24</v>
      </c>
      <c r="J63" s="99">
        <v>0</v>
      </c>
      <c r="K63" s="99">
        <v>0</v>
      </c>
    </row>
    <row r="66" spans="1:11" x14ac:dyDescent="0.25">
      <c r="A66" s="92" t="s">
        <v>496</v>
      </c>
    </row>
    <row r="68" spans="1:11" x14ac:dyDescent="0.25">
      <c r="A68" s="94" t="s">
        <v>45</v>
      </c>
      <c r="B68" s="95" t="s">
        <v>535</v>
      </c>
      <c r="C68" s="96">
        <v>14569.78</v>
      </c>
      <c r="D68" s="97">
        <v>14569.78</v>
      </c>
      <c r="E68" s="97">
        <v>0</v>
      </c>
      <c r="F68" s="97">
        <v>0</v>
      </c>
      <c r="G68" s="97">
        <v>0</v>
      </c>
      <c r="H68" s="97">
        <v>0</v>
      </c>
      <c r="I68" s="97">
        <v>0</v>
      </c>
      <c r="J68" s="97">
        <v>0</v>
      </c>
      <c r="K68" s="97">
        <v>0</v>
      </c>
    </row>
    <row r="70" spans="1:11" x14ac:dyDescent="0.25">
      <c r="A70" s="94" t="s">
        <v>46</v>
      </c>
      <c r="B70" s="95" t="s">
        <v>536</v>
      </c>
      <c r="C70" s="96">
        <v>5963</v>
      </c>
      <c r="D70" s="97">
        <v>5963</v>
      </c>
      <c r="E70" s="97">
        <v>0</v>
      </c>
      <c r="F70" s="97">
        <v>0</v>
      </c>
      <c r="G70" s="97">
        <v>0</v>
      </c>
      <c r="H70" s="97">
        <v>0</v>
      </c>
      <c r="I70" s="97">
        <v>0</v>
      </c>
      <c r="J70" s="97">
        <v>0</v>
      </c>
      <c r="K70" s="97">
        <v>0</v>
      </c>
    </row>
    <row r="73" spans="1:11" x14ac:dyDescent="0.25">
      <c r="C73" s="98">
        <v>20532.78</v>
      </c>
      <c r="D73" s="99">
        <v>20532.78</v>
      </c>
      <c r="E73" s="99">
        <v>0</v>
      </c>
      <c r="F73" s="99">
        <v>0</v>
      </c>
      <c r="G73" s="99">
        <v>0</v>
      </c>
      <c r="H73" s="99">
        <v>0</v>
      </c>
      <c r="I73" s="99">
        <v>0</v>
      </c>
      <c r="J73" s="99">
        <v>0</v>
      </c>
      <c r="K73" s="99">
        <v>0</v>
      </c>
    </row>
    <row r="76" spans="1:11" x14ac:dyDescent="0.25">
      <c r="A76" s="92" t="s">
        <v>497</v>
      </c>
    </row>
    <row r="78" spans="1:11" x14ac:dyDescent="0.25">
      <c r="A78" s="94" t="s">
        <v>616</v>
      </c>
      <c r="B78" s="95" t="s">
        <v>1012</v>
      </c>
      <c r="C78" s="96">
        <v>37802.972000000002</v>
      </c>
      <c r="D78" s="97">
        <v>2292.9720000000002</v>
      </c>
      <c r="E78" s="97">
        <v>35510</v>
      </c>
      <c r="F78" s="97">
        <v>0</v>
      </c>
      <c r="G78" s="97">
        <v>0</v>
      </c>
      <c r="H78" s="97">
        <v>0</v>
      </c>
      <c r="I78" s="97">
        <v>0</v>
      </c>
      <c r="J78" s="97">
        <v>0</v>
      </c>
      <c r="K78" s="97">
        <v>0</v>
      </c>
    </row>
    <row r="80" spans="1:11" x14ac:dyDescent="0.25">
      <c r="A80" s="94" t="s">
        <v>930</v>
      </c>
      <c r="B80" s="95" t="s">
        <v>931</v>
      </c>
      <c r="C80" s="96">
        <v>22280</v>
      </c>
      <c r="D80" s="97">
        <v>0</v>
      </c>
      <c r="E80" s="97">
        <v>7520</v>
      </c>
      <c r="F80" s="97">
        <v>14760</v>
      </c>
      <c r="G80" s="97">
        <v>0</v>
      </c>
      <c r="H80" s="97">
        <v>0</v>
      </c>
      <c r="I80" s="97">
        <v>0</v>
      </c>
      <c r="J80" s="97">
        <v>0</v>
      </c>
      <c r="K80" s="97">
        <v>0</v>
      </c>
    </row>
    <row r="82" spans="1:11" x14ac:dyDescent="0.25">
      <c r="A82" s="94" t="s">
        <v>1106</v>
      </c>
      <c r="B82" s="95" t="s">
        <v>1107</v>
      </c>
      <c r="C82" s="96">
        <v>5030</v>
      </c>
      <c r="D82" s="97">
        <v>5030</v>
      </c>
      <c r="E82" s="97">
        <v>0</v>
      </c>
      <c r="F82" s="97">
        <v>0</v>
      </c>
      <c r="G82" s="97">
        <v>0</v>
      </c>
      <c r="H82" s="97">
        <v>0</v>
      </c>
      <c r="I82" s="97">
        <v>0</v>
      </c>
      <c r="J82" s="97">
        <v>0</v>
      </c>
      <c r="K82" s="97">
        <v>0</v>
      </c>
    </row>
    <row r="84" spans="1:11" x14ac:dyDescent="0.25">
      <c r="A84" s="94" t="s">
        <v>453</v>
      </c>
      <c r="B84" s="95" t="s">
        <v>672</v>
      </c>
      <c r="C84" s="96">
        <v>2017958.9775</v>
      </c>
      <c r="D84" s="97">
        <v>495398.36249999999</v>
      </c>
      <c r="E84" s="97">
        <v>587840.48750000005</v>
      </c>
      <c r="F84" s="97">
        <v>203382.2825</v>
      </c>
      <c r="G84" s="97">
        <v>239326.0698</v>
      </c>
      <c r="H84" s="97">
        <v>279349.35519999999</v>
      </c>
      <c r="I84" s="97">
        <v>212662.42</v>
      </c>
      <c r="J84" s="97">
        <v>0</v>
      </c>
      <c r="K84" s="97">
        <v>0</v>
      </c>
    </row>
    <row r="86" spans="1:11" x14ac:dyDescent="0.25">
      <c r="A86" s="94" t="s">
        <v>641</v>
      </c>
      <c r="B86" s="95" t="s">
        <v>673</v>
      </c>
      <c r="C86" s="96">
        <v>4233556.3499999996</v>
      </c>
      <c r="D86" s="97">
        <v>1205151.2</v>
      </c>
      <c r="E86" s="97">
        <v>1671181.57</v>
      </c>
      <c r="F86" s="97">
        <v>1027091.66</v>
      </c>
      <c r="G86" s="97">
        <v>234059.54</v>
      </c>
      <c r="H86" s="97">
        <v>80805.440000000002</v>
      </c>
      <c r="I86" s="97">
        <v>15266.94</v>
      </c>
      <c r="J86" s="97">
        <v>0</v>
      </c>
      <c r="K86" s="97">
        <v>0</v>
      </c>
    </row>
    <row r="88" spans="1:11" x14ac:dyDescent="0.25">
      <c r="A88" s="94" t="s">
        <v>452</v>
      </c>
      <c r="B88" s="95" t="s">
        <v>674</v>
      </c>
      <c r="C88" s="96">
        <v>94828.39</v>
      </c>
      <c r="D88" s="97">
        <v>54065.49</v>
      </c>
      <c r="E88" s="97">
        <v>8352.42</v>
      </c>
      <c r="F88" s="97">
        <v>32410.48</v>
      </c>
      <c r="G88" s="97">
        <v>0</v>
      </c>
      <c r="H88" s="97">
        <v>0</v>
      </c>
      <c r="I88" s="97">
        <v>0</v>
      </c>
      <c r="J88" s="97">
        <v>0</v>
      </c>
      <c r="K88" s="97">
        <v>0</v>
      </c>
    </row>
    <row r="91" spans="1:11" x14ac:dyDescent="0.25">
      <c r="C91" s="98">
        <v>6411456.6895000003</v>
      </c>
      <c r="D91" s="99">
        <v>1761938.0244999998</v>
      </c>
      <c r="E91" s="99">
        <v>2310404.4775</v>
      </c>
      <c r="F91" s="99">
        <v>1277644.4225000001</v>
      </c>
      <c r="G91" s="99">
        <v>473385.60980000003</v>
      </c>
      <c r="H91" s="99">
        <v>360154.79519999993</v>
      </c>
      <c r="I91" s="99">
        <v>227929.36</v>
      </c>
      <c r="J91" s="99">
        <v>0</v>
      </c>
      <c r="K91" s="99">
        <v>0</v>
      </c>
    </row>
    <row r="94" spans="1:11" x14ac:dyDescent="0.25">
      <c r="A94" s="92" t="s">
        <v>879</v>
      </c>
    </row>
    <row r="96" spans="1:11" x14ac:dyDescent="0.25">
      <c r="A96" s="94" t="s">
        <v>965</v>
      </c>
      <c r="B96" s="95" t="s">
        <v>966</v>
      </c>
      <c r="C96" s="96">
        <v>377486.03</v>
      </c>
      <c r="D96" s="97">
        <v>97804.305999999997</v>
      </c>
      <c r="E96" s="97">
        <v>52143.611999999994</v>
      </c>
      <c r="F96" s="97">
        <v>227538.11199999999</v>
      </c>
      <c r="G96" s="97">
        <v>0</v>
      </c>
      <c r="H96" s="97">
        <v>0</v>
      </c>
      <c r="I96" s="97">
        <v>0</v>
      </c>
      <c r="J96" s="97">
        <v>0</v>
      </c>
      <c r="K96" s="97">
        <v>0</v>
      </c>
    </row>
    <row r="98" spans="1:11" x14ac:dyDescent="0.25">
      <c r="A98" s="94" t="s">
        <v>642</v>
      </c>
      <c r="B98" s="95" t="s">
        <v>643</v>
      </c>
      <c r="C98" s="96">
        <v>3122.5</v>
      </c>
      <c r="D98" s="97">
        <v>0</v>
      </c>
      <c r="E98" s="97">
        <v>0</v>
      </c>
      <c r="F98" s="97">
        <v>0</v>
      </c>
      <c r="G98" s="97">
        <v>0</v>
      </c>
      <c r="H98" s="97">
        <v>0</v>
      </c>
      <c r="I98" s="97">
        <v>3122.5</v>
      </c>
      <c r="J98" s="97">
        <v>0</v>
      </c>
      <c r="K98" s="97">
        <v>0</v>
      </c>
    </row>
    <row r="100" spans="1:11" x14ac:dyDescent="0.25">
      <c r="A100" s="94" t="s">
        <v>646</v>
      </c>
      <c r="B100" s="95" t="s">
        <v>647</v>
      </c>
      <c r="C100" s="96">
        <v>350770.31</v>
      </c>
      <c r="D100" s="97">
        <v>50756.7</v>
      </c>
      <c r="E100" s="97">
        <v>29417.79</v>
      </c>
      <c r="F100" s="97">
        <v>0</v>
      </c>
      <c r="G100" s="97">
        <v>51224.25</v>
      </c>
      <c r="H100" s="97">
        <v>82867.570000000007</v>
      </c>
      <c r="I100" s="97">
        <v>136504</v>
      </c>
      <c r="J100" s="97">
        <v>0</v>
      </c>
      <c r="K100" s="97">
        <v>0</v>
      </c>
    </row>
    <row r="102" spans="1:11" x14ac:dyDescent="0.25">
      <c r="A102" s="94" t="s">
        <v>982</v>
      </c>
      <c r="B102" s="95" t="s">
        <v>1029</v>
      </c>
      <c r="C102" s="96">
        <v>186061.73</v>
      </c>
      <c r="D102" s="97">
        <v>128862.68</v>
      </c>
      <c r="E102" s="97">
        <v>57199.05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</row>
    <row r="104" spans="1:11" x14ac:dyDescent="0.25">
      <c r="A104" s="94" t="s">
        <v>981</v>
      </c>
      <c r="B104" s="95" t="s">
        <v>994</v>
      </c>
      <c r="C104" s="96">
        <v>152955.79</v>
      </c>
      <c r="D104" s="97">
        <v>26295.71</v>
      </c>
      <c r="E104" s="97">
        <v>112286.62</v>
      </c>
      <c r="F104" s="97">
        <v>14373.46</v>
      </c>
      <c r="G104" s="97">
        <v>0</v>
      </c>
      <c r="H104" s="97">
        <v>0</v>
      </c>
      <c r="I104" s="97">
        <v>0</v>
      </c>
      <c r="J104" s="97">
        <v>0</v>
      </c>
      <c r="K104" s="97">
        <v>0</v>
      </c>
    </row>
    <row r="106" spans="1:11" x14ac:dyDescent="0.25">
      <c r="A106" s="94" t="s">
        <v>991</v>
      </c>
      <c r="B106" s="95" t="s">
        <v>1068</v>
      </c>
      <c r="C106" s="96">
        <v>20670.61</v>
      </c>
      <c r="D106" s="97">
        <v>20670.61</v>
      </c>
      <c r="E106" s="97">
        <v>0</v>
      </c>
      <c r="F106" s="97">
        <v>0</v>
      </c>
      <c r="G106" s="97">
        <v>0</v>
      </c>
      <c r="H106" s="97">
        <v>0</v>
      </c>
      <c r="I106" s="97">
        <v>0</v>
      </c>
      <c r="J106" s="97">
        <v>0</v>
      </c>
      <c r="K106" s="97">
        <v>0</v>
      </c>
    </row>
    <row r="108" spans="1:11" x14ac:dyDescent="0.25">
      <c r="A108" s="94" t="s">
        <v>941</v>
      </c>
      <c r="B108" s="95" t="s">
        <v>942</v>
      </c>
      <c r="C108" s="96">
        <v>22093</v>
      </c>
      <c r="D108" s="97">
        <v>0</v>
      </c>
      <c r="E108" s="97">
        <v>0</v>
      </c>
      <c r="F108" s="97">
        <v>22093</v>
      </c>
      <c r="G108" s="97">
        <v>0</v>
      </c>
      <c r="H108" s="97">
        <v>0</v>
      </c>
      <c r="I108" s="97">
        <v>0</v>
      </c>
      <c r="J108" s="97">
        <v>0</v>
      </c>
      <c r="K108" s="97">
        <v>0</v>
      </c>
    </row>
    <row r="111" spans="1:11" x14ac:dyDescent="0.25">
      <c r="C111" s="98">
        <v>1113159.97</v>
      </c>
      <c r="D111" s="99">
        <v>324390.00599999999</v>
      </c>
      <c r="E111" s="99">
        <v>251047.07199999999</v>
      </c>
      <c r="F111" s="99">
        <v>264004.57199999999</v>
      </c>
      <c r="G111" s="99">
        <v>51224.25</v>
      </c>
      <c r="H111" s="99">
        <v>82867.570000000007</v>
      </c>
      <c r="I111" s="99">
        <v>139626.5</v>
      </c>
      <c r="J111" s="99">
        <v>0</v>
      </c>
      <c r="K111" s="99">
        <v>0</v>
      </c>
    </row>
    <row r="114" spans="1:11" x14ac:dyDescent="0.25">
      <c r="A114" s="92" t="s">
        <v>498</v>
      </c>
    </row>
    <row r="116" spans="1:11" x14ac:dyDescent="0.25">
      <c r="A116" s="94" t="s">
        <v>959</v>
      </c>
      <c r="B116" s="95" t="s">
        <v>960</v>
      </c>
      <c r="C116" s="96">
        <v>150705</v>
      </c>
      <c r="D116" s="97">
        <v>144225</v>
      </c>
      <c r="E116" s="97">
        <v>6480</v>
      </c>
      <c r="F116" s="97">
        <v>0</v>
      </c>
      <c r="G116" s="97">
        <v>0</v>
      </c>
      <c r="H116" s="97">
        <v>0</v>
      </c>
      <c r="I116" s="97">
        <v>0</v>
      </c>
      <c r="J116" s="97">
        <v>0</v>
      </c>
      <c r="K116" s="97">
        <v>0</v>
      </c>
    </row>
    <row r="118" spans="1:11" x14ac:dyDescent="0.25">
      <c r="A118" s="94" t="s">
        <v>177</v>
      </c>
      <c r="B118" s="95" t="s">
        <v>537</v>
      </c>
      <c r="C118" s="96">
        <v>516913.67</v>
      </c>
      <c r="D118" s="97">
        <v>80265</v>
      </c>
      <c r="E118" s="97">
        <v>94240.41</v>
      </c>
      <c r="F118" s="97">
        <v>88272.7</v>
      </c>
      <c r="G118" s="97">
        <v>124492.3</v>
      </c>
      <c r="H118" s="97">
        <v>129643.26</v>
      </c>
      <c r="I118" s="97">
        <v>0</v>
      </c>
      <c r="J118" s="97">
        <v>0</v>
      </c>
      <c r="K118" s="97">
        <v>0</v>
      </c>
    </row>
    <row r="120" spans="1:11" x14ac:dyDescent="0.25">
      <c r="A120" s="94" t="s">
        <v>344</v>
      </c>
      <c r="B120" s="95" t="s">
        <v>880</v>
      </c>
      <c r="C120" s="96">
        <v>47476.5</v>
      </c>
      <c r="D120" s="97">
        <v>1122.5</v>
      </c>
      <c r="E120" s="97">
        <v>14368</v>
      </c>
      <c r="F120" s="97">
        <v>0</v>
      </c>
      <c r="G120" s="97">
        <v>23170</v>
      </c>
      <c r="H120" s="97">
        <v>8816</v>
      </c>
      <c r="I120" s="97">
        <v>0</v>
      </c>
      <c r="J120" s="97">
        <v>0</v>
      </c>
      <c r="K120" s="97">
        <v>0</v>
      </c>
    </row>
    <row r="122" spans="1:11" x14ac:dyDescent="0.25">
      <c r="A122" s="94" t="s">
        <v>932</v>
      </c>
      <c r="B122" s="95" t="s">
        <v>933</v>
      </c>
      <c r="C122" s="96">
        <v>150485</v>
      </c>
      <c r="D122" s="97">
        <v>22925</v>
      </c>
      <c r="E122" s="97">
        <v>35860</v>
      </c>
      <c r="F122" s="97">
        <v>91700</v>
      </c>
      <c r="G122" s="97">
        <v>0</v>
      </c>
      <c r="H122" s="97">
        <v>0</v>
      </c>
      <c r="I122" s="97">
        <v>0</v>
      </c>
      <c r="J122" s="97">
        <v>0</v>
      </c>
      <c r="K122" s="97">
        <v>0</v>
      </c>
    </row>
    <row r="124" spans="1:11" x14ac:dyDescent="0.25">
      <c r="A124" s="94" t="s">
        <v>51</v>
      </c>
      <c r="B124" s="95" t="s">
        <v>538</v>
      </c>
      <c r="C124" s="96">
        <v>280134.5</v>
      </c>
      <c r="D124" s="97">
        <v>213209.5</v>
      </c>
      <c r="E124" s="97">
        <v>0</v>
      </c>
      <c r="F124" s="97">
        <v>0</v>
      </c>
      <c r="G124" s="97">
        <v>0</v>
      </c>
      <c r="H124" s="97">
        <v>0</v>
      </c>
      <c r="I124" s="97">
        <v>44819</v>
      </c>
      <c r="J124" s="97">
        <v>22106</v>
      </c>
      <c r="K124" s="97">
        <v>0</v>
      </c>
    </row>
    <row r="126" spans="1:11" x14ac:dyDescent="0.25">
      <c r="A126" s="94" t="s">
        <v>905</v>
      </c>
      <c r="B126" s="95" t="s">
        <v>906</v>
      </c>
      <c r="C126" s="96">
        <v>143426.54999999999</v>
      </c>
      <c r="D126" s="97">
        <v>13362.05</v>
      </c>
      <c r="E126" s="97">
        <v>0</v>
      </c>
      <c r="F126" s="97">
        <v>15678.5</v>
      </c>
      <c r="G126" s="97">
        <v>114386</v>
      </c>
      <c r="H126" s="97">
        <v>0</v>
      </c>
      <c r="I126" s="97">
        <v>0</v>
      </c>
      <c r="J126" s="97">
        <v>0</v>
      </c>
      <c r="K126" s="97">
        <v>0</v>
      </c>
    </row>
    <row r="128" spans="1:11" x14ac:dyDescent="0.25">
      <c r="A128" s="94" t="s">
        <v>837</v>
      </c>
      <c r="B128" s="95" t="s">
        <v>838</v>
      </c>
      <c r="C128" s="96">
        <v>87354.4</v>
      </c>
      <c r="D128" s="97">
        <v>0</v>
      </c>
      <c r="E128" s="97">
        <v>0</v>
      </c>
      <c r="F128" s="97">
        <v>5204.4799999999996</v>
      </c>
      <c r="G128" s="97">
        <v>37793.279999999999</v>
      </c>
      <c r="H128" s="97">
        <v>44356.639999999999</v>
      </c>
      <c r="I128" s="97">
        <v>0</v>
      </c>
      <c r="J128" s="97">
        <v>0</v>
      </c>
      <c r="K128" s="97">
        <v>0</v>
      </c>
    </row>
    <row r="130" spans="1:11" x14ac:dyDescent="0.25">
      <c r="A130" s="94" t="s">
        <v>934</v>
      </c>
      <c r="B130" s="95" t="s">
        <v>935</v>
      </c>
      <c r="C130" s="96">
        <v>64903</v>
      </c>
      <c r="D130" s="97">
        <v>9065</v>
      </c>
      <c r="E130" s="97">
        <v>19860</v>
      </c>
      <c r="F130" s="97">
        <v>35978</v>
      </c>
      <c r="G130" s="97">
        <v>0</v>
      </c>
      <c r="H130" s="97">
        <v>0</v>
      </c>
      <c r="I130" s="97">
        <v>0</v>
      </c>
      <c r="J130" s="97">
        <v>0</v>
      </c>
      <c r="K130" s="97">
        <v>0</v>
      </c>
    </row>
    <row r="132" spans="1:11" x14ac:dyDescent="0.25">
      <c r="A132" s="94" t="s">
        <v>1126</v>
      </c>
      <c r="B132" s="95" t="s">
        <v>1127</v>
      </c>
      <c r="C132" s="96">
        <v>12365</v>
      </c>
      <c r="D132" s="97">
        <v>12365</v>
      </c>
      <c r="E132" s="97">
        <v>0</v>
      </c>
      <c r="F132" s="97">
        <v>0</v>
      </c>
      <c r="G132" s="97">
        <v>0</v>
      </c>
      <c r="H132" s="97">
        <v>0</v>
      </c>
      <c r="I132" s="97">
        <v>0</v>
      </c>
      <c r="J132" s="97">
        <v>0</v>
      </c>
      <c r="K132" s="97">
        <v>0</v>
      </c>
    </row>
    <row r="134" spans="1:11" x14ac:dyDescent="0.25">
      <c r="A134" s="94" t="s">
        <v>175</v>
      </c>
      <c r="B134" s="95" t="s">
        <v>539</v>
      </c>
      <c r="C134" s="96">
        <v>199332.5</v>
      </c>
      <c r="D134" s="97">
        <v>72468</v>
      </c>
      <c r="E134" s="97">
        <v>54945</v>
      </c>
      <c r="F134" s="97">
        <v>21906.5</v>
      </c>
      <c r="G134" s="97">
        <v>39798</v>
      </c>
      <c r="H134" s="97">
        <v>0</v>
      </c>
      <c r="I134" s="97">
        <v>10215</v>
      </c>
      <c r="J134" s="97">
        <v>0</v>
      </c>
      <c r="K134" s="97">
        <v>0</v>
      </c>
    </row>
    <row r="136" spans="1:11" x14ac:dyDescent="0.25">
      <c r="A136" s="94" t="s">
        <v>1128</v>
      </c>
      <c r="B136" s="95" t="s">
        <v>1129</v>
      </c>
      <c r="C136" s="96">
        <v>7200</v>
      </c>
      <c r="D136" s="97">
        <v>7200</v>
      </c>
      <c r="E136" s="97">
        <v>0</v>
      </c>
      <c r="F136" s="97">
        <v>0</v>
      </c>
      <c r="G136" s="97">
        <v>0</v>
      </c>
      <c r="H136" s="97">
        <v>0</v>
      </c>
      <c r="I136" s="97">
        <v>0</v>
      </c>
      <c r="J136" s="97">
        <v>0</v>
      </c>
      <c r="K136" s="97">
        <v>0</v>
      </c>
    </row>
    <row r="138" spans="1:11" x14ac:dyDescent="0.25">
      <c r="A138" s="94" t="s">
        <v>610</v>
      </c>
      <c r="B138" s="95" t="s">
        <v>1130</v>
      </c>
      <c r="C138" s="96">
        <v>200</v>
      </c>
      <c r="D138" s="97">
        <v>200</v>
      </c>
      <c r="E138" s="97">
        <v>0</v>
      </c>
      <c r="F138" s="97">
        <v>0</v>
      </c>
      <c r="G138" s="97">
        <v>0</v>
      </c>
      <c r="H138" s="97">
        <v>0</v>
      </c>
      <c r="I138" s="97">
        <v>0</v>
      </c>
      <c r="J138" s="97">
        <v>0</v>
      </c>
      <c r="K138" s="97">
        <v>0</v>
      </c>
    </row>
    <row r="140" spans="1:11" x14ac:dyDescent="0.25">
      <c r="A140" s="94" t="s">
        <v>720</v>
      </c>
      <c r="B140" s="95" t="s">
        <v>764</v>
      </c>
      <c r="C140" s="96">
        <v>265524</v>
      </c>
      <c r="D140" s="97">
        <v>30002.5</v>
      </c>
      <c r="E140" s="97">
        <v>189201.5</v>
      </c>
      <c r="F140" s="97">
        <v>45840</v>
      </c>
      <c r="G140" s="97">
        <v>480</v>
      </c>
      <c r="H140" s="97">
        <v>0</v>
      </c>
      <c r="I140" s="97">
        <v>0</v>
      </c>
      <c r="J140" s="97">
        <v>0</v>
      </c>
      <c r="K140" s="97">
        <v>0</v>
      </c>
    </row>
    <row r="143" spans="1:11" x14ac:dyDescent="0.25">
      <c r="C143" s="98">
        <v>1926020.12</v>
      </c>
      <c r="D143" s="99">
        <v>606409.55000000005</v>
      </c>
      <c r="E143" s="99">
        <v>414954.91</v>
      </c>
      <c r="F143" s="99">
        <v>304580.18</v>
      </c>
      <c r="G143" s="99">
        <v>340119.58</v>
      </c>
      <c r="H143" s="99">
        <v>182815.9</v>
      </c>
      <c r="I143" s="99">
        <v>55034</v>
      </c>
      <c r="J143" s="99">
        <v>22106</v>
      </c>
      <c r="K143" s="99">
        <v>0</v>
      </c>
    </row>
    <row r="146" spans="1:11" x14ac:dyDescent="0.25">
      <c r="A146" s="92" t="s">
        <v>637</v>
      </c>
    </row>
    <row r="148" spans="1:11" x14ac:dyDescent="0.25">
      <c r="A148" s="94" t="s">
        <v>30</v>
      </c>
      <c r="B148" s="95" t="s">
        <v>1069</v>
      </c>
      <c r="C148" s="96">
        <v>177944.35</v>
      </c>
      <c r="D148" s="97">
        <v>0</v>
      </c>
      <c r="E148" s="97">
        <v>0</v>
      </c>
      <c r="F148" s="97">
        <v>0</v>
      </c>
      <c r="G148" s="97">
        <v>0</v>
      </c>
      <c r="H148" s="97">
        <v>0</v>
      </c>
      <c r="I148" s="97">
        <v>16252.02</v>
      </c>
      <c r="J148" s="97">
        <v>159169.71</v>
      </c>
      <c r="K148" s="97">
        <v>2522.62</v>
      </c>
    </row>
    <row r="150" spans="1:11" x14ac:dyDescent="0.25">
      <c r="A150" s="94" t="s">
        <v>39</v>
      </c>
      <c r="B150" s="95" t="s">
        <v>1070</v>
      </c>
      <c r="C150" s="96">
        <v>421670.20480000007</v>
      </c>
      <c r="D150" s="97">
        <v>59468.39</v>
      </c>
      <c r="E150" s="97">
        <v>98643.568799999994</v>
      </c>
      <c r="F150" s="97">
        <v>94716.597600000023</v>
      </c>
      <c r="G150" s="97">
        <v>78025.749599999996</v>
      </c>
      <c r="H150" s="97">
        <v>44182.809600000001</v>
      </c>
      <c r="I150" s="97">
        <v>33409.549200000001</v>
      </c>
      <c r="J150" s="97">
        <v>13223.54</v>
      </c>
      <c r="K150" s="97">
        <v>0</v>
      </c>
    </row>
    <row r="152" spans="1:11" x14ac:dyDescent="0.25">
      <c r="A152" s="94" t="s">
        <v>34</v>
      </c>
      <c r="B152" s="95" t="s">
        <v>1071</v>
      </c>
      <c r="C152" s="96">
        <v>40996.25</v>
      </c>
      <c r="D152" s="97">
        <v>6803.17</v>
      </c>
      <c r="E152" s="97">
        <v>17981.5</v>
      </c>
      <c r="F152" s="97">
        <v>0</v>
      </c>
      <c r="G152" s="97">
        <v>5264.22</v>
      </c>
      <c r="H152" s="97">
        <v>9456</v>
      </c>
      <c r="I152" s="97">
        <v>0</v>
      </c>
      <c r="J152" s="97">
        <v>1491.36</v>
      </c>
      <c r="K152" s="97">
        <v>0</v>
      </c>
    </row>
    <row r="154" spans="1:11" x14ac:dyDescent="0.25">
      <c r="A154" s="94" t="s">
        <v>35</v>
      </c>
      <c r="B154" s="95" t="s">
        <v>1072</v>
      </c>
      <c r="C154" s="96">
        <v>10317649.618899995</v>
      </c>
      <c r="D154" s="97">
        <v>1548521.0374</v>
      </c>
      <c r="E154" s="97">
        <v>944464.92279999983</v>
      </c>
      <c r="F154" s="97">
        <v>1185850.2102999999</v>
      </c>
      <c r="G154" s="97">
        <v>863578.61090000009</v>
      </c>
      <c r="H154" s="97">
        <v>1550000.7187999999</v>
      </c>
      <c r="I154" s="97">
        <v>2538029.0971999997</v>
      </c>
      <c r="J154" s="97">
        <v>1683693.5615000001</v>
      </c>
      <c r="K154" s="97">
        <v>3511.46</v>
      </c>
    </row>
    <row r="156" spans="1:11" x14ac:dyDescent="0.25">
      <c r="A156" s="94" t="s">
        <v>185</v>
      </c>
      <c r="B156" s="95" t="s">
        <v>675</v>
      </c>
      <c r="C156" s="96">
        <v>434011.67320000002</v>
      </c>
      <c r="D156" s="97">
        <v>190446.32</v>
      </c>
      <c r="E156" s="97">
        <v>35293.519999999997</v>
      </c>
      <c r="F156" s="97">
        <v>11874.34</v>
      </c>
      <c r="G156" s="97">
        <v>98375.98</v>
      </c>
      <c r="H156" s="97">
        <v>65586.25</v>
      </c>
      <c r="I156" s="97">
        <v>32435.263199999998</v>
      </c>
      <c r="J156" s="97">
        <v>0</v>
      </c>
      <c r="K156" s="97">
        <v>0</v>
      </c>
    </row>
    <row r="158" spans="1:11" x14ac:dyDescent="0.25">
      <c r="A158" s="94" t="s">
        <v>564</v>
      </c>
      <c r="B158" s="95" t="s">
        <v>676</v>
      </c>
      <c r="C158" s="96">
        <v>2597329.14</v>
      </c>
      <c r="D158" s="97">
        <v>893824.58</v>
      </c>
      <c r="E158" s="97">
        <v>412129.03</v>
      </c>
      <c r="F158" s="97">
        <v>190003.54</v>
      </c>
      <c r="G158" s="97">
        <v>422857.02</v>
      </c>
      <c r="H158" s="97">
        <v>617564.18999999994</v>
      </c>
      <c r="I158" s="97">
        <v>60950.78</v>
      </c>
      <c r="J158" s="97">
        <v>0</v>
      </c>
      <c r="K158" s="97">
        <v>0</v>
      </c>
    </row>
    <row r="160" spans="1:11" x14ac:dyDescent="0.25">
      <c r="A160" s="94" t="s">
        <v>989</v>
      </c>
      <c r="B160" s="95" t="s">
        <v>995</v>
      </c>
      <c r="C160" s="96">
        <v>223599.72</v>
      </c>
      <c r="D160" s="97">
        <v>111330.65</v>
      </c>
      <c r="E160" s="97">
        <v>112269.07</v>
      </c>
      <c r="F160" s="97">
        <v>0</v>
      </c>
      <c r="G160" s="97">
        <v>0</v>
      </c>
      <c r="H160" s="97">
        <v>0</v>
      </c>
      <c r="I160" s="97">
        <v>0</v>
      </c>
      <c r="J160" s="97">
        <v>0</v>
      </c>
      <c r="K160" s="97">
        <v>0</v>
      </c>
    </row>
    <row r="162" spans="1:11" x14ac:dyDescent="0.25">
      <c r="A162" s="94" t="s">
        <v>1108</v>
      </c>
      <c r="B162" s="95" t="s">
        <v>1109</v>
      </c>
      <c r="C162" s="96">
        <v>962.74</v>
      </c>
      <c r="D162" s="97">
        <v>962.74</v>
      </c>
      <c r="E162" s="97">
        <v>0</v>
      </c>
      <c r="F162" s="97">
        <v>0</v>
      </c>
      <c r="G162" s="97">
        <v>0</v>
      </c>
      <c r="H162" s="97">
        <v>0</v>
      </c>
      <c r="I162" s="97">
        <v>0</v>
      </c>
      <c r="J162" s="97">
        <v>0</v>
      </c>
      <c r="K162" s="97">
        <v>0</v>
      </c>
    </row>
    <row r="164" spans="1:11" x14ac:dyDescent="0.25">
      <c r="A164" s="94" t="s">
        <v>990</v>
      </c>
      <c r="B164" s="95" t="s">
        <v>1073</v>
      </c>
      <c r="C164" s="96">
        <v>1181270.5549999999</v>
      </c>
      <c r="D164" s="97">
        <v>798152.20499999996</v>
      </c>
      <c r="E164" s="97">
        <v>383118.35</v>
      </c>
      <c r="F164" s="97">
        <v>0</v>
      </c>
      <c r="G164" s="97">
        <v>0</v>
      </c>
      <c r="H164" s="97">
        <v>0</v>
      </c>
      <c r="I164" s="97">
        <v>0</v>
      </c>
      <c r="J164" s="97">
        <v>0</v>
      </c>
      <c r="K164" s="97">
        <v>0</v>
      </c>
    </row>
    <row r="166" spans="1:11" x14ac:dyDescent="0.25">
      <c r="A166" s="94" t="s">
        <v>1028</v>
      </c>
      <c r="B166" s="95" t="s">
        <v>1074</v>
      </c>
      <c r="C166" s="96">
        <v>10584.334999999999</v>
      </c>
      <c r="D166" s="97">
        <v>10584.334999999999</v>
      </c>
      <c r="E166" s="97">
        <v>0</v>
      </c>
      <c r="F166" s="97">
        <v>0</v>
      </c>
      <c r="G166" s="97">
        <v>0</v>
      </c>
      <c r="H166" s="97">
        <v>0</v>
      </c>
      <c r="I166" s="97">
        <v>0</v>
      </c>
      <c r="J166" s="97">
        <v>0</v>
      </c>
      <c r="K166" s="97">
        <v>0</v>
      </c>
    </row>
    <row r="169" spans="1:11" x14ac:dyDescent="0.25">
      <c r="C169" s="98">
        <v>15406018.586899996</v>
      </c>
      <c r="D169" s="99">
        <v>3620093.4273999999</v>
      </c>
      <c r="E169" s="99">
        <v>2003899.9615999996</v>
      </c>
      <c r="F169" s="99">
        <v>1482444.6879000003</v>
      </c>
      <c r="G169" s="99">
        <v>1468101.5805000002</v>
      </c>
      <c r="H169" s="99">
        <v>2286789.9684000001</v>
      </c>
      <c r="I169" s="99">
        <v>2681076.7095999997</v>
      </c>
      <c r="J169" s="99">
        <v>1857578.1715000002</v>
      </c>
      <c r="K169" s="99">
        <v>6034.08</v>
      </c>
    </row>
    <row r="172" spans="1:11" x14ac:dyDescent="0.25">
      <c r="A172" s="92" t="s">
        <v>499</v>
      </c>
    </row>
    <row r="174" spans="1:11" x14ac:dyDescent="0.25">
      <c r="A174" s="94" t="s">
        <v>903</v>
      </c>
      <c r="B174" s="95" t="s">
        <v>996</v>
      </c>
      <c r="C174" s="96">
        <v>362593.72</v>
      </c>
      <c r="D174" s="97">
        <v>177198.9</v>
      </c>
      <c r="E174" s="97">
        <v>185394.82</v>
      </c>
      <c r="F174" s="97">
        <v>0</v>
      </c>
      <c r="G174" s="97">
        <v>0</v>
      </c>
      <c r="H174" s="97">
        <v>0</v>
      </c>
      <c r="I174" s="97">
        <v>0</v>
      </c>
      <c r="J174" s="97">
        <v>0</v>
      </c>
      <c r="K174" s="97">
        <v>0</v>
      </c>
    </row>
    <row r="176" spans="1:11" x14ac:dyDescent="0.25">
      <c r="A176" s="94" t="s">
        <v>856</v>
      </c>
      <c r="B176" s="95" t="s">
        <v>882</v>
      </c>
      <c r="C176" s="96">
        <v>1216</v>
      </c>
      <c r="D176" s="97">
        <v>1216</v>
      </c>
      <c r="E176" s="97">
        <v>0</v>
      </c>
      <c r="F176" s="97">
        <v>0</v>
      </c>
      <c r="G176" s="97">
        <v>0</v>
      </c>
      <c r="H176" s="97">
        <v>0</v>
      </c>
      <c r="I176" s="97">
        <v>0</v>
      </c>
      <c r="J176" s="97">
        <v>0</v>
      </c>
      <c r="K176" s="97">
        <v>0</v>
      </c>
    </row>
    <row r="178" spans="1:11" x14ac:dyDescent="0.25">
      <c r="A178" s="94" t="s">
        <v>400</v>
      </c>
      <c r="B178" s="95" t="s">
        <v>541</v>
      </c>
      <c r="C178" s="96">
        <v>581319.88</v>
      </c>
      <c r="D178" s="97">
        <v>0</v>
      </c>
      <c r="E178" s="97">
        <v>0</v>
      </c>
      <c r="F178" s="97">
        <v>1260</v>
      </c>
      <c r="G178" s="97">
        <v>107096.1</v>
      </c>
      <c r="H178" s="97">
        <v>160973.59</v>
      </c>
      <c r="I178" s="97">
        <v>311990.19</v>
      </c>
      <c r="J178" s="97">
        <v>0</v>
      </c>
      <c r="K178" s="97">
        <v>0</v>
      </c>
    </row>
    <row r="180" spans="1:11" x14ac:dyDescent="0.25">
      <c r="A180" s="94" t="s">
        <v>100</v>
      </c>
      <c r="B180" s="95" t="s">
        <v>542</v>
      </c>
      <c r="C180" s="96">
        <v>93446.177599999995</v>
      </c>
      <c r="D180" s="97">
        <v>37756.42</v>
      </c>
      <c r="E180" s="97">
        <v>43118.117599999998</v>
      </c>
      <c r="F180" s="97">
        <v>12571.64</v>
      </c>
      <c r="G180" s="97">
        <v>0</v>
      </c>
      <c r="H180" s="97">
        <v>0</v>
      </c>
      <c r="I180" s="97">
        <v>0</v>
      </c>
      <c r="J180" s="97">
        <v>0</v>
      </c>
      <c r="K180" s="97">
        <v>0</v>
      </c>
    </row>
    <row r="182" spans="1:11" x14ac:dyDescent="0.25">
      <c r="A182" s="94" t="s">
        <v>330</v>
      </c>
      <c r="B182" s="95" t="s">
        <v>543</v>
      </c>
      <c r="C182" s="96">
        <v>570296.66</v>
      </c>
      <c r="D182" s="97">
        <v>553883.31000000006</v>
      </c>
      <c r="E182" s="97">
        <v>16413.349999999999</v>
      </c>
      <c r="F182" s="97">
        <v>0</v>
      </c>
      <c r="G182" s="97">
        <v>0</v>
      </c>
      <c r="H182" s="97">
        <v>0</v>
      </c>
      <c r="I182" s="97">
        <v>0</v>
      </c>
      <c r="J182" s="97">
        <v>0</v>
      </c>
      <c r="K182" s="97">
        <v>0</v>
      </c>
    </row>
    <row r="184" spans="1:11" x14ac:dyDescent="0.25">
      <c r="A184" s="94" t="s">
        <v>356</v>
      </c>
      <c r="B184" s="95" t="s">
        <v>776</v>
      </c>
      <c r="C184" s="96">
        <v>55020.85</v>
      </c>
      <c r="D184" s="97">
        <v>37232.75</v>
      </c>
      <c r="E184" s="97">
        <v>17788.099999999999</v>
      </c>
      <c r="F184" s="97">
        <v>0</v>
      </c>
      <c r="G184" s="97">
        <v>0</v>
      </c>
      <c r="H184" s="97">
        <v>0</v>
      </c>
      <c r="I184" s="97">
        <v>0</v>
      </c>
      <c r="J184" s="97">
        <v>0</v>
      </c>
      <c r="K184" s="97">
        <v>0</v>
      </c>
    </row>
    <row r="186" spans="1:11" x14ac:dyDescent="0.25">
      <c r="A186" s="94" t="s">
        <v>1007</v>
      </c>
      <c r="B186" s="95" t="s">
        <v>1131</v>
      </c>
      <c r="C186" s="96">
        <v>25967.174999999999</v>
      </c>
      <c r="D186" s="97">
        <v>25967.174999999999</v>
      </c>
      <c r="E186" s="97">
        <v>0</v>
      </c>
      <c r="F186" s="97">
        <v>0</v>
      </c>
      <c r="G186" s="97">
        <v>0</v>
      </c>
      <c r="H186" s="97">
        <v>0</v>
      </c>
      <c r="I186" s="97">
        <v>0</v>
      </c>
      <c r="J186" s="97">
        <v>0</v>
      </c>
      <c r="K186" s="97">
        <v>0</v>
      </c>
    </row>
    <row r="188" spans="1:11" x14ac:dyDescent="0.25">
      <c r="A188" s="94" t="s">
        <v>1053</v>
      </c>
      <c r="B188" s="95" t="s">
        <v>1075</v>
      </c>
      <c r="C188" s="96">
        <v>648392.31999999995</v>
      </c>
      <c r="D188" s="97">
        <v>648392.31999999995</v>
      </c>
      <c r="E188" s="97">
        <v>0</v>
      </c>
      <c r="F188" s="97">
        <v>0</v>
      </c>
      <c r="G188" s="97">
        <v>0</v>
      </c>
      <c r="H188" s="97">
        <v>0</v>
      </c>
      <c r="I188" s="97">
        <v>0</v>
      </c>
      <c r="J188" s="97">
        <v>0</v>
      </c>
      <c r="K188" s="97">
        <v>0</v>
      </c>
    </row>
    <row r="191" spans="1:11" x14ac:dyDescent="0.25">
      <c r="C191" s="98">
        <v>2338252.7826</v>
      </c>
      <c r="D191" s="99">
        <v>1481646.875</v>
      </c>
      <c r="E191" s="99">
        <v>262714.38759999996</v>
      </c>
      <c r="F191" s="99">
        <v>13831.64</v>
      </c>
      <c r="G191" s="99">
        <v>107096.1</v>
      </c>
      <c r="H191" s="99">
        <v>160973.59</v>
      </c>
      <c r="I191" s="99">
        <v>311990.19</v>
      </c>
      <c r="J191" s="99">
        <v>0</v>
      </c>
      <c r="K191" s="99">
        <v>0</v>
      </c>
    </row>
    <row r="194" spans="1:11" x14ac:dyDescent="0.25">
      <c r="A194" s="92" t="s">
        <v>936</v>
      </c>
    </row>
    <row r="196" spans="1:11" x14ac:dyDescent="0.25">
      <c r="A196" s="94" t="s">
        <v>396</v>
      </c>
      <c r="B196" s="95" t="s">
        <v>570</v>
      </c>
      <c r="C196" s="96">
        <v>48655.8</v>
      </c>
      <c r="D196" s="97">
        <v>48655.8</v>
      </c>
      <c r="E196" s="97">
        <v>0</v>
      </c>
      <c r="F196" s="97">
        <v>0</v>
      </c>
      <c r="G196" s="97">
        <v>0</v>
      </c>
      <c r="H196" s="97">
        <v>0</v>
      </c>
      <c r="I196" s="97">
        <v>0</v>
      </c>
      <c r="J196" s="97">
        <v>0</v>
      </c>
      <c r="K196" s="97">
        <v>0</v>
      </c>
    </row>
    <row r="198" spans="1:11" x14ac:dyDescent="0.25">
      <c r="A198" s="94" t="s">
        <v>574</v>
      </c>
      <c r="B198" s="95" t="s">
        <v>593</v>
      </c>
      <c r="C198" s="96">
        <v>358865.37</v>
      </c>
      <c r="D198" s="97">
        <v>287465.62</v>
      </c>
      <c r="E198" s="97">
        <v>50679.41</v>
      </c>
      <c r="F198" s="97">
        <v>5446.5</v>
      </c>
      <c r="G198" s="97">
        <v>3635.8</v>
      </c>
      <c r="H198" s="97">
        <v>11638.04</v>
      </c>
      <c r="I198" s="97">
        <v>0</v>
      </c>
      <c r="J198" s="97">
        <v>0</v>
      </c>
      <c r="K198" s="97">
        <v>0</v>
      </c>
    </row>
    <row r="201" spans="1:11" x14ac:dyDescent="0.25">
      <c r="C201" s="98">
        <v>407521.17</v>
      </c>
      <c r="D201" s="99">
        <v>336121.42</v>
      </c>
      <c r="E201" s="99">
        <v>50679.41</v>
      </c>
      <c r="F201" s="99">
        <v>5446.5</v>
      </c>
      <c r="G201" s="99">
        <v>3635.8</v>
      </c>
      <c r="H201" s="99">
        <v>11638.04</v>
      </c>
      <c r="I201" s="99">
        <v>0</v>
      </c>
      <c r="J201" s="99">
        <v>0</v>
      </c>
      <c r="K201" s="99">
        <v>0</v>
      </c>
    </row>
    <row r="204" spans="1:11" x14ac:dyDescent="0.25">
      <c r="A204" s="92" t="s">
        <v>500</v>
      </c>
    </row>
    <row r="206" spans="1:11" x14ac:dyDescent="0.25">
      <c r="A206" s="94" t="s">
        <v>644</v>
      </c>
      <c r="B206" s="95" t="s">
        <v>645</v>
      </c>
      <c r="C206" s="96">
        <v>3967.6</v>
      </c>
      <c r="D206" s="97">
        <v>0</v>
      </c>
      <c r="E206" s="97">
        <v>0</v>
      </c>
      <c r="F206" s="97">
        <v>0</v>
      </c>
      <c r="G206" s="97">
        <v>0</v>
      </c>
      <c r="H206" s="97">
        <v>0</v>
      </c>
      <c r="I206" s="97">
        <v>3967.6</v>
      </c>
      <c r="J206" s="97">
        <v>0</v>
      </c>
      <c r="K206" s="97">
        <v>0</v>
      </c>
    </row>
    <row r="208" spans="1:11" x14ac:dyDescent="0.25">
      <c r="A208" s="94" t="s">
        <v>777</v>
      </c>
      <c r="B208" s="95" t="s">
        <v>778</v>
      </c>
      <c r="C208" s="96">
        <v>21107.85</v>
      </c>
      <c r="D208" s="97">
        <v>0</v>
      </c>
      <c r="E208" s="97">
        <v>0</v>
      </c>
      <c r="F208" s="97">
        <v>4221.57</v>
      </c>
      <c r="G208" s="97">
        <v>0</v>
      </c>
      <c r="H208" s="97">
        <v>4221.57</v>
      </c>
      <c r="I208" s="97">
        <v>12664.71</v>
      </c>
      <c r="J208" s="97">
        <v>0</v>
      </c>
      <c r="K208" s="97">
        <v>0</v>
      </c>
    </row>
    <row r="210" spans="1:11" x14ac:dyDescent="0.25">
      <c r="A210" s="94" t="s">
        <v>809</v>
      </c>
      <c r="B210" s="95" t="s">
        <v>810</v>
      </c>
      <c r="C210" s="96">
        <v>30576.38</v>
      </c>
      <c r="D210" s="97">
        <v>0</v>
      </c>
      <c r="E210" s="97">
        <v>13202.13</v>
      </c>
      <c r="F210" s="97">
        <v>0</v>
      </c>
      <c r="G210" s="97">
        <v>0</v>
      </c>
      <c r="H210" s="97">
        <v>17374.25</v>
      </c>
      <c r="I210" s="97">
        <v>0</v>
      </c>
      <c r="J210" s="97">
        <v>0</v>
      </c>
      <c r="K210" s="97">
        <v>0</v>
      </c>
    </row>
    <row r="212" spans="1:11" x14ac:dyDescent="0.25">
      <c r="A212" s="94" t="s">
        <v>811</v>
      </c>
      <c r="B212" s="95" t="s">
        <v>812</v>
      </c>
      <c r="C212" s="96">
        <v>199561.94000000003</v>
      </c>
      <c r="D212" s="97">
        <v>0</v>
      </c>
      <c r="E212" s="97">
        <v>51209.337999999996</v>
      </c>
      <c r="F212" s="97">
        <v>0</v>
      </c>
      <c r="G212" s="97">
        <v>0</v>
      </c>
      <c r="H212" s="97">
        <v>148352.60200000004</v>
      </c>
      <c r="I212" s="97">
        <v>0</v>
      </c>
      <c r="J212" s="97">
        <v>0</v>
      </c>
      <c r="K212" s="97">
        <v>0</v>
      </c>
    </row>
    <row r="214" spans="1:11" x14ac:dyDescent="0.25">
      <c r="A214" s="94" t="s">
        <v>821</v>
      </c>
      <c r="B214" s="95" t="s">
        <v>822</v>
      </c>
      <c r="C214" s="96">
        <v>124536.5</v>
      </c>
      <c r="D214" s="97">
        <v>0</v>
      </c>
      <c r="E214" s="97">
        <v>0</v>
      </c>
      <c r="F214" s="97">
        <v>12384.35</v>
      </c>
      <c r="G214" s="97">
        <v>21150.799999999999</v>
      </c>
      <c r="H214" s="97">
        <v>91001.35</v>
      </c>
      <c r="I214" s="97">
        <v>0</v>
      </c>
      <c r="J214" s="97">
        <v>0</v>
      </c>
      <c r="K214" s="97">
        <v>0</v>
      </c>
    </row>
    <row r="216" spans="1:11" x14ac:dyDescent="0.25">
      <c r="A216" s="94" t="s">
        <v>823</v>
      </c>
      <c r="B216" s="95" t="s">
        <v>824</v>
      </c>
      <c r="C216" s="96">
        <v>118947.72</v>
      </c>
      <c r="D216" s="97">
        <v>77164.3</v>
      </c>
      <c r="E216" s="97">
        <v>35621.03</v>
      </c>
      <c r="F216" s="97">
        <v>5264.65</v>
      </c>
      <c r="G216" s="97">
        <v>0</v>
      </c>
      <c r="H216" s="97">
        <v>897.74</v>
      </c>
      <c r="I216" s="97">
        <v>0</v>
      </c>
      <c r="J216" s="97">
        <v>0</v>
      </c>
      <c r="K216" s="97">
        <v>0</v>
      </c>
    </row>
    <row r="218" spans="1:11" x14ac:dyDescent="0.25">
      <c r="A218" s="94" t="s">
        <v>840</v>
      </c>
      <c r="B218" s="95" t="s">
        <v>841</v>
      </c>
      <c r="C218" s="96">
        <v>20265.25</v>
      </c>
      <c r="D218" s="97">
        <v>17208.14</v>
      </c>
      <c r="E218" s="97">
        <v>2108.84</v>
      </c>
      <c r="F218" s="97">
        <v>948.27</v>
      </c>
      <c r="G218" s="97">
        <v>0</v>
      </c>
      <c r="H218" s="97">
        <v>0</v>
      </c>
      <c r="I218" s="97">
        <v>0</v>
      </c>
      <c r="J218" s="97">
        <v>0</v>
      </c>
      <c r="K218" s="97">
        <v>0</v>
      </c>
    </row>
    <row r="220" spans="1:11" x14ac:dyDescent="0.25">
      <c r="A220" s="94" t="s">
        <v>825</v>
      </c>
      <c r="B220" s="95" t="s">
        <v>826</v>
      </c>
      <c r="C220" s="96">
        <v>16321.31</v>
      </c>
      <c r="D220" s="97">
        <v>10317.34</v>
      </c>
      <c r="E220" s="97">
        <v>667.7</v>
      </c>
      <c r="F220" s="97">
        <v>3672.18</v>
      </c>
      <c r="G220" s="97">
        <v>1664.09</v>
      </c>
      <c r="H220" s="97">
        <v>0</v>
      </c>
      <c r="I220" s="97">
        <v>0</v>
      </c>
      <c r="J220" s="97">
        <v>0</v>
      </c>
      <c r="K220" s="97">
        <v>0</v>
      </c>
    </row>
    <row r="222" spans="1:11" x14ac:dyDescent="0.25">
      <c r="A222" s="94" t="s">
        <v>908</v>
      </c>
      <c r="B222" s="95" t="s">
        <v>1090</v>
      </c>
      <c r="C222" s="96">
        <v>2162.35</v>
      </c>
      <c r="D222" s="97">
        <v>2162.35</v>
      </c>
      <c r="E222" s="97">
        <v>0</v>
      </c>
      <c r="F222" s="97">
        <v>0</v>
      </c>
      <c r="G222" s="97">
        <v>0</v>
      </c>
      <c r="H222" s="97">
        <v>0</v>
      </c>
      <c r="I222" s="97">
        <v>0</v>
      </c>
      <c r="J222" s="97">
        <v>0</v>
      </c>
      <c r="K222" s="97">
        <v>0</v>
      </c>
    </row>
    <row r="224" spans="1:11" x14ac:dyDescent="0.25">
      <c r="A224" s="94" t="s">
        <v>848</v>
      </c>
      <c r="B224" s="95" t="s">
        <v>849</v>
      </c>
      <c r="C224" s="96">
        <v>274166</v>
      </c>
      <c r="D224" s="97">
        <v>99350</v>
      </c>
      <c r="E224" s="97">
        <v>0</v>
      </c>
      <c r="F224" s="97">
        <v>37502</v>
      </c>
      <c r="G224" s="97">
        <v>68324</v>
      </c>
      <c r="H224" s="97">
        <v>68990</v>
      </c>
      <c r="I224" s="97">
        <v>0</v>
      </c>
      <c r="J224" s="97">
        <v>0</v>
      </c>
      <c r="K224" s="97">
        <v>0</v>
      </c>
    </row>
    <row r="226" spans="1:11" x14ac:dyDescent="0.25">
      <c r="A226" s="94" t="s">
        <v>865</v>
      </c>
      <c r="B226" s="95" t="s">
        <v>866</v>
      </c>
      <c r="C226" s="96">
        <v>149539</v>
      </c>
      <c r="D226" s="97">
        <v>0</v>
      </c>
      <c r="E226" s="97">
        <v>0</v>
      </c>
      <c r="F226" s="97">
        <v>0</v>
      </c>
      <c r="G226" s="97">
        <v>63180</v>
      </c>
      <c r="H226" s="97">
        <v>86359</v>
      </c>
      <c r="I226" s="97">
        <v>0</v>
      </c>
      <c r="J226" s="97">
        <v>0</v>
      </c>
      <c r="K226" s="97">
        <v>0</v>
      </c>
    </row>
    <row r="228" spans="1:11" x14ac:dyDescent="0.25">
      <c r="A228" s="94" t="s">
        <v>892</v>
      </c>
      <c r="B228" s="95" t="s">
        <v>893</v>
      </c>
      <c r="C228" s="96">
        <v>24000</v>
      </c>
      <c r="D228" s="97">
        <v>0</v>
      </c>
      <c r="E228" s="97">
        <v>0</v>
      </c>
      <c r="F228" s="97">
        <v>0</v>
      </c>
      <c r="G228" s="97">
        <v>24000</v>
      </c>
      <c r="H228" s="97">
        <v>0</v>
      </c>
      <c r="I228" s="97">
        <v>0</v>
      </c>
      <c r="J228" s="97">
        <v>0</v>
      </c>
      <c r="K228" s="97">
        <v>0</v>
      </c>
    </row>
    <row r="230" spans="1:11" x14ac:dyDescent="0.25">
      <c r="A230" s="94" t="s">
        <v>909</v>
      </c>
      <c r="B230" s="95" t="s">
        <v>910</v>
      </c>
      <c r="C230" s="96">
        <v>42759.8</v>
      </c>
      <c r="D230" s="97">
        <v>0</v>
      </c>
      <c r="E230" s="97">
        <v>0</v>
      </c>
      <c r="F230" s="97">
        <v>0</v>
      </c>
      <c r="G230" s="97">
        <v>42759.8</v>
      </c>
      <c r="H230" s="97">
        <v>0</v>
      </c>
      <c r="I230" s="97">
        <v>0</v>
      </c>
      <c r="J230" s="97">
        <v>0</v>
      </c>
      <c r="K230" s="97">
        <v>0</v>
      </c>
    </row>
    <row r="232" spans="1:11" x14ac:dyDescent="0.25">
      <c r="A232" s="94" t="s">
        <v>937</v>
      </c>
      <c r="B232" s="95" t="s">
        <v>938</v>
      </c>
      <c r="C232" s="96">
        <v>112064</v>
      </c>
      <c r="D232" s="97">
        <v>69210</v>
      </c>
      <c r="E232" s="97">
        <v>0</v>
      </c>
      <c r="F232" s="97">
        <v>42854</v>
      </c>
      <c r="G232" s="97">
        <v>0</v>
      </c>
      <c r="H232" s="97">
        <v>0</v>
      </c>
      <c r="I232" s="97">
        <v>0</v>
      </c>
      <c r="J232" s="97">
        <v>0</v>
      </c>
      <c r="K232" s="97">
        <v>0</v>
      </c>
    </row>
    <row r="234" spans="1:11" x14ac:dyDescent="0.25">
      <c r="A234" s="94" t="s">
        <v>961</v>
      </c>
      <c r="B234" s="95" t="s">
        <v>962</v>
      </c>
      <c r="C234" s="96">
        <v>20988</v>
      </c>
      <c r="D234" s="97">
        <v>0</v>
      </c>
      <c r="E234" s="97">
        <v>0</v>
      </c>
      <c r="F234" s="97">
        <v>20988</v>
      </c>
      <c r="G234" s="97">
        <v>0</v>
      </c>
      <c r="H234" s="97">
        <v>0</v>
      </c>
      <c r="I234" s="97">
        <v>0</v>
      </c>
      <c r="J234" s="97">
        <v>0</v>
      </c>
      <c r="K234" s="97">
        <v>0</v>
      </c>
    </row>
    <row r="236" spans="1:11" x14ac:dyDescent="0.25">
      <c r="A236" s="94" t="s">
        <v>1076</v>
      </c>
      <c r="B236" s="95" t="s">
        <v>1077</v>
      </c>
      <c r="C236" s="96">
        <v>139616.73000000001</v>
      </c>
      <c r="D236" s="97">
        <v>139616.73000000001</v>
      </c>
      <c r="E236" s="97">
        <v>0</v>
      </c>
      <c r="F236" s="97">
        <v>0</v>
      </c>
      <c r="G236" s="97">
        <v>0</v>
      </c>
      <c r="H236" s="97">
        <v>0</v>
      </c>
      <c r="I236" s="97">
        <v>0</v>
      </c>
      <c r="J236" s="97">
        <v>0</v>
      </c>
      <c r="K236" s="97">
        <v>0</v>
      </c>
    </row>
    <row r="238" spans="1:11" x14ac:dyDescent="0.25">
      <c r="A238" s="94" t="s">
        <v>997</v>
      </c>
      <c r="B238" s="95" t="s">
        <v>998</v>
      </c>
      <c r="C238" s="96">
        <v>13334.1</v>
      </c>
      <c r="D238" s="97">
        <v>0</v>
      </c>
      <c r="E238" s="97">
        <v>13334.1</v>
      </c>
      <c r="F238" s="97">
        <v>0</v>
      </c>
      <c r="G238" s="97">
        <v>0</v>
      </c>
      <c r="H238" s="97">
        <v>0</v>
      </c>
      <c r="I238" s="97">
        <v>0</v>
      </c>
      <c r="J238" s="97">
        <v>0</v>
      </c>
      <c r="K238" s="97">
        <v>0</v>
      </c>
    </row>
    <row r="240" spans="1:11" x14ac:dyDescent="0.25">
      <c r="A240" s="94" t="s">
        <v>1055</v>
      </c>
      <c r="B240" s="95" t="s">
        <v>1091</v>
      </c>
      <c r="C240" s="96">
        <v>110965.26</v>
      </c>
      <c r="D240" s="97">
        <v>110965.26</v>
      </c>
      <c r="E240" s="97">
        <v>0</v>
      </c>
      <c r="F240" s="97">
        <v>0</v>
      </c>
      <c r="G240" s="97">
        <v>0</v>
      </c>
      <c r="H240" s="97">
        <v>0</v>
      </c>
      <c r="I240" s="97">
        <v>0</v>
      </c>
      <c r="J240" s="97">
        <v>0</v>
      </c>
      <c r="K240" s="97">
        <v>0</v>
      </c>
    </row>
    <row r="242" spans="1:11" x14ac:dyDescent="0.25">
      <c r="A242" s="94" t="s">
        <v>939</v>
      </c>
      <c r="B242" s="95" t="s">
        <v>940</v>
      </c>
      <c r="C242" s="96">
        <v>406452.25</v>
      </c>
      <c r="D242" s="97">
        <v>164625.66</v>
      </c>
      <c r="E242" s="97">
        <v>15661.53</v>
      </c>
      <c r="F242" s="97">
        <v>208027.66</v>
      </c>
      <c r="G242" s="97">
        <v>18137.400000000001</v>
      </c>
      <c r="H242" s="97">
        <v>0</v>
      </c>
      <c r="I242" s="97">
        <v>0</v>
      </c>
      <c r="J242" s="97">
        <v>0</v>
      </c>
      <c r="K242" s="97">
        <v>0</v>
      </c>
    </row>
    <row r="244" spans="1:11" x14ac:dyDescent="0.25">
      <c r="A244" s="94" t="s">
        <v>455</v>
      </c>
      <c r="B244" s="95" t="s">
        <v>606</v>
      </c>
      <c r="C244" s="96">
        <v>2510476.0474999999</v>
      </c>
      <c r="D244" s="97">
        <v>1446189.5575000001</v>
      </c>
      <c r="E244" s="97">
        <v>470517.7</v>
      </c>
      <c r="F244" s="97">
        <v>341307.97</v>
      </c>
      <c r="G244" s="97">
        <v>222409.22</v>
      </c>
      <c r="H244" s="97">
        <v>18325.099999999999</v>
      </c>
      <c r="I244" s="97">
        <v>11726.5</v>
      </c>
      <c r="J244" s="97">
        <v>0</v>
      </c>
      <c r="K244" s="97">
        <v>0</v>
      </c>
    </row>
    <row r="246" spans="1:11" x14ac:dyDescent="0.25">
      <c r="A246" s="94" t="s">
        <v>456</v>
      </c>
      <c r="B246" s="95" t="s">
        <v>1092</v>
      </c>
      <c r="C246" s="96">
        <v>77831.320000000007</v>
      </c>
      <c r="D246" s="97">
        <v>0</v>
      </c>
      <c r="E246" s="97">
        <v>72703.12</v>
      </c>
      <c r="F246" s="97">
        <v>5128.2</v>
      </c>
      <c r="G246" s="97">
        <v>0</v>
      </c>
      <c r="H246" s="97">
        <v>0</v>
      </c>
      <c r="I246" s="97">
        <v>0</v>
      </c>
      <c r="J246" s="97">
        <v>0</v>
      </c>
      <c r="K246" s="97">
        <v>0</v>
      </c>
    </row>
    <row r="249" spans="1:11" x14ac:dyDescent="0.25">
      <c r="C249" s="98">
        <v>4419639.4074999997</v>
      </c>
      <c r="D249" s="99">
        <v>2136809.3374999999</v>
      </c>
      <c r="E249" s="99">
        <v>675025.48800000001</v>
      </c>
      <c r="F249" s="99">
        <v>682298.85</v>
      </c>
      <c r="G249" s="99">
        <v>461625.31</v>
      </c>
      <c r="H249" s="99">
        <v>435521.61200000002</v>
      </c>
      <c r="I249" s="99">
        <v>28358.81</v>
      </c>
      <c r="J249" s="99">
        <v>0</v>
      </c>
      <c r="K249" s="99">
        <v>0</v>
      </c>
    </row>
    <row r="252" spans="1:11" x14ac:dyDescent="0.25">
      <c r="A252" s="92" t="s">
        <v>514</v>
      </c>
    </row>
    <row r="254" spans="1:11" x14ac:dyDescent="0.25">
      <c r="A254" s="94" t="s">
        <v>779</v>
      </c>
      <c r="B254" s="95" t="s">
        <v>780</v>
      </c>
      <c r="C254" s="96">
        <v>18413</v>
      </c>
      <c r="D254" s="97">
        <v>0</v>
      </c>
      <c r="E254" s="97">
        <v>0</v>
      </c>
      <c r="F254" s="97">
        <v>2502</v>
      </c>
      <c r="G254" s="97">
        <v>0</v>
      </c>
      <c r="H254" s="97">
        <v>4967</v>
      </c>
      <c r="I254" s="97">
        <v>10944</v>
      </c>
      <c r="J254" s="97">
        <v>0</v>
      </c>
      <c r="K254" s="97">
        <v>0</v>
      </c>
    </row>
    <row r="256" spans="1:11" x14ac:dyDescent="0.25">
      <c r="A256" s="94" t="s">
        <v>787</v>
      </c>
      <c r="B256" s="95" t="s">
        <v>797</v>
      </c>
      <c r="C256" s="96">
        <v>16713.5</v>
      </c>
      <c r="D256" s="97">
        <v>0</v>
      </c>
      <c r="E256" s="97">
        <v>0</v>
      </c>
      <c r="F256" s="97">
        <v>874.5</v>
      </c>
      <c r="G256" s="97">
        <v>6384</v>
      </c>
      <c r="H256" s="97">
        <v>9455</v>
      </c>
      <c r="I256" s="97">
        <v>0</v>
      </c>
      <c r="J256" s="97">
        <v>0</v>
      </c>
      <c r="K256" s="97">
        <v>0</v>
      </c>
    </row>
    <row r="258" spans="1:11" x14ac:dyDescent="0.25">
      <c r="A258" s="94" t="s">
        <v>124</v>
      </c>
      <c r="B258" s="95" t="s">
        <v>648</v>
      </c>
      <c r="C258" s="96">
        <v>1841558.61</v>
      </c>
      <c r="D258" s="97">
        <v>784441.16</v>
      </c>
      <c r="E258" s="97">
        <v>332605.46999999997</v>
      </c>
      <c r="F258" s="97">
        <v>277760.82</v>
      </c>
      <c r="G258" s="97">
        <v>71024.47</v>
      </c>
      <c r="H258" s="97">
        <v>277423.32</v>
      </c>
      <c r="I258" s="97">
        <v>98303.37</v>
      </c>
      <c r="J258" s="97">
        <v>0</v>
      </c>
      <c r="K258" s="97">
        <v>0</v>
      </c>
    </row>
    <row r="260" spans="1:11" x14ac:dyDescent="0.25">
      <c r="A260" s="94" t="s">
        <v>137</v>
      </c>
      <c r="B260" s="95" t="s">
        <v>544</v>
      </c>
      <c r="C260" s="96">
        <v>427835.32</v>
      </c>
      <c r="D260" s="97">
        <v>110787.25</v>
      </c>
      <c r="E260" s="97">
        <v>203809.65</v>
      </c>
      <c r="F260" s="97">
        <v>41106.550000000003</v>
      </c>
      <c r="G260" s="97">
        <v>29353.41</v>
      </c>
      <c r="H260" s="97">
        <v>40981.85</v>
      </c>
      <c r="I260" s="97">
        <v>1796.61</v>
      </c>
      <c r="J260" s="97">
        <v>0</v>
      </c>
      <c r="K260" s="97">
        <v>0</v>
      </c>
    </row>
    <row r="262" spans="1:11" x14ac:dyDescent="0.25">
      <c r="A262" s="94" t="s">
        <v>721</v>
      </c>
      <c r="B262" s="95" t="s">
        <v>742</v>
      </c>
      <c r="C262" s="96">
        <v>753774.74</v>
      </c>
      <c r="D262" s="97">
        <v>130950.1</v>
      </c>
      <c r="E262" s="97">
        <v>133366.38</v>
      </c>
      <c r="F262" s="97">
        <v>158367.44</v>
      </c>
      <c r="G262" s="97">
        <v>210251.82</v>
      </c>
      <c r="H262" s="97">
        <v>110910.5</v>
      </c>
      <c r="I262" s="97">
        <v>8786.5</v>
      </c>
      <c r="J262" s="97">
        <v>1142</v>
      </c>
      <c r="K262" s="97">
        <v>0</v>
      </c>
    </row>
    <row r="264" spans="1:11" x14ac:dyDescent="0.25">
      <c r="A264" s="94" t="s">
        <v>161</v>
      </c>
      <c r="B264" s="95" t="s">
        <v>546</v>
      </c>
      <c r="C264" s="96">
        <v>159733.20000000001</v>
      </c>
      <c r="D264" s="97">
        <v>40197.449999999997</v>
      </c>
      <c r="E264" s="97">
        <v>22434.94</v>
      </c>
      <c r="F264" s="97">
        <v>55899.86</v>
      </c>
      <c r="G264" s="97">
        <v>1280</v>
      </c>
      <c r="H264" s="97">
        <v>3751.55</v>
      </c>
      <c r="I264" s="97">
        <v>36169.4</v>
      </c>
      <c r="J264" s="97">
        <v>0</v>
      </c>
      <c r="K264" s="97">
        <v>0</v>
      </c>
    </row>
    <row r="266" spans="1:11" x14ac:dyDescent="0.25">
      <c r="A266" s="94" t="s">
        <v>160</v>
      </c>
      <c r="B266" s="95" t="s">
        <v>943</v>
      </c>
      <c r="C266" s="96">
        <v>14268.2</v>
      </c>
      <c r="D266" s="97">
        <v>68.2</v>
      </c>
      <c r="E266" s="97">
        <v>10330</v>
      </c>
      <c r="F266" s="97">
        <v>3870</v>
      </c>
      <c r="G266" s="97">
        <v>0</v>
      </c>
      <c r="H266" s="97">
        <v>0</v>
      </c>
      <c r="I266" s="97">
        <v>0</v>
      </c>
      <c r="J266" s="97">
        <v>0</v>
      </c>
      <c r="K266" s="97">
        <v>0</v>
      </c>
    </row>
    <row r="268" spans="1:11" x14ac:dyDescent="0.25">
      <c r="A268" s="94" t="s">
        <v>172</v>
      </c>
      <c r="B268" s="95" t="s">
        <v>545</v>
      </c>
      <c r="C268" s="96">
        <v>487533.22</v>
      </c>
      <c r="D268" s="97">
        <v>179548.03</v>
      </c>
      <c r="E268" s="97">
        <v>71812.820000000007</v>
      </c>
      <c r="F268" s="97">
        <v>60906.03</v>
      </c>
      <c r="G268" s="97">
        <v>50662.93</v>
      </c>
      <c r="H268" s="97">
        <v>100174.06</v>
      </c>
      <c r="I268" s="97">
        <v>24429.35</v>
      </c>
      <c r="J268" s="97">
        <v>0</v>
      </c>
      <c r="K268" s="97">
        <v>0</v>
      </c>
    </row>
    <row r="270" spans="1:11" x14ac:dyDescent="0.25">
      <c r="A270" s="94" t="s">
        <v>913</v>
      </c>
      <c r="B270" s="95" t="s">
        <v>914</v>
      </c>
      <c r="C270" s="96">
        <v>90171.85</v>
      </c>
      <c r="D270" s="97">
        <v>24983.81</v>
      </c>
      <c r="E270" s="97">
        <v>31027.05</v>
      </c>
      <c r="F270" s="97">
        <v>16587.740000000002</v>
      </c>
      <c r="G270" s="97">
        <v>17573.25</v>
      </c>
      <c r="H270" s="97">
        <v>0</v>
      </c>
      <c r="I270" s="97">
        <v>0</v>
      </c>
      <c r="J270" s="97">
        <v>0</v>
      </c>
      <c r="K270" s="97">
        <v>0</v>
      </c>
    </row>
    <row r="273" spans="1:11" x14ac:dyDescent="0.25">
      <c r="C273" s="98">
        <v>3810001.64</v>
      </c>
      <c r="D273" s="99">
        <v>1270976</v>
      </c>
      <c r="E273" s="99">
        <v>805386.31</v>
      </c>
      <c r="F273" s="99">
        <v>617874.93999999994</v>
      </c>
      <c r="G273" s="99">
        <v>386529.88</v>
      </c>
      <c r="H273" s="99">
        <v>547663.28</v>
      </c>
      <c r="I273" s="99">
        <v>180429.23</v>
      </c>
      <c r="J273" s="99">
        <v>1142</v>
      </c>
      <c r="K273" s="99">
        <v>0</v>
      </c>
    </row>
    <row r="276" spans="1:11" x14ac:dyDescent="0.25">
      <c r="A276" s="92" t="s">
        <v>515</v>
      </c>
    </row>
    <row r="278" spans="1:11" x14ac:dyDescent="0.25">
      <c r="A278" s="94" t="s">
        <v>143</v>
      </c>
      <c r="B278" s="95" t="s">
        <v>567</v>
      </c>
      <c r="C278" s="96">
        <v>203419.05</v>
      </c>
      <c r="D278" s="97">
        <v>171334.85</v>
      </c>
      <c r="E278" s="97">
        <v>24740.2</v>
      </c>
      <c r="F278" s="97">
        <v>3240</v>
      </c>
      <c r="G278" s="97">
        <v>4104</v>
      </c>
      <c r="H278" s="97">
        <v>0</v>
      </c>
      <c r="I278" s="97">
        <v>0</v>
      </c>
      <c r="J278" s="97">
        <v>0</v>
      </c>
      <c r="K278" s="97">
        <v>0</v>
      </c>
    </row>
    <row r="280" spans="1:11" x14ac:dyDescent="0.25">
      <c r="A280" s="94" t="s">
        <v>182</v>
      </c>
      <c r="B280" s="95" t="s">
        <v>568</v>
      </c>
      <c r="C280" s="96">
        <v>1253156.8999999999</v>
      </c>
      <c r="D280" s="97">
        <v>790815.1</v>
      </c>
      <c r="E280" s="97">
        <v>287272.3</v>
      </c>
      <c r="F280" s="97">
        <v>160311</v>
      </c>
      <c r="G280" s="97">
        <v>4212.55</v>
      </c>
      <c r="H280" s="97">
        <v>2588</v>
      </c>
      <c r="I280" s="97">
        <v>7957.95</v>
      </c>
      <c r="J280" s="97">
        <v>0</v>
      </c>
      <c r="K280" s="97">
        <v>0</v>
      </c>
    </row>
    <row r="282" spans="1:11" x14ac:dyDescent="0.25">
      <c r="A282" s="94" t="s">
        <v>321</v>
      </c>
      <c r="B282" s="95" t="s">
        <v>664</v>
      </c>
      <c r="C282" s="96">
        <v>168769.55</v>
      </c>
      <c r="D282" s="97">
        <v>168769.55</v>
      </c>
      <c r="E282" s="97">
        <v>0</v>
      </c>
      <c r="F282" s="97">
        <v>0</v>
      </c>
      <c r="G282" s="97">
        <v>0</v>
      </c>
      <c r="H282" s="97">
        <v>0</v>
      </c>
      <c r="I282" s="97">
        <v>0</v>
      </c>
      <c r="J282" s="97">
        <v>0</v>
      </c>
      <c r="K282" s="97">
        <v>0</v>
      </c>
    </row>
    <row r="284" spans="1:11" x14ac:dyDescent="0.25">
      <c r="A284" s="94" t="s">
        <v>649</v>
      </c>
      <c r="B284" s="95" t="s">
        <v>650</v>
      </c>
      <c r="C284" s="96">
        <v>864605.35</v>
      </c>
      <c r="D284" s="97">
        <v>510737.76</v>
      </c>
      <c r="E284" s="97">
        <v>266111.07</v>
      </c>
      <c r="F284" s="97">
        <v>75065.679999999993</v>
      </c>
      <c r="G284" s="97">
        <v>0</v>
      </c>
      <c r="H284" s="97">
        <v>0</v>
      </c>
      <c r="I284" s="97">
        <v>12690.84</v>
      </c>
      <c r="J284" s="97">
        <v>0</v>
      </c>
      <c r="K284" s="97">
        <v>0</v>
      </c>
    </row>
    <row r="286" spans="1:11" x14ac:dyDescent="0.25">
      <c r="A286" s="94" t="s">
        <v>928</v>
      </c>
      <c r="B286" s="95" t="s">
        <v>944</v>
      </c>
      <c r="C286" s="96">
        <v>398707.22</v>
      </c>
      <c r="D286" s="97">
        <v>398707.22</v>
      </c>
      <c r="E286" s="97">
        <v>0</v>
      </c>
      <c r="F286" s="97">
        <v>0</v>
      </c>
      <c r="G286" s="97">
        <v>0</v>
      </c>
      <c r="H286" s="97">
        <v>0</v>
      </c>
      <c r="I286" s="97">
        <v>0</v>
      </c>
      <c r="J286" s="97">
        <v>0</v>
      </c>
      <c r="K286" s="97">
        <v>0</v>
      </c>
    </row>
    <row r="288" spans="1:11" x14ac:dyDescent="0.25">
      <c r="A288" s="94" t="s">
        <v>902</v>
      </c>
      <c r="B288" s="95" t="s">
        <v>999</v>
      </c>
      <c r="C288" s="96">
        <v>41565.599999999999</v>
      </c>
      <c r="D288" s="97">
        <v>-351.39999999999969</v>
      </c>
      <c r="E288" s="97">
        <v>41917</v>
      </c>
      <c r="F288" s="97">
        <v>0</v>
      </c>
      <c r="G288" s="97">
        <v>0</v>
      </c>
      <c r="H288" s="97">
        <v>0</v>
      </c>
      <c r="I288" s="97">
        <v>0</v>
      </c>
      <c r="J288" s="97">
        <v>0</v>
      </c>
      <c r="K288" s="97">
        <v>0</v>
      </c>
    </row>
    <row r="290" spans="1:11" x14ac:dyDescent="0.25">
      <c r="A290" s="94" t="s">
        <v>1103</v>
      </c>
      <c r="B290" s="95" t="s">
        <v>1132</v>
      </c>
      <c r="C290" s="96">
        <v>10040</v>
      </c>
      <c r="D290" s="97">
        <v>10040</v>
      </c>
      <c r="E290" s="97">
        <v>0</v>
      </c>
      <c r="F290" s="97">
        <v>0</v>
      </c>
      <c r="G290" s="97">
        <v>0</v>
      </c>
      <c r="H290" s="97">
        <v>0</v>
      </c>
      <c r="I290" s="97">
        <v>0</v>
      </c>
      <c r="J290" s="97">
        <v>0</v>
      </c>
      <c r="K290" s="97">
        <v>0</v>
      </c>
    </row>
    <row r="292" spans="1:11" x14ac:dyDescent="0.25">
      <c r="A292" s="94" t="s">
        <v>1027</v>
      </c>
      <c r="B292" s="95" t="s">
        <v>1093</v>
      </c>
      <c r="C292" s="96">
        <v>10000</v>
      </c>
      <c r="D292" s="97">
        <v>0</v>
      </c>
      <c r="E292" s="97">
        <v>10000</v>
      </c>
      <c r="F292" s="97">
        <v>0</v>
      </c>
      <c r="G292" s="97">
        <v>0</v>
      </c>
      <c r="H292" s="97">
        <v>0</v>
      </c>
      <c r="I292" s="97">
        <v>0</v>
      </c>
      <c r="J292" s="97">
        <v>0</v>
      </c>
      <c r="K292" s="97">
        <v>0</v>
      </c>
    </row>
    <row r="295" spans="1:11" x14ac:dyDescent="0.25">
      <c r="C295" s="98">
        <v>2950263.67</v>
      </c>
      <c r="D295" s="99">
        <v>2050053.08</v>
      </c>
      <c r="E295" s="99">
        <v>630040.56999999995</v>
      </c>
      <c r="F295" s="99">
        <v>238616.68</v>
      </c>
      <c r="G295" s="99">
        <v>8316.5499999999993</v>
      </c>
      <c r="H295" s="99">
        <v>2588</v>
      </c>
      <c r="I295" s="99">
        <v>20648.79</v>
      </c>
      <c r="J295" s="99">
        <v>0</v>
      </c>
      <c r="K295" s="99">
        <v>0</v>
      </c>
    </row>
    <row r="298" spans="1:11" x14ac:dyDescent="0.25">
      <c r="A298" s="92" t="s">
        <v>517</v>
      </c>
    </row>
    <row r="300" spans="1:11" x14ac:dyDescent="0.25">
      <c r="A300" s="94" t="s">
        <v>131</v>
      </c>
      <c r="B300" s="95" t="s">
        <v>547</v>
      </c>
      <c r="C300" s="96">
        <v>108423.91</v>
      </c>
      <c r="D300" s="97">
        <v>57178.32</v>
      </c>
      <c r="E300" s="97">
        <v>40359.94</v>
      </c>
      <c r="F300" s="97">
        <v>0</v>
      </c>
      <c r="G300" s="97">
        <v>0</v>
      </c>
      <c r="H300" s="97">
        <v>10885.65</v>
      </c>
      <c r="I300" s="97">
        <v>0</v>
      </c>
      <c r="J300" s="97">
        <v>0</v>
      </c>
      <c r="K300" s="97">
        <v>0</v>
      </c>
    </row>
    <row r="302" spans="1:11" x14ac:dyDescent="0.25">
      <c r="A302" s="94" t="s">
        <v>850</v>
      </c>
      <c r="B302" s="95" t="s">
        <v>851</v>
      </c>
      <c r="C302" s="96">
        <v>164530.7844</v>
      </c>
      <c r="D302" s="97">
        <v>54569.067900000002</v>
      </c>
      <c r="E302" s="97">
        <v>50239.726500000004</v>
      </c>
      <c r="F302" s="97">
        <v>24101.86</v>
      </c>
      <c r="G302" s="97">
        <v>0</v>
      </c>
      <c r="H302" s="97">
        <v>35620.129999999997</v>
      </c>
      <c r="I302" s="97">
        <v>0</v>
      </c>
      <c r="J302" s="97">
        <v>0</v>
      </c>
      <c r="K302" s="97">
        <v>0</v>
      </c>
    </row>
    <row r="304" spans="1:11" x14ac:dyDescent="0.25">
      <c r="A304" s="94" t="s">
        <v>752</v>
      </c>
      <c r="B304" s="95" t="s">
        <v>753</v>
      </c>
      <c r="C304" s="96">
        <v>983.92</v>
      </c>
      <c r="D304" s="97">
        <v>983.92</v>
      </c>
      <c r="E304" s="97">
        <v>0</v>
      </c>
      <c r="F304" s="97">
        <v>0</v>
      </c>
      <c r="G304" s="97">
        <v>0</v>
      </c>
      <c r="H304" s="97">
        <v>0</v>
      </c>
      <c r="I304" s="97">
        <v>0</v>
      </c>
      <c r="J304" s="97">
        <v>0</v>
      </c>
      <c r="K304" s="97">
        <v>0</v>
      </c>
    </row>
    <row r="306" spans="1:11" x14ac:dyDescent="0.25">
      <c r="A306" s="94" t="s">
        <v>1031</v>
      </c>
      <c r="B306" s="95" t="s">
        <v>1032</v>
      </c>
      <c r="C306" s="96">
        <v>52675.199999999997</v>
      </c>
      <c r="D306" s="97">
        <v>43859.63</v>
      </c>
      <c r="E306" s="97">
        <v>8815.57</v>
      </c>
      <c r="F306" s="97">
        <v>0</v>
      </c>
      <c r="G306" s="97">
        <v>0</v>
      </c>
      <c r="H306" s="97">
        <v>0</v>
      </c>
      <c r="I306" s="97">
        <v>0</v>
      </c>
      <c r="J306" s="97">
        <v>0</v>
      </c>
      <c r="K306" s="97">
        <v>0</v>
      </c>
    </row>
    <row r="308" spans="1:11" x14ac:dyDescent="0.25">
      <c r="A308" s="94" t="s">
        <v>61</v>
      </c>
      <c r="B308" s="95" t="s">
        <v>969</v>
      </c>
      <c r="C308" s="96">
        <v>6225.64</v>
      </c>
      <c r="D308" s="97">
        <v>0</v>
      </c>
      <c r="E308" s="97">
        <v>0</v>
      </c>
      <c r="F308" s="97">
        <v>0</v>
      </c>
      <c r="G308" s="97">
        <v>0</v>
      </c>
      <c r="H308" s="97">
        <v>3112.82</v>
      </c>
      <c r="I308" s="97">
        <v>0</v>
      </c>
      <c r="J308" s="97">
        <v>3112.82</v>
      </c>
      <c r="K308" s="97">
        <v>0</v>
      </c>
    </row>
    <row r="310" spans="1:11" x14ac:dyDescent="0.25">
      <c r="A310" s="94" t="s">
        <v>60</v>
      </c>
      <c r="B310" s="95" t="s">
        <v>548</v>
      </c>
      <c r="C310" s="96">
        <v>189110.72500000001</v>
      </c>
      <c r="D310" s="97">
        <v>144748.54500000001</v>
      </c>
      <c r="E310" s="97">
        <v>36126.730000000003</v>
      </c>
      <c r="F310" s="97">
        <v>0</v>
      </c>
      <c r="G310" s="97">
        <v>0</v>
      </c>
      <c r="H310" s="97">
        <v>0</v>
      </c>
      <c r="I310" s="97">
        <v>8235.4500000000007</v>
      </c>
      <c r="J310" s="97">
        <v>0</v>
      </c>
      <c r="K310" s="97">
        <v>0</v>
      </c>
    </row>
    <row r="312" spans="1:11" x14ac:dyDescent="0.25">
      <c r="A312" s="94" t="s">
        <v>754</v>
      </c>
      <c r="B312" s="95" t="s">
        <v>755</v>
      </c>
      <c r="C312" s="96">
        <v>37513.32</v>
      </c>
      <c r="D312" s="97">
        <v>2014.72</v>
      </c>
      <c r="E312" s="97">
        <v>2529.44</v>
      </c>
      <c r="F312" s="97">
        <v>32969.160000000003</v>
      </c>
      <c r="G312" s="97">
        <v>0</v>
      </c>
      <c r="H312" s="97">
        <v>0</v>
      </c>
      <c r="I312" s="97">
        <v>0</v>
      </c>
      <c r="J312" s="97">
        <v>0</v>
      </c>
      <c r="K312" s="97">
        <v>0</v>
      </c>
    </row>
    <row r="314" spans="1:11" x14ac:dyDescent="0.25">
      <c r="A314" s="94" t="s">
        <v>1006</v>
      </c>
      <c r="B314" s="95" t="s">
        <v>1013</v>
      </c>
      <c r="C314" s="96">
        <v>21844.2</v>
      </c>
      <c r="D314" s="97">
        <v>21844.2</v>
      </c>
      <c r="E314" s="97">
        <v>0</v>
      </c>
      <c r="F314" s="97">
        <v>0</v>
      </c>
      <c r="G314" s="97">
        <v>0</v>
      </c>
      <c r="H314" s="97">
        <v>0</v>
      </c>
      <c r="I314" s="97">
        <v>0</v>
      </c>
      <c r="J314" s="97">
        <v>0</v>
      </c>
      <c r="K314" s="97">
        <v>0</v>
      </c>
    </row>
    <row r="316" spans="1:11" x14ac:dyDescent="0.25">
      <c r="A316" s="94" t="s">
        <v>1033</v>
      </c>
      <c r="B316" s="95" t="s">
        <v>1034</v>
      </c>
      <c r="C316" s="96">
        <v>65524.86</v>
      </c>
      <c r="D316" s="97">
        <v>59076.46</v>
      </c>
      <c r="E316" s="97">
        <v>6448.4</v>
      </c>
      <c r="F316" s="97">
        <v>0</v>
      </c>
      <c r="G316" s="97">
        <v>0</v>
      </c>
      <c r="H316" s="97">
        <v>0</v>
      </c>
      <c r="I316" s="97">
        <v>0</v>
      </c>
      <c r="J316" s="97">
        <v>0</v>
      </c>
      <c r="K316" s="97">
        <v>0</v>
      </c>
    </row>
    <row r="318" spans="1:11" x14ac:dyDescent="0.25">
      <c r="A318" s="94" t="s">
        <v>1133</v>
      </c>
      <c r="B318" s="95" t="s">
        <v>1134</v>
      </c>
      <c r="C318" s="96">
        <v>34946.57</v>
      </c>
      <c r="D318" s="97">
        <v>34946.57</v>
      </c>
      <c r="E318" s="97">
        <v>0</v>
      </c>
      <c r="F318" s="97">
        <v>0</v>
      </c>
      <c r="G318" s="97">
        <v>0</v>
      </c>
      <c r="H318" s="97">
        <v>0</v>
      </c>
      <c r="I318" s="97">
        <v>0</v>
      </c>
      <c r="J318" s="97">
        <v>0</v>
      </c>
      <c r="K318" s="97">
        <v>0</v>
      </c>
    </row>
    <row r="320" spans="1:11" x14ac:dyDescent="0.25">
      <c r="A320" s="94" t="s">
        <v>128</v>
      </c>
      <c r="B320" s="95" t="s">
        <v>559</v>
      </c>
      <c r="C320" s="96">
        <v>121852.23</v>
      </c>
      <c r="D320" s="97">
        <v>50364.76</v>
      </c>
      <c r="E320" s="97">
        <v>24106.240000000002</v>
      </c>
      <c r="F320" s="97">
        <v>6225.21</v>
      </c>
      <c r="G320" s="97">
        <v>21702.14</v>
      </c>
      <c r="H320" s="97">
        <v>19453.88</v>
      </c>
      <c r="I320" s="97">
        <v>0</v>
      </c>
      <c r="J320" s="97">
        <v>0</v>
      </c>
      <c r="K320" s="97">
        <v>0</v>
      </c>
    </row>
    <row r="322" spans="1:11" x14ac:dyDescent="0.25">
      <c r="A322" s="94" t="s">
        <v>94</v>
      </c>
      <c r="B322" s="95" t="s">
        <v>789</v>
      </c>
      <c r="C322" s="96">
        <v>64620.97</v>
      </c>
      <c r="D322" s="97">
        <v>64620.97</v>
      </c>
      <c r="E322" s="97">
        <v>0</v>
      </c>
      <c r="F322" s="97">
        <v>0</v>
      </c>
      <c r="G322" s="97">
        <v>0</v>
      </c>
      <c r="H322" s="97">
        <v>0</v>
      </c>
      <c r="I322" s="97">
        <v>0</v>
      </c>
      <c r="J322" s="97">
        <v>0</v>
      </c>
      <c r="K322" s="97">
        <v>0</v>
      </c>
    </row>
    <row r="324" spans="1:11" x14ac:dyDescent="0.25">
      <c r="A324" s="94" t="s">
        <v>413</v>
      </c>
      <c r="B324" s="95" t="s">
        <v>549</v>
      </c>
      <c r="C324" s="96">
        <v>6497.5</v>
      </c>
      <c r="D324" s="97">
        <v>0</v>
      </c>
      <c r="E324" s="97">
        <v>0</v>
      </c>
      <c r="F324" s="97">
        <v>0</v>
      </c>
      <c r="G324" s="97">
        <v>0</v>
      </c>
      <c r="H324" s="97">
        <v>0</v>
      </c>
      <c r="I324" s="97">
        <v>6497.5</v>
      </c>
      <c r="J324" s="97">
        <v>0</v>
      </c>
      <c r="K324" s="97">
        <v>0</v>
      </c>
    </row>
    <row r="326" spans="1:11" x14ac:dyDescent="0.25">
      <c r="A326" s="94" t="s">
        <v>813</v>
      </c>
      <c r="B326" s="95" t="s">
        <v>814</v>
      </c>
      <c r="C326" s="96">
        <v>8400</v>
      </c>
      <c r="D326" s="97">
        <v>0</v>
      </c>
      <c r="E326" s="97">
        <v>0</v>
      </c>
      <c r="F326" s="97">
        <v>0</v>
      </c>
      <c r="G326" s="97">
        <v>2200</v>
      </c>
      <c r="H326" s="97">
        <v>6200</v>
      </c>
      <c r="I326" s="97">
        <v>0</v>
      </c>
      <c r="J326" s="97">
        <v>0</v>
      </c>
      <c r="K326" s="97">
        <v>0</v>
      </c>
    </row>
    <row r="328" spans="1:11" x14ac:dyDescent="0.25">
      <c r="A328" s="94" t="s">
        <v>734</v>
      </c>
      <c r="B328" s="95" t="s">
        <v>735</v>
      </c>
      <c r="C328" s="96">
        <v>263332.86</v>
      </c>
      <c r="D328" s="97">
        <v>223332.86</v>
      </c>
      <c r="E328" s="97">
        <v>40000</v>
      </c>
      <c r="F328" s="97">
        <v>0</v>
      </c>
      <c r="G328" s="97">
        <v>0</v>
      </c>
      <c r="H328" s="97">
        <v>0</v>
      </c>
      <c r="I328" s="97">
        <v>0</v>
      </c>
      <c r="J328" s="97">
        <v>0</v>
      </c>
      <c r="K328" s="97">
        <v>0</v>
      </c>
    </row>
    <row r="330" spans="1:11" x14ac:dyDescent="0.25">
      <c r="A330" s="94" t="s">
        <v>873</v>
      </c>
      <c r="B330" s="95" t="s">
        <v>1014</v>
      </c>
      <c r="C330" s="96">
        <v>144263</v>
      </c>
      <c r="D330" s="97">
        <v>18763</v>
      </c>
      <c r="E330" s="97">
        <v>125500</v>
      </c>
      <c r="F330" s="97">
        <v>0</v>
      </c>
      <c r="G330" s="97">
        <v>0</v>
      </c>
      <c r="H330" s="97">
        <v>0</v>
      </c>
      <c r="I330" s="97">
        <v>0</v>
      </c>
      <c r="J330" s="97">
        <v>0</v>
      </c>
      <c r="K330" s="97">
        <v>0</v>
      </c>
    </row>
    <row r="332" spans="1:11" x14ac:dyDescent="0.25">
      <c r="A332" s="94" t="s">
        <v>1042</v>
      </c>
      <c r="B332" s="95" t="s">
        <v>1135</v>
      </c>
      <c r="C332" s="96">
        <v>2600</v>
      </c>
      <c r="D332" s="97">
        <v>2600</v>
      </c>
      <c r="E332" s="97">
        <v>0</v>
      </c>
      <c r="F332" s="97">
        <v>0</v>
      </c>
      <c r="G332" s="97">
        <v>0</v>
      </c>
      <c r="H332" s="97">
        <v>0</v>
      </c>
      <c r="I332" s="97">
        <v>0</v>
      </c>
      <c r="J332" s="97">
        <v>0</v>
      </c>
      <c r="K332" s="97">
        <v>0</v>
      </c>
    </row>
    <row r="334" spans="1:11" x14ac:dyDescent="0.25">
      <c r="A334" s="94" t="s">
        <v>790</v>
      </c>
      <c r="B334" s="95" t="s">
        <v>791</v>
      </c>
      <c r="C334" s="96">
        <v>3987.1</v>
      </c>
      <c r="D334" s="97">
        <v>0</v>
      </c>
      <c r="E334" s="97">
        <v>0</v>
      </c>
      <c r="F334" s="97">
        <v>0</v>
      </c>
      <c r="G334" s="97">
        <v>3987.1</v>
      </c>
      <c r="H334" s="97">
        <v>0</v>
      </c>
      <c r="I334" s="97">
        <v>0</v>
      </c>
      <c r="J334" s="97">
        <v>0</v>
      </c>
      <c r="K334" s="97">
        <v>0</v>
      </c>
    </row>
    <row r="336" spans="1:11" x14ac:dyDescent="0.25">
      <c r="A336" s="94" t="s">
        <v>1121</v>
      </c>
      <c r="B336" s="95" t="s">
        <v>1136</v>
      </c>
      <c r="C336" s="96">
        <v>10192</v>
      </c>
      <c r="D336" s="97">
        <v>10192</v>
      </c>
      <c r="E336" s="97">
        <v>0</v>
      </c>
      <c r="F336" s="97">
        <v>0</v>
      </c>
      <c r="G336" s="97">
        <v>0</v>
      </c>
      <c r="H336" s="97">
        <v>0</v>
      </c>
      <c r="I336" s="97">
        <v>0</v>
      </c>
      <c r="J336" s="97">
        <v>0</v>
      </c>
      <c r="K336" s="97">
        <v>0</v>
      </c>
    </row>
    <row r="339" spans="1:11" x14ac:dyDescent="0.25">
      <c r="C339" s="98">
        <v>1307524.7893999999</v>
      </c>
      <c r="D339" s="99">
        <v>789095.02289999987</v>
      </c>
      <c r="E339" s="99">
        <v>334126.0465</v>
      </c>
      <c r="F339" s="99">
        <v>63296.23</v>
      </c>
      <c r="G339" s="99">
        <v>27889.24</v>
      </c>
      <c r="H339" s="99">
        <v>75272.479999999996</v>
      </c>
      <c r="I339" s="99">
        <v>14732.95</v>
      </c>
      <c r="J339" s="99">
        <v>3112.82</v>
      </c>
      <c r="K339" s="99">
        <v>0</v>
      </c>
    </row>
    <row r="342" spans="1:11" x14ac:dyDescent="0.25">
      <c r="A342" s="92" t="s">
        <v>620</v>
      </c>
    </row>
    <row r="344" spans="1:11" x14ac:dyDescent="0.25">
      <c r="A344" s="94" t="s">
        <v>104</v>
      </c>
      <c r="B344" s="95" t="s">
        <v>924</v>
      </c>
      <c r="C344" s="96">
        <v>4580.92</v>
      </c>
      <c r="D344" s="97">
        <v>315.48</v>
      </c>
      <c r="E344" s="97">
        <v>570</v>
      </c>
      <c r="F344" s="97">
        <v>0</v>
      </c>
      <c r="G344" s="97">
        <v>3695.44</v>
      </c>
      <c r="H344" s="97">
        <v>0</v>
      </c>
      <c r="I344" s="97">
        <v>0</v>
      </c>
      <c r="J344" s="97">
        <v>0</v>
      </c>
      <c r="K344" s="97">
        <v>0</v>
      </c>
    </row>
    <row r="346" spans="1:11" x14ac:dyDescent="0.25">
      <c r="A346" s="94" t="s">
        <v>62</v>
      </c>
      <c r="B346" s="95" t="s">
        <v>665</v>
      </c>
      <c r="C346" s="96">
        <v>81215.92</v>
      </c>
      <c r="D346" s="97">
        <v>15488.35</v>
      </c>
      <c r="E346" s="97">
        <v>21000</v>
      </c>
      <c r="F346" s="97">
        <v>24728.29</v>
      </c>
      <c r="G346" s="97">
        <v>0</v>
      </c>
      <c r="H346" s="97">
        <v>19999.28</v>
      </c>
      <c r="I346" s="97">
        <v>0</v>
      </c>
      <c r="J346" s="97">
        <v>0</v>
      </c>
      <c r="K346" s="97">
        <v>0</v>
      </c>
    </row>
    <row r="348" spans="1:11" x14ac:dyDescent="0.25">
      <c r="A348" s="94" t="s">
        <v>677</v>
      </c>
      <c r="B348" s="95" t="s">
        <v>678</v>
      </c>
      <c r="C348" s="96">
        <v>26050</v>
      </c>
      <c r="D348" s="97">
        <v>0</v>
      </c>
      <c r="E348" s="97">
        <v>8050</v>
      </c>
      <c r="F348" s="97">
        <v>0</v>
      </c>
      <c r="G348" s="97">
        <v>0</v>
      </c>
      <c r="H348" s="97">
        <v>10000</v>
      </c>
      <c r="I348" s="97">
        <v>8000</v>
      </c>
      <c r="J348" s="97">
        <v>0</v>
      </c>
      <c r="K348" s="97">
        <v>0</v>
      </c>
    </row>
    <row r="351" spans="1:11" x14ac:dyDescent="0.25">
      <c r="C351" s="98">
        <v>111846.84</v>
      </c>
      <c r="D351" s="99">
        <v>15803.83</v>
      </c>
      <c r="E351" s="99">
        <v>29620</v>
      </c>
      <c r="F351" s="99">
        <v>24728.29</v>
      </c>
      <c r="G351" s="99">
        <v>3695.44</v>
      </c>
      <c r="H351" s="99">
        <v>29999.279999999999</v>
      </c>
      <c r="I351" s="99">
        <v>8000</v>
      </c>
      <c r="J351" s="99">
        <v>0</v>
      </c>
      <c r="K351" s="99">
        <v>0</v>
      </c>
    </row>
    <row r="354" spans="1:11" x14ac:dyDescent="0.25">
      <c r="A354" s="92" t="s">
        <v>518</v>
      </c>
    </row>
    <row r="356" spans="1:11" x14ac:dyDescent="0.25">
      <c r="A356" s="94" t="s">
        <v>750</v>
      </c>
      <c r="B356" s="95" t="s">
        <v>756</v>
      </c>
      <c r="C356" s="96">
        <v>36835</v>
      </c>
      <c r="D356" s="97">
        <v>0</v>
      </c>
      <c r="E356" s="97">
        <v>0</v>
      </c>
      <c r="F356" s="97">
        <v>0</v>
      </c>
      <c r="G356" s="97">
        <v>6777</v>
      </c>
      <c r="H356" s="97">
        <v>1000</v>
      </c>
      <c r="I356" s="97">
        <v>29058</v>
      </c>
      <c r="J356" s="97">
        <v>0</v>
      </c>
      <c r="K356" s="97">
        <v>0</v>
      </c>
    </row>
    <row r="358" spans="1:11" x14ac:dyDescent="0.25">
      <c r="A358" s="94" t="s">
        <v>743</v>
      </c>
      <c r="B358" s="95" t="s">
        <v>744</v>
      </c>
      <c r="C358" s="96">
        <v>18960</v>
      </c>
      <c r="D358" s="97">
        <v>2200</v>
      </c>
      <c r="E358" s="97">
        <v>760</v>
      </c>
      <c r="F358" s="97">
        <v>0</v>
      </c>
      <c r="G358" s="97">
        <v>0</v>
      </c>
      <c r="H358" s="97">
        <v>0</v>
      </c>
      <c r="I358" s="97">
        <v>16000</v>
      </c>
      <c r="J358" s="97">
        <v>0</v>
      </c>
      <c r="K358" s="97">
        <v>0</v>
      </c>
    </row>
    <row r="360" spans="1:11" x14ac:dyDescent="0.25">
      <c r="A360" s="94" t="s">
        <v>894</v>
      </c>
      <c r="B360" s="95" t="s">
        <v>895</v>
      </c>
      <c r="C360" s="96">
        <v>188279.25</v>
      </c>
      <c r="D360" s="97">
        <v>41943.3</v>
      </c>
      <c r="E360" s="97">
        <v>56329.95</v>
      </c>
      <c r="F360" s="97">
        <v>43517.5</v>
      </c>
      <c r="G360" s="97">
        <v>44896</v>
      </c>
      <c r="H360" s="97">
        <v>1592.5</v>
      </c>
      <c r="I360" s="97">
        <v>0</v>
      </c>
      <c r="J360" s="97">
        <v>0</v>
      </c>
      <c r="K360" s="97">
        <v>0</v>
      </c>
    </row>
    <row r="362" spans="1:11" x14ac:dyDescent="0.25">
      <c r="A362" s="94" t="s">
        <v>1035</v>
      </c>
      <c r="B362" s="95" t="s">
        <v>1036</v>
      </c>
      <c r="C362" s="96">
        <v>8240</v>
      </c>
      <c r="D362" s="97">
        <v>0</v>
      </c>
      <c r="E362" s="97">
        <v>8240</v>
      </c>
      <c r="F362" s="97">
        <v>0</v>
      </c>
      <c r="G362" s="97">
        <v>0</v>
      </c>
      <c r="H362" s="97">
        <v>0</v>
      </c>
      <c r="I362" s="97">
        <v>0</v>
      </c>
      <c r="J362" s="97">
        <v>0</v>
      </c>
      <c r="K362" s="97">
        <v>0</v>
      </c>
    </row>
    <row r="364" spans="1:11" x14ac:dyDescent="0.25">
      <c r="A364" s="94" t="s">
        <v>1015</v>
      </c>
      <c r="B364" s="95" t="s">
        <v>1016</v>
      </c>
      <c r="C364" s="96">
        <v>172222.79</v>
      </c>
      <c r="D364" s="97">
        <v>71189.63</v>
      </c>
      <c r="E364" s="97">
        <v>101033.16</v>
      </c>
      <c r="F364" s="97">
        <v>0</v>
      </c>
      <c r="G364" s="97">
        <v>0</v>
      </c>
      <c r="H364" s="97">
        <v>0</v>
      </c>
      <c r="I364" s="97">
        <v>0</v>
      </c>
      <c r="J364" s="97">
        <v>0</v>
      </c>
      <c r="K364" s="97">
        <v>0</v>
      </c>
    </row>
    <row r="366" spans="1:11" x14ac:dyDescent="0.25">
      <c r="A366" s="94" t="s">
        <v>1110</v>
      </c>
      <c r="B366" s="95" t="s">
        <v>1111</v>
      </c>
      <c r="C366" s="96">
        <v>7905</v>
      </c>
      <c r="D366" s="97">
        <v>7905</v>
      </c>
      <c r="E366" s="97">
        <v>0</v>
      </c>
      <c r="F366" s="97">
        <v>0</v>
      </c>
      <c r="G366" s="97">
        <v>0</v>
      </c>
      <c r="H366" s="97">
        <v>0</v>
      </c>
      <c r="I366" s="97">
        <v>0</v>
      </c>
      <c r="J366" s="97">
        <v>0</v>
      </c>
      <c r="K366" s="97">
        <v>0</v>
      </c>
    </row>
    <row r="368" spans="1:11" x14ac:dyDescent="0.25">
      <c r="A368" s="94" t="s">
        <v>1112</v>
      </c>
      <c r="B368" s="95" t="s">
        <v>1113</v>
      </c>
      <c r="C368" s="96">
        <v>890</v>
      </c>
      <c r="D368" s="97">
        <v>890</v>
      </c>
      <c r="E368" s="97">
        <v>0</v>
      </c>
      <c r="F368" s="97">
        <v>0</v>
      </c>
      <c r="G368" s="97">
        <v>0</v>
      </c>
      <c r="H368" s="97">
        <v>0</v>
      </c>
      <c r="I368" s="97">
        <v>0</v>
      </c>
      <c r="J368" s="97">
        <v>0</v>
      </c>
      <c r="K368" s="97">
        <v>0</v>
      </c>
    </row>
    <row r="370" spans="1:11" x14ac:dyDescent="0.25">
      <c r="A370" s="94" t="s">
        <v>1095</v>
      </c>
      <c r="B370" s="95" t="s">
        <v>1096</v>
      </c>
      <c r="C370" s="96">
        <v>11195</v>
      </c>
      <c r="D370" s="97">
        <v>11195</v>
      </c>
      <c r="E370" s="97">
        <v>0</v>
      </c>
      <c r="F370" s="97">
        <v>0</v>
      </c>
      <c r="G370" s="97">
        <v>0</v>
      </c>
      <c r="H370" s="97">
        <v>0</v>
      </c>
      <c r="I370" s="97">
        <v>0</v>
      </c>
      <c r="J370" s="97">
        <v>0</v>
      </c>
      <c r="K370" s="97">
        <v>0</v>
      </c>
    </row>
    <row r="372" spans="1:11" x14ac:dyDescent="0.25">
      <c r="A372" s="94" t="s">
        <v>467</v>
      </c>
      <c r="B372" s="95" t="s">
        <v>679</v>
      </c>
      <c r="C372" s="96">
        <v>48638.32</v>
      </c>
      <c r="D372" s="97">
        <v>0</v>
      </c>
      <c r="E372" s="97">
        <v>4326.4399999999996</v>
      </c>
      <c r="F372" s="97">
        <v>44311.88</v>
      </c>
      <c r="G372" s="97">
        <v>0</v>
      </c>
      <c r="H372" s="97">
        <v>0</v>
      </c>
      <c r="I372" s="97">
        <v>0</v>
      </c>
      <c r="J372" s="97">
        <v>0</v>
      </c>
      <c r="K372" s="97">
        <v>0</v>
      </c>
    </row>
    <row r="374" spans="1:11" x14ac:dyDescent="0.25">
      <c r="A374" s="94" t="s">
        <v>466</v>
      </c>
      <c r="B374" s="95" t="s">
        <v>827</v>
      </c>
      <c r="C374" s="96">
        <v>2323595.6625000001</v>
      </c>
      <c r="D374" s="97">
        <v>462107.16499999998</v>
      </c>
      <c r="E374" s="97">
        <v>746777.15749999997</v>
      </c>
      <c r="F374" s="97">
        <v>561742.78</v>
      </c>
      <c r="G374" s="97">
        <v>249586.19</v>
      </c>
      <c r="H374" s="97">
        <v>88032.56</v>
      </c>
      <c r="I374" s="97">
        <v>215349.81</v>
      </c>
      <c r="J374" s="97">
        <v>0</v>
      </c>
      <c r="K374" s="97">
        <v>0</v>
      </c>
    </row>
    <row r="377" spans="1:11" x14ac:dyDescent="0.25">
      <c r="C377" s="98">
        <v>2816761.0225</v>
      </c>
      <c r="D377" s="99">
        <v>597430.09499999997</v>
      </c>
      <c r="E377" s="99">
        <v>917466.70750000002</v>
      </c>
      <c r="F377" s="99">
        <v>649572.16</v>
      </c>
      <c r="G377" s="99">
        <v>301259.19</v>
      </c>
      <c r="H377" s="99">
        <v>90625.06</v>
      </c>
      <c r="I377" s="99">
        <v>260407.81</v>
      </c>
      <c r="J377" s="99">
        <v>0</v>
      </c>
      <c r="K377" s="99">
        <v>0</v>
      </c>
    </row>
    <row r="380" spans="1:11" x14ac:dyDescent="0.25">
      <c r="A380" s="92" t="s">
        <v>621</v>
      </c>
    </row>
    <row r="382" spans="1:11" x14ac:dyDescent="0.25">
      <c r="A382" s="94" t="s">
        <v>111</v>
      </c>
      <c r="B382" s="95" t="s">
        <v>540</v>
      </c>
      <c r="C382" s="96">
        <v>10740</v>
      </c>
      <c r="D382" s="97">
        <v>5956</v>
      </c>
      <c r="E382" s="97">
        <v>0</v>
      </c>
      <c r="F382" s="97">
        <v>4167</v>
      </c>
      <c r="G382" s="97">
        <v>0</v>
      </c>
      <c r="H382" s="97">
        <v>0</v>
      </c>
      <c r="I382" s="97">
        <v>617</v>
      </c>
      <c r="J382" s="97">
        <v>0</v>
      </c>
      <c r="K382" s="97">
        <v>0</v>
      </c>
    </row>
    <row r="384" spans="1:11" x14ac:dyDescent="0.25">
      <c r="A384" s="94" t="s">
        <v>162</v>
      </c>
      <c r="B384" s="95" t="s">
        <v>680</v>
      </c>
      <c r="C384" s="96">
        <v>54497</v>
      </c>
      <c r="D384" s="97">
        <v>49784</v>
      </c>
      <c r="E384" s="97">
        <v>4713</v>
      </c>
      <c r="F384" s="97">
        <v>0</v>
      </c>
      <c r="G384" s="97">
        <v>0</v>
      </c>
      <c r="H384" s="97">
        <v>0</v>
      </c>
      <c r="I384" s="97">
        <v>0</v>
      </c>
      <c r="J384" s="97">
        <v>0</v>
      </c>
      <c r="K384" s="97">
        <v>0</v>
      </c>
    </row>
    <row r="386" spans="1:11" x14ac:dyDescent="0.25">
      <c r="A386" s="94" t="s">
        <v>122</v>
      </c>
      <c r="B386" s="95" t="s">
        <v>681</v>
      </c>
      <c r="C386" s="96">
        <v>1220497.5900000001</v>
      </c>
      <c r="D386" s="97">
        <v>165383.75</v>
      </c>
      <c r="E386" s="97">
        <v>43545.05</v>
      </c>
      <c r="F386" s="97">
        <v>62479.37</v>
      </c>
      <c r="G386" s="97">
        <v>233011.76</v>
      </c>
      <c r="H386" s="97">
        <v>546222.38</v>
      </c>
      <c r="I386" s="97">
        <v>105865.41</v>
      </c>
      <c r="J386" s="97">
        <v>63989.87</v>
      </c>
      <c r="K386" s="97">
        <v>0</v>
      </c>
    </row>
    <row r="388" spans="1:11" x14ac:dyDescent="0.25">
      <c r="A388" s="94" t="s">
        <v>163</v>
      </c>
      <c r="B388" s="95" t="s">
        <v>682</v>
      </c>
      <c r="C388" s="96">
        <v>7200</v>
      </c>
      <c r="D388" s="97">
        <v>0</v>
      </c>
      <c r="E388" s="97">
        <v>0</v>
      </c>
      <c r="F388" s="97">
        <v>0</v>
      </c>
      <c r="G388" s="97">
        <v>0</v>
      </c>
      <c r="H388" s="97">
        <v>7200</v>
      </c>
      <c r="I388" s="97">
        <v>0</v>
      </c>
      <c r="J388" s="97">
        <v>0</v>
      </c>
      <c r="K388" s="97">
        <v>0</v>
      </c>
    </row>
    <row r="390" spans="1:11" x14ac:dyDescent="0.25">
      <c r="A390" s="94" t="s">
        <v>176</v>
      </c>
      <c r="B390" s="95" t="s">
        <v>759</v>
      </c>
      <c r="C390" s="96">
        <v>26685.15</v>
      </c>
      <c r="D390" s="97">
        <v>0</v>
      </c>
      <c r="E390" s="97">
        <v>0</v>
      </c>
      <c r="F390" s="97">
        <v>0</v>
      </c>
      <c r="G390" s="97">
        <v>0</v>
      </c>
      <c r="H390" s="97">
        <v>0</v>
      </c>
      <c r="I390" s="97">
        <v>26685.15</v>
      </c>
      <c r="J390" s="97">
        <v>0</v>
      </c>
      <c r="K390" s="97">
        <v>0</v>
      </c>
    </row>
    <row r="392" spans="1:11" x14ac:dyDescent="0.25">
      <c r="A392" s="94" t="s">
        <v>178</v>
      </c>
      <c r="B392" s="95" t="s">
        <v>799</v>
      </c>
      <c r="C392" s="96">
        <v>328566.59999999998</v>
      </c>
      <c r="D392" s="97">
        <v>105371.6</v>
      </c>
      <c r="E392" s="97">
        <v>48140</v>
      </c>
      <c r="F392" s="97">
        <v>54360</v>
      </c>
      <c r="G392" s="97">
        <v>21280</v>
      </c>
      <c r="H392" s="97">
        <v>55365</v>
      </c>
      <c r="I392" s="97">
        <v>44050</v>
      </c>
      <c r="J392" s="97">
        <v>0</v>
      </c>
      <c r="K392" s="97">
        <v>0</v>
      </c>
    </row>
    <row r="394" spans="1:11" x14ac:dyDescent="0.25">
      <c r="A394" s="94" t="s">
        <v>125</v>
      </c>
      <c r="B394" s="95" t="s">
        <v>651</v>
      </c>
      <c r="C394" s="96">
        <v>1709256.41</v>
      </c>
      <c r="D394" s="97">
        <v>442332.72</v>
      </c>
      <c r="E394" s="97">
        <v>198102.49</v>
      </c>
      <c r="F394" s="97">
        <v>435066.83</v>
      </c>
      <c r="G394" s="97">
        <v>297405.26</v>
      </c>
      <c r="H394" s="97">
        <v>323845.15999999997</v>
      </c>
      <c r="I394" s="97">
        <v>10543.95</v>
      </c>
      <c r="J394" s="97">
        <v>1960</v>
      </c>
      <c r="K394" s="97">
        <v>0</v>
      </c>
    </row>
    <row r="396" spans="1:11" x14ac:dyDescent="0.25">
      <c r="A396" s="94" t="s">
        <v>180</v>
      </c>
      <c r="B396" s="95" t="s">
        <v>970</v>
      </c>
      <c r="C396" s="96">
        <v>43173.04</v>
      </c>
      <c r="D396" s="97">
        <v>0</v>
      </c>
      <c r="E396" s="97">
        <v>0</v>
      </c>
      <c r="F396" s="97">
        <v>43173.04</v>
      </c>
      <c r="G396" s="97">
        <v>0</v>
      </c>
      <c r="H396" s="97">
        <v>0</v>
      </c>
      <c r="I396" s="97">
        <v>0</v>
      </c>
      <c r="J396" s="97">
        <v>0</v>
      </c>
      <c r="K396" s="97">
        <v>0</v>
      </c>
    </row>
    <row r="398" spans="1:11" x14ac:dyDescent="0.25">
      <c r="A398" s="94" t="s">
        <v>165</v>
      </c>
      <c r="B398" s="95" t="s">
        <v>683</v>
      </c>
      <c r="C398" s="96">
        <v>9555</v>
      </c>
      <c r="D398" s="97">
        <v>0</v>
      </c>
      <c r="E398" s="97">
        <v>0</v>
      </c>
      <c r="F398" s="97">
        <v>0</v>
      </c>
      <c r="G398" s="97">
        <v>0</v>
      </c>
      <c r="H398" s="97">
        <v>0</v>
      </c>
      <c r="I398" s="97">
        <v>9555</v>
      </c>
      <c r="J398" s="97">
        <v>0</v>
      </c>
      <c r="K398" s="97">
        <v>0</v>
      </c>
    </row>
    <row r="400" spans="1:11" x14ac:dyDescent="0.25">
      <c r="A400" s="94" t="s">
        <v>864</v>
      </c>
      <c r="B400" s="95" t="s">
        <v>896</v>
      </c>
      <c r="C400" s="96">
        <v>260833.61</v>
      </c>
      <c r="D400" s="97">
        <v>0</v>
      </c>
      <c r="E400" s="97">
        <v>52722.66</v>
      </c>
      <c r="F400" s="97">
        <v>121239.74</v>
      </c>
      <c r="G400" s="97">
        <v>86871.21</v>
      </c>
      <c r="H400" s="97">
        <v>0</v>
      </c>
      <c r="I400" s="97">
        <v>0</v>
      </c>
      <c r="J400" s="97">
        <v>0</v>
      </c>
      <c r="K400" s="97">
        <v>0</v>
      </c>
    </row>
    <row r="402" spans="1:11" x14ac:dyDescent="0.25">
      <c r="A402" s="94" t="s">
        <v>808</v>
      </c>
      <c r="B402" s="95" t="s">
        <v>842</v>
      </c>
      <c r="C402" s="96">
        <v>537436.83799999999</v>
      </c>
      <c r="D402" s="97">
        <v>27338.107999999997</v>
      </c>
      <c r="E402" s="97">
        <v>5520.96</v>
      </c>
      <c r="F402" s="97">
        <v>25290.06</v>
      </c>
      <c r="G402" s="97">
        <v>90335.63</v>
      </c>
      <c r="H402" s="97">
        <v>388952.08</v>
      </c>
      <c r="I402" s="97">
        <v>0</v>
      </c>
      <c r="J402" s="97">
        <v>0</v>
      </c>
      <c r="K402" s="97">
        <v>0</v>
      </c>
    </row>
    <row r="404" spans="1:11" x14ac:dyDescent="0.25">
      <c r="A404" s="94" t="s">
        <v>1097</v>
      </c>
      <c r="B404" s="95" t="s">
        <v>1098</v>
      </c>
      <c r="C404" s="96">
        <v>514.75</v>
      </c>
      <c r="D404" s="97">
        <v>0</v>
      </c>
      <c r="E404" s="97">
        <v>514.75</v>
      </c>
      <c r="F404" s="97">
        <v>0</v>
      </c>
      <c r="G404" s="97">
        <v>0</v>
      </c>
      <c r="H404" s="97">
        <v>0</v>
      </c>
      <c r="I404" s="97">
        <v>0</v>
      </c>
      <c r="J404" s="97">
        <v>0</v>
      </c>
      <c r="K404" s="97">
        <v>0</v>
      </c>
    </row>
    <row r="406" spans="1:11" x14ac:dyDescent="0.25">
      <c r="A406" s="94" t="s">
        <v>181</v>
      </c>
      <c r="B406" s="95" t="s">
        <v>800</v>
      </c>
      <c r="C406" s="96">
        <v>4288125.41</v>
      </c>
      <c r="D406" s="97">
        <v>1659027.82</v>
      </c>
      <c r="E406" s="97">
        <v>1152153.1499999999</v>
      </c>
      <c r="F406" s="97">
        <v>811411.4</v>
      </c>
      <c r="G406" s="97">
        <v>368535.32</v>
      </c>
      <c r="H406" s="97">
        <v>221229.32</v>
      </c>
      <c r="I406" s="97">
        <v>75768.399999999994</v>
      </c>
      <c r="J406" s="97">
        <v>0</v>
      </c>
      <c r="K406" s="97">
        <v>0</v>
      </c>
    </row>
    <row r="408" spans="1:11" x14ac:dyDescent="0.25">
      <c r="A408" s="94" t="s">
        <v>725</v>
      </c>
      <c r="B408" s="95" t="s">
        <v>1037</v>
      </c>
      <c r="C408" s="96">
        <v>13883.77</v>
      </c>
      <c r="D408" s="97">
        <v>6632.12</v>
      </c>
      <c r="E408" s="97">
        <v>7251.65</v>
      </c>
      <c r="F408" s="97">
        <v>0</v>
      </c>
      <c r="G408" s="97">
        <v>0</v>
      </c>
      <c r="H408" s="97">
        <v>0</v>
      </c>
      <c r="I408" s="97">
        <v>0</v>
      </c>
      <c r="J408" s="97">
        <v>0</v>
      </c>
      <c r="K408" s="97">
        <v>0</v>
      </c>
    </row>
    <row r="410" spans="1:11" x14ac:dyDescent="0.25">
      <c r="A410" s="94" t="s">
        <v>733</v>
      </c>
      <c r="B410" s="95" t="s">
        <v>1046</v>
      </c>
      <c r="C410" s="96">
        <v>775.13</v>
      </c>
      <c r="D410" s="97">
        <v>0</v>
      </c>
      <c r="E410" s="97">
        <v>775.13</v>
      </c>
      <c r="F410" s="97">
        <v>0</v>
      </c>
      <c r="G410" s="97">
        <v>0</v>
      </c>
      <c r="H410" s="97">
        <v>0</v>
      </c>
      <c r="I410" s="97">
        <v>0</v>
      </c>
      <c r="J410" s="97">
        <v>0</v>
      </c>
      <c r="K410" s="97">
        <v>0</v>
      </c>
    </row>
    <row r="412" spans="1:11" x14ac:dyDescent="0.25">
      <c r="A412" s="94" t="s">
        <v>792</v>
      </c>
      <c r="B412" s="95" t="s">
        <v>945</v>
      </c>
      <c r="C412" s="96">
        <v>317668.90000000002</v>
      </c>
      <c r="D412" s="97">
        <v>131035.4</v>
      </c>
      <c r="E412" s="97">
        <v>2169.64</v>
      </c>
      <c r="F412" s="97">
        <v>97899.26</v>
      </c>
      <c r="G412" s="97">
        <v>86564.6</v>
      </c>
      <c r="H412" s="97">
        <v>0</v>
      </c>
      <c r="I412" s="97">
        <v>0</v>
      </c>
      <c r="J412" s="97">
        <v>0</v>
      </c>
      <c r="K412" s="97">
        <v>0</v>
      </c>
    </row>
    <row r="415" spans="1:11" x14ac:dyDescent="0.25">
      <c r="C415" s="98">
        <v>8829409.1979999989</v>
      </c>
      <c r="D415" s="99">
        <v>2592861.5180000002</v>
      </c>
      <c r="E415" s="99">
        <v>1515608.48</v>
      </c>
      <c r="F415" s="99">
        <v>1655086.7</v>
      </c>
      <c r="G415" s="99">
        <v>1184003.78</v>
      </c>
      <c r="H415" s="99">
        <v>1542813.94</v>
      </c>
      <c r="I415" s="99">
        <v>273084.90999999997</v>
      </c>
      <c r="J415" s="99">
        <v>65949.87</v>
      </c>
      <c r="K415" s="99">
        <v>0</v>
      </c>
    </row>
    <row r="418" spans="3:12" ht="16.5" thickBot="1" x14ac:dyDescent="0.3"/>
    <row r="419" spans="3:12" ht="16.5" thickTop="1" x14ac:dyDescent="0.25">
      <c r="C419" s="100" t="s">
        <v>525</v>
      </c>
      <c r="D419" s="101">
        <v>54014501.436899997</v>
      </c>
      <c r="E419" s="102">
        <v>18866041.061299998</v>
      </c>
      <c r="F419" s="102">
        <v>10855671.138199996</v>
      </c>
      <c r="G419" s="102">
        <v>7372896.9724000003</v>
      </c>
      <c r="H419" s="102">
        <v>4876276.7583000008</v>
      </c>
      <c r="I419" s="102">
        <v>5867577.4055999992</v>
      </c>
      <c r="J419" s="102">
        <v>4220115.159599999</v>
      </c>
      <c r="K419" s="102">
        <v>1949888.8615000001</v>
      </c>
      <c r="L419" s="102">
        <v>6034.08</v>
      </c>
    </row>
    <row r="423" spans="3:12" x14ac:dyDescent="0.25">
      <c r="F423" s="103" t="s">
        <v>550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C325-B824-425A-89D2-D02BF9D18E9D}">
  <sheetPr>
    <outlinePr summaryBelow="0"/>
  </sheetPr>
  <dimension ref="A1:J692"/>
  <sheetViews>
    <sheetView workbookViewId="0">
      <pane ySplit="1" topLeftCell="A2" activePane="bottomLeft" state="frozen"/>
      <selection activeCell="A2" sqref="A2:A692"/>
      <selection pane="bottomLeft" activeCell="A2" sqref="A2:A692"/>
    </sheetView>
  </sheetViews>
  <sheetFormatPr defaultColWidth="8.88671875" defaultRowHeight="14.25" x14ac:dyDescent="0.2"/>
  <cols>
    <col min="1" max="1" width="15.33203125" style="166" bestFit="1" customWidth="1"/>
    <col min="2" max="2" width="35.33203125" style="166" bestFit="1" customWidth="1"/>
    <col min="3" max="3" width="27.33203125" style="166" bestFit="1" customWidth="1"/>
    <col min="4" max="4" width="16.21875" style="166" bestFit="1" customWidth="1"/>
    <col min="5" max="5" width="14.44140625" style="166" bestFit="1" customWidth="1"/>
    <col min="6" max="6" width="21.109375" style="166" bestFit="1" customWidth="1"/>
    <col min="7" max="7" width="35.33203125" style="166" bestFit="1" customWidth="1"/>
    <col min="8" max="8" width="22.88671875" style="166" bestFit="1" customWidth="1"/>
    <col min="9" max="9" width="14.44140625" style="166" bestFit="1" customWidth="1"/>
    <col min="10" max="10" width="29.109375" style="166" bestFit="1" customWidth="1"/>
    <col min="11" max="16384" width="8.88671875" style="166"/>
  </cols>
  <sheetData>
    <row r="1" spans="1:10" s="162" customFormat="1" ht="15" x14ac:dyDescent="0.25">
      <c r="A1" s="162" t="s">
        <v>1870</v>
      </c>
      <c r="B1" s="162" t="s">
        <v>1871</v>
      </c>
      <c r="C1" s="162" t="s">
        <v>1872</v>
      </c>
      <c r="D1" s="162" t="s">
        <v>1873</v>
      </c>
      <c r="E1" s="162" t="s">
        <v>1874</v>
      </c>
      <c r="F1" s="162" t="s">
        <v>1875</v>
      </c>
      <c r="G1" s="162" t="s">
        <v>1876</v>
      </c>
      <c r="H1" s="162" t="s">
        <v>1877</v>
      </c>
      <c r="I1" s="162" t="s">
        <v>1878</v>
      </c>
      <c r="J1" s="162" t="s">
        <v>7</v>
      </c>
    </row>
    <row r="2" spans="1:10" x14ac:dyDescent="0.2">
      <c r="A2" s="163">
        <v>21922</v>
      </c>
      <c r="B2" s="163" t="s">
        <v>1879</v>
      </c>
      <c r="C2" s="163" t="s">
        <v>1880</v>
      </c>
      <c r="D2" s="164">
        <v>46023</v>
      </c>
      <c r="E2" s="164">
        <v>46174</v>
      </c>
      <c r="F2" s="163" t="s">
        <v>1881</v>
      </c>
      <c r="G2" s="163" t="s">
        <v>1882</v>
      </c>
      <c r="H2" s="165">
        <v>0</v>
      </c>
      <c r="I2" s="164">
        <v>46081</v>
      </c>
      <c r="J2" s="163" t="s">
        <v>1883</v>
      </c>
    </row>
    <row r="3" spans="1:10" x14ac:dyDescent="0.2">
      <c r="A3" s="163">
        <v>21921</v>
      </c>
      <c r="B3" s="163" t="s">
        <v>1884</v>
      </c>
      <c r="C3" s="163" t="s">
        <v>1112</v>
      </c>
      <c r="D3" s="164">
        <v>46062</v>
      </c>
      <c r="E3" s="164">
        <v>46203</v>
      </c>
      <c r="F3" s="163" t="s">
        <v>1881</v>
      </c>
      <c r="G3" s="163" t="s">
        <v>1882</v>
      </c>
      <c r="H3" s="165">
        <v>0</v>
      </c>
      <c r="I3" s="164">
        <v>46080</v>
      </c>
      <c r="J3" s="163" t="s">
        <v>1113</v>
      </c>
    </row>
    <row r="4" spans="1:10" x14ac:dyDescent="0.2">
      <c r="A4" s="163">
        <v>21920</v>
      </c>
      <c r="B4" s="163" t="s">
        <v>1884</v>
      </c>
      <c r="C4" s="163" t="s">
        <v>1110</v>
      </c>
      <c r="D4" s="164">
        <v>46063</v>
      </c>
      <c r="E4" s="164">
        <v>46203</v>
      </c>
      <c r="F4" s="163" t="s">
        <v>1881</v>
      </c>
      <c r="G4" s="163" t="s">
        <v>1882</v>
      </c>
      <c r="H4" s="165">
        <v>0</v>
      </c>
      <c r="I4" s="164">
        <v>46080</v>
      </c>
      <c r="J4" s="163" t="s">
        <v>1111</v>
      </c>
    </row>
    <row r="5" spans="1:10" x14ac:dyDescent="0.2">
      <c r="A5" s="163">
        <v>21906</v>
      </c>
      <c r="B5" s="163" t="s">
        <v>1885</v>
      </c>
      <c r="C5" s="163" t="s">
        <v>1126</v>
      </c>
      <c r="D5" s="164">
        <v>46076</v>
      </c>
      <c r="E5" s="164">
        <v>46441</v>
      </c>
      <c r="F5" s="163" t="s">
        <v>1881</v>
      </c>
      <c r="G5" s="163" t="s">
        <v>1882</v>
      </c>
      <c r="H5" s="165">
        <v>0</v>
      </c>
      <c r="I5" s="164">
        <v>46080</v>
      </c>
      <c r="J5" s="163" t="s">
        <v>1127</v>
      </c>
    </row>
    <row r="6" spans="1:10" x14ac:dyDescent="0.2">
      <c r="A6" s="163">
        <v>21904</v>
      </c>
      <c r="B6" s="163" t="s">
        <v>1886</v>
      </c>
      <c r="C6" s="163" t="s">
        <v>1128</v>
      </c>
      <c r="D6" s="164">
        <v>46075</v>
      </c>
      <c r="E6" s="164">
        <v>46440</v>
      </c>
      <c r="F6" s="163" t="s">
        <v>1881</v>
      </c>
      <c r="G6" s="163" t="s">
        <v>1882</v>
      </c>
      <c r="H6" s="165">
        <v>0</v>
      </c>
      <c r="I6" s="164">
        <v>46080</v>
      </c>
      <c r="J6" s="163" t="s">
        <v>1129</v>
      </c>
    </row>
    <row r="7" spans="1:10" x14ac:dyDescent="0.2">
      <c r="A7" s="163">
        <v>21903</v>
      </c>
      <c r="B7" s="163" t="s">
        <v>1887</v>
      </c>
      <c r="C7" s="163" t="s">
        <v>1133</v>
      </c>
      <c r="D7" s="164">
        <v>46065</v>
      </c>
      <c r="E7" s="164">
        <v>46275</v>
      </c>
      <c r="F7" s="163" t="s">
        <v>1881</v>
      </c>
      <c r="G7" s="163" t="s">
        <v>1882</v>
      </c>
      <c r="H7" s="165">
        <v>0</v>
      </c>
      <c r="I7" s="164">
        <v>46080</v>
      </c>
      <c r="J7" s="163" t="s">
        <v>1134</v>
      </c>
    </row>
    <row r="8" spans="1:10" x14ac:dyDescent="0.2">
      <c r="A8" s="163">
        <v>21902</v>
      </c>
      <c r="B8" s="163" t="s">
        <v>1888</v>
      </c>
      <c r="C8" s="163" t="s">
        <v>1706</v>
      </c>
      <c r="D8" s="164">
        <v>46079</v>
      </c>
      <c r="E8" s="164">
        <v>46173</v>
      </c>
      <c r="F8" s="163" t="s">
        <v>1881</v>
      </c>
      <c r="G8" s="163" t="s">
        <v>1882</v>
      </c>
      <c r="H8" s="165">
        <v>0</v>
      </c>
      <c r="I8" s="164">
        <v>46080</v>
      </c>
      <c r="J8" s="163" t="s">
        <v>1707</v>
      </c>
    </row>
    <row r="9" spans="1:10" x14ac:dyDescent="0.2">
      <c r="A9" s="163">
        <v>21901</v>
      </c>
      <c r="B9" s="163" t="s">
        <v>1888</v>
      </c>
      <c r="C9" s="163" t="s">
        <v>1703</v>
      </c>
      <c r="D9" s="164">
        <v>46078</v>
      </c>
      <c r="E9" s="164">
        <v>46173</v>
      </c>
      <c r="F9" s="163" t="s">
        <v>1881</v>
      </c>
      <c r="G9" s="163" t="s">
        <v>1882</v>
      </c>
      <c r="H9" s="165">
        <v>0</v>
      </c>
      <c r="I9" s="164">
        <v>46080</v>
      </c>
      <c r="J9" s="163" t="s">
        <v>1704</v>
      </c>
    </row>
    <row r="10" spans="1:10" x14ac:dyDescent="0.2">
      <c r="A10" s="163">
        <v>21900</v>
      </c>
      <c r="B10" s="163" t="s">
        <v>1889</v>
      </c>
      <c r="C10" s="163" t="s">
        <v>1762</v>
      </c>
      <c r="D10" s="164">
        <v>46076</v>
      </c>
      <c r="E10" s="164">
        <v>46203</v>
      </c>
      <c r="F10" s="163" t="s">
        <v>1881</v>
      </c>
      <c r="G10" s="163" t="s">
        <v>1882</v>
      </c>
      <c r="H10" s="165">
        <v>0</v>
      </c>
      <c r="I10" s="164">
        <v>46080</v>
      </c>
      <c r="J10" s="163" t="s">
        <v>1763</v>
      </c>
    </row>
    <row r="11" spans="1:10" x14ac:dyDescent="0.2">
      <c r="A11" s="163">
        <v>21899</v>
      </c>
      <c r="B11" s="163" t="s">
        <v>1890</v>
      </c>
      <c r="C11" s="163" t="s">
        <v>1404</v>
      </c>
      <c r="D11" s="164">
        <v>46076</v>
      </c>
      <c r="E11" s="164">
        <v>46203</v>
      </c>
      <c r="F11" s="163" t="s">
        <v>1881</v>
      </c>
      <c r="G11" s="163" t="s">
        <v>1882</v>
      </c>
      <c r="H11" s="165">
        <v>0</v>
      </c>
      <c r="I11" s="164">
        <v>46079</v>
      </c>
      <c r="J11" s="163" t="s">
        <v>1405</v>
      </c>
    </row>
    <row r="12" spans="1:10" x14ac:dyDescent="0.2">
      <c r="A12" s="163">
        <v>21898</v>
      </c>
      <c r="B12" s="163" t="s">
        <v>1891</v>
      </c>
      <c r="C12" s="163" t="s">
        <v>1105</v>
      </c>
      <c r="D12" s="164">
        <v>46072</v>
      </c>
      <c r="E12" s="164">
        <v>46142</v>
      </c>
      <c r="F12" s="163" t="s">
        <v>1881</v>
      </c>
      <c r="G12" s="163" t="s">
        <v>1882</v>
      </c>
      <c r="H12" s="165">
        <v>0</v>
      </c>
      <c r="I12" s="164">
        <v>46079</v>
      </c>
      <c r="J12" s="163" t="s">
        <v>1662</v>
      </c>
    </row>
    <row r="13" spans="1:10" x14ac:dyDescent="0.2">
      <c r="A13" s="163">
        <v>21897</v>
      </c>
      <c r="B13" s="163" t="s">
        <v>1892</v>
      </c>
      <c r="C13" s="163" t="s">
        <v>1365</v>
      </c>
      <c r="D13" s="164">
        <v>46069</v>
      </c>
      <c r="E13" s="164">
        <v>46173</v>
      </c>
      <c r="F13" s="163" t="s">
        <v>1881</v>
      </c>
      <c r="G13" s="163" t="s">
        <v>1882</v>
      </c>
      <c r="H13" s="165">
        <v>15.95</v>
      </c>
      <c r="I13" s="164">
        <v>46079</v>
      </c>
      <c r="J13" s="163" t="s">
        <v>1366</v>
      </c>
    </row>
    <row r="14" spans="1:10" x14ac:dyDescent="0.2">
      <c r="A14" s="163">
        <v>21895</v>
      </c>
      <c r="B14" s="163" t="s">
        <v>1893</v>
      </c>
      <c r="C14" s="163" t="s">
        <v>1464</v>
      </c>
      <c r="D14" s="164">
        <v>46069</v>
      </c>
      <c r="E14" s="164">
        <v>46752</v>
      </c>
      <c r="F14" s="163" t="s">
        <v>1881</v>
      </c>
      <c r="G14" s="163" t="s">
        <v>1882</v>
      </c>
      <c r="H14" s="165">
        <v>0</v>
      </c>
      <c r="I14" s="164">
        <v>46079</v>
      </c>
      <c r="J14" s="163" t="s">
        <v>1894</v>
      </c>
    </row>
    <row r="15" spans="1:10" x14ac:dyDescent="0.2">
      <c r="A15" s="163">
        <v>21893</v>
      </c>
      <c r="B15" s="163" t="s">
        <v>1895</v>
      </c>
      <c r="C15" s="163" t="s">
        <v>1284</v>
      </c>
      <c r="D15" s="164">
        <v>46082</v>
      </c>
      <c r="E15" s="164">
        <v>46387</v>
      </c>
      <c r="F15" s="163" t="s">
        <v>1881</v>
      </c>
      <c r="G15" s="163" t="s">
        <v>1882</v>
      </c>
      <c r="H15" s="165">
        <v>0</v>
      </c>
      <c r="I15" s="164">
        <v>46079</v>
      </c>
      <c r="J15" s="163" t="s">
        <v>1285</v>
      </c>
    </row>
    <row r="16" spans="1:10" x14ac:dyDescent="0.2">
      <c r="A16" s="163">
        <v>21892</v>
      </c>
      <c r="B16" s="163" t="s">
        <v>1895</v>
      </c>
      <c r="C16" s="163" t="s">
        <v>1304</v>
      </c>
      <c r="D16" s="164">
        <v>46082</v>
      </c>
      <c r="E16" s="164">
        <v>46387</v>
      </c>
      <c r="F16" s="163" t="s">
        <v>1881</v>
      </c>
      <c r="G16" s="163" t="s">
        <v>1882</v>
      </c>
      <c r="H16" s="165">
        <v>0</v>
      </c>
      <c r="I16" s="164">
        <v>46079</v>
      </c>
      <c r="J16" s="163" t="s">
        <v>1305</v>
      </c>
    </row>
    <row r="17" spans="1:10" x14ac:dyDescent="0.2">
      <c r="A17" s="163">
        <v>21891</v>
      </c>
      <c r="B17" s="163" t="s">
        <v>1895</v>
      </c>
      <c r="C17" s="163" t="s">
        <v>1282</v>
      </c>
      <c r="D17" s="164">
        <v>46076</v>
      </c>
      <c r="E17" s="164">
        <v>46203</v>
      </c>
      <c r="F17" s="163" t="s">
        <v>1881</v>
      </c>
      <c r="G17" s="163" t="s">
        <v>1882</v>
      </c>
      <c r="H17" s="165">
        <v>0</v>
      </c>
      <c r="I17" s="164">
        <v>46079</v>
      </c>
      <c r="J17" s="163" t="s">
        <v>1283</v>
      </c>
    </row>
    <row r="18" spans="1:10" x14ac:dyDescent="0.2">
      <c r="A18" s="163">
        <v>21890</v>
      </c>
      <c r="B18" s="163" t="s">
        <v>1895</v>
      </c>
      <c r="C18" s="163" t="s">
        <v>1308</v>
      </c>
      <c r="D18" s="164">
        <v>46076</v>
      </c>
      <c r="E18" s="164">
        <v>46387</v>
      </c>
      <c r="F18" s="163" t="s">
        <v>1881</v>
      </c>
      <c r="G18" s="163" t="s">
        <v>1882</v>
      </c>
      <c r="H18" s="165">
        <v>0</v>
      </c>
      <c r="I18" s="164">
        <v>46079</v>
      </c>
      <c r="J18" s="163" t="s">
        <v>1309</v>
      </c>
    </row>
    <row r="19" spans="1:10" x14ac:dyDescent="0.2">
      <c r="A19" s="163">
        <v>21889</v>
      </c>
      <c r="B19" s="163" t="s">
        <v>1895</v>
      </c>
      <c r="C19" s="163" t="s">
        <v>1306</v>
      </c>
      <c r="D19" s="164">
        <v>46076</v>
      </c>
      <c r="E19" s="164">
        <v>46387</v>
      </c>
      <c r="F19" s="163" t="s">
        <v>1881</v>
      </c>
      <c r="G19" s="163" t="s">
        <v>1882</v>
      </c>
      <c r="H19" s="165">
        <v>0</v>
      </c>
      <c r="I19" s="164">
        <v>46079</v>
      </c>
      <c r="J19" s="163" t="s">
        <v>1307</v>
      </c>
    </row>
    <row r="20" spans="1:10" x14ac:dyDescent="0.2">
      <c r="A20" s="163">
        <v>21888</v>
      </c>
      <c r="B20" s="163" t="s">
        <v>1895</v>
      </c>
      <c r="C20" s="163" t="s">
        <v>1095</v>
      </c>
      <c r="D20" s="164">
        <v>46063</v>
      </c>
      <c r="E20" s="164">
        <v>46066</v>
      </c>
      <c r="F20" s="163" t="s">
        <v>1881</v>
      </c>
      <c r="G20" s="163" t="s">
        <v>1882</v>
      </c>
      <c r="H20" s="165">
        <v>0</v>
      </c>
      <c r="I20" s="164">
        <v>46079</v>
      </c>
      <c r="J20" s="163" t="s">
        <v>1096</v>
      </c>
    </row>
    <row r="21" spans="1:10" x14ac:dyDescent="0.2">
      <c r="A21" s="163">
        <v>21887</v>
      </c>
      <c r="B21" s="163" t="s">
        <v>1895</v>
      </c>
      <c r="C21" s="163" t="s">
        <v>1302</v>
      </c>
      <c r="D21" s="164">
        <v>46076</v>
      </c>
      <c r="E21" s="164">
        <v>46752</v>
      </c>
      <c r="F21" s="163" t="s">
        <v>1881</v>
      </c>
      <c r="G21" s="163" t="s">
        <v>1882</v>
      </c>
      <c r="H21" s="165">
        <v>0</v>
      </c>
      <c r="I21" s="164">
        <v>46079</v>
      </c>
      <c r="J21" s="163" t="s">
        <v>1303</v>
      </c>
    </row>
    <row r="22" spans="1:10" x14ac:dyDescent="0.2">
      <c r="A22" s="163">
        <v>21886</v>
      </c>
      <c r="B22" s="163" t="s">
        <v>1895</v>
      </c>
      <c r="C22" s="163" t="s">
        <v>1300</v>
      </c>
      <c r="D22" s="164">
        <v>46076</v>
      </c>
      <c r="E22" s="164">
        <v>46752</v>
      </c>
      <c r="F22" s="163" t="s">
        <v>1881</v>
      </c>
      <c r="G22" s="163" t="s">
        <v>1882</v>
      </c>
      <c r="H22" s="165">
        <v>0</v>
      </c>
      <c r="I22" s="164">
        <v>46079</v>
      </c>
      <c r="J22" s="163" t="s">
        <v>1301</v>
      </c>
    </row>
    <row r="23" spans="1:10" x14ac:dyDescent="0.2">
      <c r="A23" s="163">
        <v>21885</v>
      </c>
      <c r="B23" s="163" t="s">
        <v>1895</v>
      </c>
      <c r="C23" s="163" t="s">
        <v>1298</v>
      </c>
      <c r="D23" s="164">
        <v>46076</v>
      </c>
      <c r="E23" s="164">
        <v>46752</v>
      </c>
      <c r="F23" s="163" t="s">
        <v>1881</v>
      </c>
      <c r="G23" s="163" t="s">
        <v>1882</v>
      </c>
      <c r="H23" s="165">
        <v>0</v>
      </c>
      <c r="I23" s="164">
        <v>46079</v>
      </c>
      <c r="J23" s="163" t="s">
        <v>1299</v>
      </c>
    </row>
    <row r="24" spans="1:10" x14ac:dyDescent="0.2">
      <c r="A24" s="163">
        <v>21884</v>
      </c>
      <c r="B24" s="163" t="s">
        <v>1895</v>
      </c>
      <c r="C24" s="163" t="s">
        <v>1296</v>
      </c>
      <c r="D24" s="164">
        <v>46076</v>
      </c>
      <c r="E24" s="164">
        <v>46752</v>
      </c>
      <c r="F24" s="163" t="s">
        <v>1881</v>
      </c>
      <c r="G24" s="163" t="s">
        <v>1882</v>
      </c>
      <c r="H24" s="165">
        <v>0</v>
      </c>
      <c r="I24" s="164">
        <v>46079</v>
      </c>
      <c r="J24" s="163" t="s">
        <v>1297</v>
      </c>
    </row>
    <row r="25" spans="1:10" x14ac:dyDescent="0.2">
      <c r="A25" s="163">
        <v>21883</v>
      </c>
      <c r="B25" s="163" t="s">
        <v>1895</v>
      </c>
      <c r="C25" s="163" t="s">
        <v>1294</v>
      </c>
      <c r="D25" s="164">
        <v>46076</v>
      </c>
      <c r="E25" s="164">
        <v>46752</v>
      </c>
      <c r="F25" s="163" t="s">
        <v>1881</v>
      </c>
      <c r="G25" s="163" t="s">
        <v>1882</v>
      </c>
      <c r="H25" s="165">
        <v>0</v>
      </c>
      <c r="I25" s="164">
        <v>46079</v>
      </c>
      <c r="J25" s="163" t="s">
        <v>1295</v>
      </c>
    </row>
    <row r="26" spans="1:10" x14ac:dyDescent="0.2">
      <c r="A26" s="163">
        <v>21882</v>
      </c>
      <c r="B26" s="163" t="s">
        <v>1895</v>
      </c>
      <c r="C26" s="163" t="s">
        <v>1292</v>
      </c>
      <c r="D26" s="164">
        <v>46076</v>
      </c>
      <c r="E26" s="164">
        <v>46752</v>
      </c>
      <c r="F26" s="163" t="s">
        <v>1881</v>
      </c>
      <c r="G26" s="163" t="s">
        <v>1882</v>
      </c>
      <c r="H26" s="165">
        <v>0</v>
      </c>
      <c r="I26" s="164">
        <v>46079</v>
      </c>
      <c r="J26" s="163" t="s">
        <v>1293</v>
      </c>
    </row>
    <row r="27" spans="1:10" x14ac:dyDescent="0.2">
      <c r="A27" s="163">
        <v>21881</v>
      </c>
      <c r="B27" s="163" t="s">
        <v>1895</v>
      </c>
      <c r="C27" s="163" t="s">
        <v>1290</v>
      </c>
      <c r="D27" s="164">
        <v>46076</v>
      </c>
      <c r="E27" s="164">
        <v>46752</v>
      </c>
      <c r="F27" s="163" t="s">
        <v>1881</v>
      </c>
      <c r="G27" s="163" t="s">
        <v>1882</v>
      </c>
      <c r="H27" s="165">
        <v>0</v>
      </c>
      <c r="I27" s="164">
        <v>46079</v>
      </c>
      <c r="J27" s="163" t="s">
        <v>1291</v>
      </c>
    </row>
    <row r="28" spans="1:10" x14ac:dyDescent="0.2">
      <c r="A28" s="163">
        <v>21880</v>
      </c>
      <c r="B28" s="163" t="s">
        <v>1895</v>
      </c>
      <c r="C28" s="163" t="s">
        <v>1288</v>
      </c>
      <c r="D28" s="164">
        <v>46076</v>
      </c>
      <c r="E28" s="164">
        <v>46752</v>
      </c>
      <c r="F28" s="163" t="s">
        <v>1881</v>
      </c>
      <c r="G28" s="163" t="s">
        <v>1882</v>
      </c>
      <c r="H28" s="165">
        <v>0</v>
      </c>
      <c r="I28" s="164">
        <v>46079</v>
      </c>
      <c r="J28" s="163" t="s">
        <v>1289</v>
      </c>
    </row>
    <row r="29" spans="1:10" x14ac:dyDescent="0.2">
      <c r="A29" s="163">
        <v>21879</v>
      </c>
      <c r="B29" s="163" t="s">
        <v>1895</v>
      </c>
      <c r="C29" s="163" t="s">
        <v>1286</v>
      </c>
      <c r="D29" s="164">
        <v>46082</v>
      </c>
      <c r="E29" s="164">
        <v>46387</v>
      </c>
      <c r="F29" s="163" t="s">
        <v>1881</v>
      </c>
      <c r="G29" s="163" t="s">
        <v>1882</v>
      </c>
      <c r="H29" s="165">
        <v>0</v>
      </c>
      <c r="I29" s="164">
        <v>46079</v>
      </c>
      <c r="J29" s="163" t="s">
        <v>1287</v>
      </c>
    </row>
    <row r="30" spans="1:10" x14ac:dyDescent="0.2">
      <c r="A30" s="163">
        <v>21878</v>
      </c>
      <c r="B30" s="163" t="s">
        <v>1895</v>
      </c>
      <c r="C30" s="163" t="s">
        <v>1276</v>
      </c>
      <c r="D30" s="164">
        <v>46069</v>
      </c>
      <c r="E30" s="164">
        <v>46113</v>
      </c>
      <c r="F30" s="163" t="s">
        <v>1881</v>
      </c>
      <c r="G30" s="163" t="s">
        <v>1882</v>
      </c>
      <c r="H30" s="165">
        <v>0</v>
      </c>
      <c r="I30" s="164">
        <v>46079</v>
      </c>
      <c r="J30" s="163" t="s">
        <v>1896</v>
      </c>
    </row>
    <row r="31" spans="1:10" x14ac:dyDescent="0.2">
      <c r="A31" s="163">
        <v>21877</v>
      </c>
      <c r="B31" s="163" t="s">
        <v>1895</v>
      </c>
      <c r="C31" s="163" t="s">
        <v>1055</v>
      </c>
      <c r="D31" s="164">
        <v>46052</v>
      </c>
      <c r="E31" s="164">
        <v>46387</v>
      </c>
      <c r="F31" s="163" t="s">
        <v>1881</v>
      </c>
      <c r="G31" s="163" t="s">
        <v>1882</v>
      </c>
      <c r="H31" s="165">
        <v>0</v>
      </c>
      <c r="I31" s="164">
        <v>46079</v>
      </c>
      <c r="J31" s="163" t="s">
        <v>1091</v>
      </c>
    </row>
    <row r="32" spans="1:10" x14ac:dyDescent="0.2">
      <c r="A32" s="163">
        <v>21875</v>
      </c>
      <c r="B32" s="163" t="s">
        <v>1897</v>
      </c>
      <c r="C32" s="163" t="s">
        <v>1898</v>
      </c>
      <c r="D32" s="164">
        <v>46058</v>
      </c>
      <c r="E32" s="164">
        <v>46142</v>
      </c>
      <c r="F32" s="163" t="s">
        <v>1881</v>
      </c>
      <c r="G32" s="163" t="s">
        <v>1882</v>
      </c>
      <c r="H32" s="165">
        <v>0</v>
      </c>
      <c r="I32" s="164">
        <v>46079</v>
      </c>
      <c r="J32" s="163" t="s">
        <v>1899</v>
      </c>
    </row>
    <row r="33" spans="1:10" x14ac:dyDescent="0.2">
      <c r="A33" s="163">
        <v>21850</v>
      </c>
      <c r="B33" s="163" t="s">
        <v>1895</v>
      </c>
      <c r="C33" s="163" t="s">
        <v>1279</v>
      </c>
      <c r="D33" s="164">
        <v>46072</v>
      </c>
      <c r="E33" s="164">
        <v>46387</v>
      </c>
      <c r="F33" s="163" t="s">
        <v>1881</v>
      </c>
      <c r="G33" s="163" t="s">
        <v>1882</v>
      </c>
      <c r="H33" s="165">
        <v>0</v>
      </c>
      <c r="I33" s="164">
        <v>46073</v>
      </c>
      <c r="J33" s="163" t="s">
        <v>1900</v>
      </c>
    </row>
    <row r="34" spans="1:10" x14ac:dyDescent="0.2">
      <c r="A34" s="163">
        <v>21849</v>
      </c>
      <c r="B34" s="163" t="s">
        <v>1901</v>
      </c>
      <c r="C34" s="163" t="s">
        <v>1513</v>
      </c>
      <c r="D34" s="164">
        <v>46070</v>
      </c>
      <c r="E34" s="164">
        <v>46264</v>
      </c>
      <c r="F34" s="163" t="s">
        <v>1881</v>
      </c>
      <c r="G34" s="163" t="s">
        <v>1882</v>
      </c>
      <c r="H34" s="165">
        <v>0</v>
      </c>
      <c r="I34" s="164">
        <v>46073</v>
      </c>
      <c r="J34" s="163" t="s">
        <v>1902</v>
      </c>
    </row>
    <row r="35" spans="1:10" x14ac:dyDescent="0.2">
      <c r="A35" s="163">
        <v>21687</v>
      </c>
      <c r="B35" s="163" t="s">
        <v>1903</v>
      </c>
      <c r="C35" s="163" t="s">
        <v>807</v>
      </c>
      <c r="D35" s="164">
        <v>45658</v>
      </c>
      <c r="E35" s="164">
        <v>45659</v>
      </c>
      <c r="F35" s="163" t="s">
        <v>1881</v>
      </c>
      <c r="G35" s="163" t="s">
        <v>1882</v>
      </c>
      <c r="H35" s="165">
        <v>8178.96</v>
      </c>
      <c r="I35" s="164">
        <v>46066</v>
      </c>
      <c r="J35" s="163" t="s">
        <v>1904</v>
      </c>
    </row>
    <row r="36" spans="1:10" x14ac:dyDescent="0.2">
      <c r="A36" s="163">
        <v>21686</v>
      </c>
      <c r="B36" s="163" t="s">
        <v>1905</v>
      </c>
      <c r="C36" s="163" t="s">
        <v>1906</v>
      </c>
      <c r="D36" s="164">
        <v>43944</v>
      </c>
      <c r="E36" s="164">
        <v>46568</v>
      </c>
      <c r="F36" s="163" t="s">
        <v>1881</v>
      </c>
      <c r="G36" s="163" t="s">
        <v>1882</v>
      </c>
      <c r="H36" s="165">
        <v>33565.300000000003</v>
      </c>
      <c r="I36" s="164">
        <v>46066</v>
      </c>
      <c r="J36" s="163" t="s">
        <v>914</v>
      </c>
    </row>
    <row r="37" spans="1:10" x14ac:dyDescent="0.2">
      <c r="A37" s="163">
        <v>21685</v>
      </c>
      <c r="B37" s="163" t="s">
        <v>1907</v>
      </c>
      <c r="C37" s="163" t="s">
        <v>1908</v>
      </c>
      <c r="D37" s="164">
        <v>44036</v>
      </c>
      <c r="E37" s="164">
        <v>46022</v>
      </c>
      <c r="F37" s="163" t="s">
        <v>1881</v>
      </c>
      <c r="G37" s="163" t="s">
        <v>1882</v>
      </c>
      <c r="H37" s="165">
        <v>0</v>
      </c>
      <c r="I37" s="164">
        <v>46066</v>
      </c>
      <c r="J37" s="163" t="s">
        <v>1909</v>
      </c>
    </row>
    <row r="38" spans="1:10" x14ac:dyDescent="0.2">
      <c r="A38" s="163">
        <v>21684</v>
      </c>
      <c r="B38" s="163" t="s">
        <v>1910</v>
      </c>
      <c r="C38" s="163" t="s">
        <v>554</v>
      </c>
      <c r="D38" s="164">
        <v>45658</v>
      </c>
      <c r="E38" s="164">
        <v>45659</v>
      </c>
      <c r="F38" s="163" t="s">
        <v>1881</v>
      </c>
      <c r="G38" s="163" t="s">
        <v>1882</v>
      </c>
      <c r="H38" s="165">
        <v>10302.459999999999</v>
      </c>
      <c r="I38" s="164">
        <v>46066</v>
      </c>
      <c r="J38" s="163" t="s">
        <v>1911</v>
      </c>
    </row>
    <row r="39" spans="1:10" x14ac:dyDescent="0.2">
      <c r="A39" s="163">
        <v>21683</v>
      </c>
      <c r="B39" s="163" t="s">
        <v>1905</v>
      </c>
      <c r="C39" s="163" t="s">
        <v>1906</v>
      </c>
      <c r="D39" s="164">
        <v>43944</v>
      </c>
      <c r="E39" s="164">
        <v>46568</v>
      </c>
      <c r="F39" s="163" t="s">
        <v>1881</v>
      </c>
      <c r="G39" s="163" t="s">
        <v>1882</v>
      </c>
      <c r="H39" s="165">
        <v>7741.7</v>
      </c>
      <c r="I39" s="164">
        <v>46066</v>
      </c>
      <c r="J39" s="163" t="s">
        <v>1912</v>
      </c>
    </row>
    <row r="40" spans="1:10" x14ac:dyDescent="0.2">
      <c r="A40" s="163">
        <v>21682</v>
      </c>
      <c r="B40" s="163" t="s">
        <v>1905</v>
      </c>
      <c r="C40" s="163" t="s">
        <v>1906</v>
      </c>
      <c r="D40" s="164">
        <v>43944</v>
      </c>
      <c r="E40" s="164">
        <v>46568</v>
      </c>
      <c r="F40" s="163" t="s">
        <v>1881</v>
      </c>
      <c r="G40" s="163" t="s">
        <v>1882</v>
      </c>
      <c r="H40" s="165">
        <v>7740.41</v>
      </c>
      <c r="I40" s="164">
        <v>46066</v>
      </c>
      <c r="J40" s="163" t="s">
        <v>1913</v>
      </c>
    </row>
    <row r="41" spans="1:10" x14ac:dyDescent="0.2">
      <c r="A41" s="163">
        <v>21681</v>
      </c>
      <c r="B41" s="163" t="s">
        <v>1893</v>
      </c>
      <c r="C41" s="163" t="s">
        <v>465</v>
      </c>
      <c r="D41" s="164">
        <v>45658</v>
      </c>
      <c r="E41" s="164">
        <v>45659</v>
      </c>
      <c r="F41" s="163" t="s">
        <v>1881</v>
      </c>
      <c r="G41" s="163" t="s">
        <v>1882</v>
      </c>
      <c r="H41" s="165">
        <v>30255.54</v>
      </c>
      <c r="I41" s="164">
        <v>46066</v>
      </c>
      <c r="J41" s="163" t="s">
        <v>1914</v>
      </c>
    </row>
    <row r="42" spans="1:10" x14ac:dyDescent="0.2">
      <c r="A42" s="163">
        <v>21680</v>
      </c>
      <c r="B42" s="163" t="s">
        <v>1915</v>
      </c>
      <c r="C42" s="163" t="s">
        <v>1916</v>
      </c>
      <c r="D42" s="164">
        <v>45658</v>
      </c>
      <c r="E42" s="164">
        <v>45659</v>
      </c>
      <c r="F42" s="163" t="s">
        <v>1881</v>
      </c>
      <c r="G42" s="163" t="s">
        <v>1882</v>
      </c>
      <c r="H42" s="165">
        <v>1</v>
      </c>
      <c r="I42" s="164">
        <v>46066</v>
      </c>
      <c r="J42" s="163" t="s">
        <v>1917</v>
      </c>
    </row>
    <row r="43" spans="1:10" x14ac:dyDescent="0.2">
      <c r="A43" s="163">
        <v>21679</v>
      </c>
      <c r="B43" s="163" t="s">
        <v>1918</v>
      </c>
      <c r="C43" s="163" t="s">
        <v>1919</v>
      </c>
      <c r="D43" s="164">
        <v>45658</v>
      </c>
      <c r="E43" s="164">
        <v>45659</v>
      </c>
      <c r="F43" s="163" t="s">
        <v>1881</v>
      </c>
      <c r="G43" s="163" t="s">
        <v>1882</v>
      </c>
      <c r="H43" s="165">
        <v>0</v>
      </c>
      <c r="I43" s="164">
        <v>46066</v>
      </c>
      <c r="J43" s="163" t="s">
        <v>1920</v>
      </c>
    </row>
    <row r="44" spans="1:10" x14ac:dyDescent="0.2">
      <c r="A44" s="163">
        <v>21678</v>
      </c>
      <c r="B44" s="163" t="s">
        <v>1918</v>
      </c>
      <c r="C44" s="163" t="s">
        <v>1921</v>
      </c>
      <c r="D44" s="164">
        <v>45658</v>
      </c>
      <c r="E44" s="164">
        <v>45659</v>
      </c>
      <c r="F44" s="163" t="s">
        <v>1881</v>
      </c>
      <c r="G44" s="163" t="s">
        <v>1882</v>
      </c>
      <c r="H44" s="165">
        <v>1</v>
      </c>
      <c r="I44" s="164">
        <v>46066</v>
      </c>
      <c r="J44" s="163" t="s">
        <v>1922</v>
      </c>
    </row>
    <row r="45" spans="1:10" x14ac:dyDescent="0.2">
      <c r="A45" s="163">
        <v>21677</v>
      </c>
      <c r="B45" s="163" t="s">
        <v>1901</v>
      </c>
      <c r="C45" s="163" t="s">
        <v>564</v>
      </c>
      <c r="D45" s="164">
        <v>45658</v>
      </c>
      <c r="E45" s="164">
        <v>45659</v>
      </c>
      <c r="F45" s="163" t="s">
        <v>1881</v>
      </c>
      <c r="G45" s="163" t="s">
        <v>1882</v>
      </c>
      <c r="H45" s="165">
        <v>679221.61</v>
      </c>
      <c r="I45" s="164">
        <v>46066</v>
      </c>
      <c r="J45" s="163" t="s">
        <v>676</v>
      </c>
    </row>
    <row r="46" spans="1:10" x14ac:dyDescent="0.2">
      <c r="A46" s="163">
        <v>21676</v>
      </c>
      <c r="B46" s="163" t="s">
        <v>1901</v>
      </c>
      <c r="C46" s="163" t="s">
        <v>469</v>
      </c>
      <c r="D46" s="164">
        <v>45658</v>
      </c>
      <c r="E46" s="164">
        <v>45659</v>
      </c>
      <c r="F46" s="163" t="s">
        <v>1881</v>
      </c>
      <c r="G46" s="163" t="s">
        <v>1882</v>
      </c>
      <c r="H46" s="165">
        <v>780292.41</v>
      </c>
      <c r="I46" s="164">
        <v>46066</v>
      </c>
      <c r="J46" s="163" t="s">
        <v>1923</v>
      </c>
    </row>
    <row r="47" spans="1:10" x14ac:dyDescent="0.2">
      <c r="A47" s="163">
        <v>21675</v>
      </c>
      <c r="B47" s="163" t="s">
        <v>1924</v>
      </c>
      <c r="C47" s="163" t="s">
        <v>1925</v>
      </c>
      <c r="D47" s="164">
        <v>45742</v>
      </c>
      <c r="E47" s="164">
        <v>46022</v>
      </c>
      <c r="F47" s="163" t="s">
        <v>1881</v>
      </c>
      <c r="G47" s="163" t="s">
        <v>1882</v>
      </c>
      <c r="H47" s="165">
        <v>0</v>
      </c>
      <c r="I47" s="164">
        <v>46066</v>
      </c>
      <c r="J47" s="163" t="s">
        <v>1926</v>
      </c>
    </row>
    <row r="48" spans="1:10" x14ac:dyDescent="0.2">
      <c r="A48" s="163">
        <v>21674</v>
      </c>
      <c r="B48" s="163" t="s">
        <v>1927</v>
      </c>
      <c r="C48" s="163" t="s">
        <v>1566</v>
      </c>
      <c r="D48" s="164">
        <v>45658</v>
      </c>
      <c r="E48" s="164">
        <v>45659</v>
      </c>
      <c r="F48" s="163" t="s">
        <v>1881</v>
      </c>
      <c r="G48" s="163" t="s">
        <v>1882</v>
      </c>
      <c r="H48" s="165">
        <v>1357</v>
      </c>
      <c r="I48" s="164">
        <v>46066</v>
      </c>
      <c r="J48" s="163" t="s">
        <v>1928</v>
      </c>
    </row>
    <row r="49" spans="1:10" x14ac:dyDescent="0.2">
      <c r="A49" s="163">
        <v>21673</v>
      </c>
      <c r="B49" s="163" t="s">
        <v>1927</v>
      </c>
      <c r="C49" s="163" t="s">
        <v>1564</v>
      </c>
      <c r="D49" s="164">
        <v>45658</v>
      </c>
      <c r="E49" s="164">
        <v>45659</v>
      </c>
      <c r="F49" s="163" t="s">
        <v>1881</v>
      </c>
      <c r="G49" s="163" t="s">
        <v>1882</v>
      </c>
      <c r="H49" s="165">
        <v>1775</v>
      </c>
      <c r="I49" s="164">
        <v>46066</v>
      </c>
      <c r="J49" s="163" t="s">
        <v>1929</v>
      </c>
    </row>
    <row r="50" spans="1:10" x14ac:dyDescent="0.2">
      <c r="A50" s="163">
        <v>21672</v>
      </c>
      <c r="B50" s="163" t="s">
        <v>1930</v>
      </c>
      <c r="C50" s="163" t="s">
        <v>1931</v>
      </c>
      <c r="D50" s="164">
        <v>44816</v>
      </c>
      <c r="E50" s="164">
        <v>46354</v>
      </c>
      <c r="F50" s="163" t="s">
        <v>1881</v>
      </c>
      <c r="G50" s="163" t="s">
        <v>1882</v>
      </c>
      <c r="H50" s="165">
        <v>3528.5</v>
      </c>
      <c r="I50" s="164">
        <v>46066</v>
      </c>
      <c r="J50" s="163" t="s">
        <v>960</v>
      </c>
    </row>
    <row r="51" spans="1:10" x14ac:dyDescent="0.2">
      <c r="A51" s="163">
        <v>21671</v>
      </c>
      <c r="B51" s="163" t="s">
        <v>1887</v>
      </c>
      <c r="C51" s="163" t="s">
        <v>582</v>
      </c>
      <c r="D51" s="164">
        <v>45658</v>
      </c>
      <c r="E51" s="164">
        <v>45659</v>
      </c>
      <c r="F51" s="163" t="s">
        <v>1881</v>
      </c>
      <c r="G51" s="163" t="s">
        <v>1882</v>
      </c>
      <c r="H51" s="165">
        <v>0</v>
      </c>
      <c r="I51" s="164">
        <v>46066</v>
      </c>
      <c r="J51" s="163" t="s">
        <v>820</v>
      </c>
    </row>
    <row r="52" spans="1:10" x14ac:dyDescent="0.2">
      <c r="A52" s="163">
        <v>21670</v>
      </c>
      <c r="B52" s="163" t="s">
        <v>1897</v>
      </c>
      <c r="C52" s="163" t="s">
        <v>1932</v>
      </c>
      <c r="D52" s="164">
        <v>43784</v>
      </c>
      <c r="E52" s="164">
        <v>43830</v>
      </c>
      <c r="F52" s="163" t="s">
        <v>1881</v>
      </c>
      <c r="G52" s="163" t="s">
        <v>1882</v>
      </c>
      <c r="H52" s="165">
        <v>1725</v>
      </c>
      <c r="I52" s="164">
        <v>46066</v>
      </c>
      <c r="J52" s="163" t="s">
        <v>1933</v>
      </c>
    </row>
    <row r="53" spans="1:10" x14ac:dyDescent="0.2">
      <c r="A53" s="163">
        <v>21669</v>
      </c>
      <c r="B53" s="163" t="s">
        <v>1887</v>
      </c>
      <c r="C53" s="163" t="s">
        <v>91</v>
      </c>
      <c r="D53" s="164">
        <v>45658</v>
      </c>
      <c r="E53" s="164">
        <v>45659</v>
      </c>
      <c r="F53" s="163" t="s">
        <v>1881</v>
      </c>
      <c r="G53" s="163" t="s">
        <v>1882</v>
      </c>
      <c r="H53" s="165">
        <v>2786</v>
      </c>
      <c r="I53" s="164">
        <v>46066</v>
      </c>
      <c r="J53" s="163" t="s">
        <v>1934</v>
      </c>
    </row>
    <row r="54" spans="1:10" x14ac:dyDescent="0.2">
      <c r="A54" s="163">
        <v>21668</v>
      </c>
      <c r="B54" s="163" t="s">
        <v>1935</v>
      </c>
      <c r="C54" s="163" t="s">
        <v>1936</v>
      </c>
      <c r="D54" s="164">
        <v>46028</v>
      </c>
      <c r="E54" s="164">
        <v>46477</v>
      </c>
      <c r="F54" s="163" t="s">
        <v>1881</v>
      </c>
      <c r="G54" s="163" t="s">
        <v>1882</v>
      </c>
      <c r="H54" s="165">
        <v>84078.35</v>
      </c>
      <c r="I54" s="164">
        <v>46066</v>
      </c>
      <c r="J54" s="163" t="s">
        <v>1075</v>
      </c>
    </row>
    <row r="55" spans="1:10" x14ac:dyDescent="0.2">
      <c r="A55" s="163">
        <v>21667</v>
      </c>
      <c r="B55" s="163" t="s">
        <v>1901</v>
      </c>
      <c r="C55" s="163" t="s">
        <v>1937</v>
      </c>
      <c r="D55" s="164">
        <v>45658</v>
      </c>
      <c r="E55" s="164">
        <v>46753</v>
      </c>
      <c r="F55" s="163" t="s">
        <v>1881</v>
      </c>
      <c r="G55" s="163" t="s">
        <v>1882</v>
      </c>
      <c r="H55" s="165">
        <v>743120.57</v>
      </c>
      <c r="I55" s="164">
        <v>46066</v>
      </c>
      <c r="J55" s="163" t="s">
        <v>1938</v>
      </c>
    </row>
    <row r="56" spans="1:10" x14ac:dyDescent="0.2">
      <c r="A56" s="163">
        <v>21666</v>
      </c>
      <c r="B56" s="163" t="s">
        <v>1901</v>
      </c>
      <c r="C56" s="163" t="s">
        <v>1939</v>
      </c>
      <c r="D56" s="164">
        <v>46023</v>
      </c>
      <c r="E56" s="164">
        <v>47119</v>
      </c>
      <c r="F56" s="163" t="s">
        <v>1881</v>
      </c>
      <c r="G56" s="163" t="s">
        <v>1882</v>
      </c>
      <c r="H56" s="165">
        <v>1062620.29</v>
      </c>
      <c r="I56" s="164">
        <v>46066</v>
      </c>
      <c r="J56" s="163" t="s">
        <v>1940</v>
      </c>
    </row>
    <row r="57" spans="1:10" x14ac:dyDescent="0.2">
      <c r="A57" s="163">
        <v>21665</v>
      </c>
      <c r="B57" s="163" t="s">
        <v>1941</v>
      </c>
      <c r="C57" s="163" t="s">
        <v>1942</v>
      </c>
      <c r="D57" s="164">
        <v>45352</v>
      </c>
      <c r="E57" s="164">
        <v>45353</v>
      </c>
      <c r="F57" s="163" t="s">
        <v>1881</v>
      </c>
      <c r="G57" s="163" t="s">
        <v>1882</v>
      </c>
      <c r="H57" s="165">
        <v>0</v>
      </c>
      <c r="I57" s="164">
        <v>46066</v>
      </c>
      <c r="J57" s="163" t="s">
        <v>1943</v>
      </c>
    </row>
    <row r="58" spans="1:10" x14ac:dyDescent="0.2">
      <c r="A58" s="163">
        <v>21664</v>
      </c>
      <c r="B58" s="163" t="s">
        <v>1915</v>
      </c>
      <c r="C58" s="163" t="s">
        <v>1944</v>
      </c>
      <c r="D58" s="164">
        <v>45658</v>
      </c>
      <c r="E58" s="164">
        <v>45659</v>
      </c>
      <c r="F58" s="163" t="s">
        <v>1881</v>
      </c>
      <c r="G58" s="163" t="s">
        <v>1882</v>
      </c>
      <c r="H58" s="165">
        <v>0</v>
      </c>
      <c r="I58" s="164">
        <v>46066</v>
      </c>
      <c r="J58" s="163" t="s">
        <v>1945</v>
      </c>
    </row>
    <row r="59" spans="1:10" x14ac:dyDescent="0.2">
      <c r="A59" s="163">
        <v>21663</v>
      </c>
      <c r="B59" s="163" t="s">
        <v>1915</v>
      </c>
      <c r="C59" s="163" t="s">
        <v>116</v>
      </c>
      <c r="D59" s="164">
        <v>45658</v>
      </c>
      <c r="E59" s="164">
        <v>45659</v>
      </c>
      <c r="F59" s="163" t="s">
        <v>1881</v>
      </c>
      <c r="G59" s="163" t="s">
        <v>1882</v>
      </c>
      <c r="H59" s="165">
        <v>0</v>
      </c>
      <c r="I59" s="164">
        <v>46066</v>
      </c>
      <c r="J59" s="163" t="s">
        <v>1946</v>
      </c>
    </row>
    <row r="60" spans="1:10" x14ac:dyDescent="0.2">
      <c r="A60" s="163">
        <v>21662</v>
      </c>
      <c r="B60" s="163" t="s">
        <v>1947</v>
      </c>
      <c r="C60" s="163" t="s">
        <v>1948</v>
      </c>
      <c r="D60" s="164">
        <v>45323</v>
      </c>
      <c r="E60" s="164">
        <v>45657</v>
      </c>
      <c r="F60" s="163" t="s">
        <v>1881</v>
      </c>
      <c r="G60" s="163" t="s">
        <v>1882</v>
      </c>
      <c r="H60" s="165">
        <v>1619.06</v>
      </c>
      <c r="I60" s="164">
        <v>46066</v>
      </c>
      <c r="J60" s="163" t="s">
        <v>1949</v>
      </c>
    </row>
    <row r="61" spans="1:10" x14ac:dyDescent="0.2">
      <c r="A61" s="163">
        <v>21661</v>
      </c>
      <c r="B61" s="163" t="s">
        <v>1897</v>
      </c>
      <c r="C61" s="163" t="s">
        <v>1932</v>
      </c>
      <c r="D61" s="164">
        <v>43784</v>
      </c>
      <c r="E61" s="164">
        <v>43830</v>
      </c>
      <c r="F61" s="163" t="s">
        <v>1881</v>
      </c>
      <c r="G61" s="163" t="s">
        <v>1882</v>
      </c>
      <c r="H61" s="165">
        <v>0</v>
      </c>
      <c r="I61" s="164">
        <v>46066</v>
      </c>
      <c r="J61" s="163" t="s">
        <v>1950</v>
      </c>
    </row>
    <row r="62" spans="1:10" x14ac:dyDescent="0.2">
      <c r="A62" s="163">
        <v>21660</v>
      </c>
      <c r="B62" s="163" t="s">
        <v>1951</v>
      </c>
      <c r="C62" s="163" t="s">
        <v>1952</v>
      </c>
      <c r="D62" s="164">
        <v>45031</v>
      </c>
      <c r="E62" s="164">
        <v>45657</v>
      </c>
      <c r="F62" s="163" t="s">
        <v>1881</v>
      </c>
      <c r="G62" s="163" t="s">
        <v>1882</v>
      </c>
      <c r="H62" s="165">
        <v>14009.55</v>
      </c>
      <c r="I62" s="164">
        <v>46066</v>
      </c>
      <c r="J62" s="163" t="s">
        <v>1953</v>
      </c>
    </row>
    <row r="63" spans="1:10" x14ac:dyDescent="0.2">
      <c r="A63" s="163">
        <v>21659</v>
      </c>
      <c r="B63" s="163" t="s">
        <v>1954</v>
      </c>
      <c r="C63" s="163" t="s">
        <v>1955</v>
      </c>
      <c r="D63" s="164">
        <v>45117</v>
      </c>
      <c r="E63" s="164">
        <v>45382</v>
      </c>
      <c r="F63" s="163" t="s">
        <v>1881</v>
      </c>
      <c r="G63" s="163" t="s">
        <v>1882</v>
      </c>
      <c r="H63" s="165">
        <v>0</v>
      </c>
      <c r="I63" s="164">
        <v>46066</v>
      </c>
      <c r="J63" s="163" t="s">
        <v>1956</v>
      </c>
    </row>
    <row r="64" spans="1:10" x14ac:dyDescent="0.2">
      <c r="A64" s="163">
        <v>21658</v>
      </c>
      <c r="B64" s="163" t="s">
        <v>1957</v>
      </c>
      <c r="C64" s="163" t="s">
        <v>1958</v>
      </c>
      <c r="D64" s="164">
        <v>45180</v>
      </c>
      <c r="E64" s="164">
        <v>45322</v>
      </c>
      <c r="F64" s="163" t="s">
        <v>1881</v>
      </c>
      <c r="G64" s="163" t="s">
        <v>1882</v>
      </c>
      <c r="H64" s="165">
        <v>0</v>
      </c>
      <c r="I64" s="164">
        <v>46066</v>
      </c>
      <c r="J64" s="163" t="s">
        <v>1959</v>
      </c>
    </row>
    <row r="65" spans="1:10" x14ac:dyDescent="0.2">
      <c r="A65" s="163">
        <v>21657</v>
      </c>
      <c r="B65" s="163" t="s">
        <v>1954</v>
      </c>
      <c r="C65" s="163" t="s">
        <v>1955</v>
      </c>
      <c r="D65" s="164">
        <v>45117</v>
      </c>
      <c r="E65" s="164">
        <v>45382</v>
      </c>
      <c r="F65" s="163" t="s">
        <v>1881</v>
      </c>
      <c r="G65" s="163" t="s">
        <v>1882</v>
      </c>
      <c r="H65" s="165">
        <v>0</v>
      </c>
      <c r="I65" s="164">
        <v>46066</v>
      </c>
      <c r="J65" s="163" t="s">
        <v>1960</v>
      </c>
    </row>
    <row r="66" spans="1:10" x14ac:dyDescent="0.2">
      <c r="A66" s="163">
        <v>21656</v>
      </c>
      <c r="B66" s="163" t="s">
        <v>1887</v>
      </c>
      <c r="C66" s="163" t="s">
        <v>1961</v>
      </c>
      <c r="D66" s="164">
        <v>45658</v>
      </c>
      <c r="E66" s="164">
        <v>45659</v>
      </c>
      <c r="F66" s="163" t="s">
        <v>1881</v>
      </c>
      <c r="G66" s="163" t="s">
        <v>1882</v>
      </c>
      <c r="H66" s="165">
        <v>0</v>
      </c>
      <c r="I66" s="164">
        <v>46066</v>
      </c>
      <c r="J66" s="163" t="s">
        <v>1962</v>
      </c>
    </row>
    <row r="67" spans="1:10" x14ac:dyDescent="0.2">
      <c r="A67" s="163">
        <v>21655</v>
      </c>
      <c r="B67" s="163" t="s">
        <v>1963</v>
      </c>
      <c r="C67" s="163" t="s">
        <v>1964</v>
      </c>
      <c r="D67" s="164">
        <v>45684</v>
      </c>
      <c r="E67" s="164">
        <v>46235</v>
      </c>
      <c r="F67" s="163" t="s">
        <v>1881</v>
      </c>
      <c r="G67" s="163" t="s">
        <v>1882</v>
      </c>
      <c r="H67" s="165">
        <v>95731.59</v>
      </c>
      <c r="I67" s="164">
        <v>46066</v>
      </c>
      <c r="J67" s="163" t="s">
        <v>776</v>
      </c>
    </row>
    <row r="68" spans="1:10" x14ac:dyDescent="0.2">
      <c r="A68" s="163">
        <v>21654</v>
      </c>
      <c r="B68" s="163" t="s">
        <v>1963</v>
      </c>
      <c r="C68" s="163" t="s">
        <v>1964</v>
      </c>
      <c r="D68" s="164">
        <v>45684</v>
      </c>
      <c r="E68" s="164">
        <v>46235</v>
      </c>
      <c r="F68" s="163" t="s">
        <v>1881</v>
      </c>
      <c r="G68" s="163" t="s">
        <v>1882</v>
      </c>
      <c r="H68" s="165">
        <v>95730.59</v>
      </c>
      <c r="I68" s="164">
        <v>46066</v>
      </c>
      <c r="J68" s="163" t="s">
        <v>543</v>
      </c>
    </row>
    <row r="69" spans="1:10" x14ac:dyDescent="0.2">
      <c r="A69" s="163">
        <v>21653</v>
      </c>
      <c r="B69" s="163" t="s">
        <v>1965</v>
      </c>
      <c r="C69" s="163" t="s">
        <v>1966</v>
      </c>
      <c r="D69" s="164">
        <v>45544</v>
      </c>
      <c r="E69" s="164">
        <v>46173</v>
      </c>
      <c r="F69" s="163" t="s">
        <v>1881</v>
      </c>
      <c r="G69" s="163" t="s">
        <v>1882</v>
      </c>
      <c r="H69" s="165">
        <v>0</v>
      </c>
      <c r="I69" s="164">
        <v>46066</v>
      </c>
      <c r="J69" s="163" t="s">
        <v>1967</v>
      </c>
    </row>
    <row r="70" spans="1:10" x14ac:dyDescent="0.2">
      <c r="A70" s="163">
        <v>21652</v>
      </c>
      <c r="B70" s="163" t="s">
        <v>1889</v>
      </c>
      <c r="C70" s="163" t="s">
        <v>1968</v>
      </c>
      <c r="D70" s="164">
        <v>42302</v>
      </c>
      <c r="E70" s="164">
        <v>46320</v>
      </c>
      <c r="F70" s="163" t="s">
        <v>1881</v>
      </c>
      <c r="G70" s="163" t="s">
        <v>1882</v>
      </c>
      <c r="H70" s="165">
        <v>0</v>
      </c>
      <c r="I70" s="164">
        <v>46066</v>
      </c>
      <c r="J70" s="163" t="s">
        <v>1969</v>
      </c>
    </row>
    <row r="71" spans="1:10" x14ac:dyDescent="0.2">
      <c r="A71" s="163">
        <v>21651</v>
      </c>
      <c r="B71" s="163" t="s">
        <v>1901</v>
      </c>
      <c r="C71" s="163" t="s">
        <v>1970</v>
      </c>
      <c r="D71" s="164">
        <v>44835</v>
      </c>
      <c r="E71" s="164">
        <v>46022</v>
      </c>
      <c r="F71" s="163" t="s">
        <v>1881</v>
      </c>
      <c r="G71" s="163" t="s">
        <v>1882</v>
      </c>
      <c r="H71" s="165">
        <v>1128404.57</v>
      </c>
      <c r="I71" s="164">
        <v>46066</v>
      </c>
      <c r="J71" s="163" t="s">
        <v>1971</v>
      </c>
    </row>
    <row r="72" spans="1:10" x14ac:dyDescent="0.2">
      <c r="A72" s="163">
        <v>21650</v>
      </c>
      <c r="B72" s="163" t="s">
        <v>1972</v>
      </c>
      <c r="C72" s="163" t="s">
        <v>1973</v>
      </c>
      <c r="D72" s="164">
        <v>45960</v>
      </c>
      <c r="E72" s="164">
        <v>46387</v>
      </c>
      <c r="F72" s="163" t="s">
        <v>1881</v>
      </c>
      <c r="G72" s="163" t="s">
        <v>1882</v>
      </c>
      <c r="H72" s="165">
        <v>0</v>
      </c>
      <c r="I72" s="164">
        <v>46066</v>
      </c>
      <c r="J72" s="163" t="s">
        <v>1974</v>
      </c>
    </row>
    <row r="73" spans="1:10" x14ac:dyDescent="0.2">
      <c r="A73" s="163">
        <v>21649</v>
      </c>
      <c r="B73" s="163" t="s">
        <v>1975</v>
      </c>
      <c r="C73" s="163" t="s">
        <v>1976</v>
      </c>
      <c r="D73" s="164">
        <v>45090</v>
      </c>
      <c r="E73" s="164">
        <v>45820</v>
      </c>
      <c r="F73" s="163" t="s">
        <v>1881</v>
      </c>
      <c r="G73" s="163" t="s">
        <v>1882</v>
      </c>
      <c r="H73" s="165">
        <v>0</v>
      </c>
      <c r="I73" s="164">
        <v>46066</v>
      </c>
      <c r="J73" s="163" t="s">
        <v>1977</v>
      </c>
    </row>
    <row r="74" spans="1:10" x14ac:dyDescent="0.2">
      <c r="A74" s="163">
        <v>21648</v>
      </c>
      <c r="B74" s="163" t="s">
        <v>1887</v>
      </c>
      <c r="C74" s="163" t="s">
        <v>1978</v>
      </c>
      <c r="D74" s="164">
        <v>44995</v>
      </c>
      <c r="E74" s="164">
        <v>46090</v>
      </c>
      <c r="F74" s="163" t="s">
        <v>1881</v>
      </c>
      <c r="G74" s="163" t="s">
        <v>1882</v>
      </c>
      <c r="H74" s="165">
        <v>21466.77</v>
      </c>
      <c r="I74" s="164">
        <v>46066</v>
      </c>
      <c r="J74" s="163" t="s">
        <v>851</v>
      </c>
    </row>
    <row r="75" spans="1:10" x14ac:dyDescent="0.2">
      <c r="A75" s="163">
        <v>21647</v>
      </c>
      <c r="B75" s="163" t="s">
        <v>1886</v>
      </c>
      <c r="C75" s="163" t="s">
        <v>1979</v>
      </c>
      <c r="D75" s="164">
        <v>45257</v>
      </c>
      <c r="E75" s="164">
        <v>46349</v>
      </c>
      <c r="F75" s="163" t="s">
        <v>1881</v>
      </c>
      <c r="G75" s="163" t="s">
        <v>1882</v>
      </c>
      <c r="H75" s="165">
        <v>0</v>
      </c>
      <c r="I75" s="164">
        <v>46066</v>
      </c>
      <c r="J75" s="163" t="s">
        <v>1980</v>
      </c>
    </row>
    <row r="76" spans="1:10" x14ac:dyDescent="0.2">
      <c r="A76" s="163">
        <v>21646</v>
      </c>
      <c r="B76" s="163" t="s">
        <v>1886</v>
      </c>
      <c r="C76" s="163" t="s">
        <v>1979</v>
      </c>
      <c r="D76" s="164">
        <v>45257</v>
      </c>
      <c r="E76" s="164">
        <v>46349</v>
      </c>
      <c r="F76" s="163" t="s">
        <v>1881</v>
      </c>
      <c r="G76" s="163" t="s">
        <v>1882</v>
      </c>
      <c r="H76" s="165">
        <v>0</v>
      </c>
      <c r="I76" s="164">
        <v>46066</v>
      </c>
      <c r="J76" s="163" t="s">
        <v>1981</v>
      </c>
    </row>
    <row r="77" spans="1:10" x14ac:dyDescent="0.2">
      <c r="A77" s="163">
        <v>21645</v>
      </c>
      <c r="B77" s="163" t="s">
        <v>1886</v>
      </c>
      <c r="C77" s="163" t="s">
        <v>1979</v>
      </c>
      <c r="D77" s="164">
        <v>45257</v>
      </c>
      <c r="E77" s="164">
        <v>46349</v>
      </c>
      <c r="F77" s="163" t="s">
        <v>1881</v>
      </c>
      <c r="G77" s="163" t="s">
        <v>1882</v>
      </c>
      <c r="H77" s="165">
        <v>0</v>
      </c>
      <c r="I77" s="164">
        <v>46066</v>
      </c>
      <c r="J77" s="163" t="s">
        <v>1982</v>
      </c>
    </row>
    <row r="78" spans="1:10" x14ac:dyDescent="0.2">
      <c r="A78" s="163">
        <v>21644</v>
      </c>
      <c r="B78" s="163" t="s">
        <v>1886</v>
      </c>
      <c r="C78" s="163" t="s">
        <v>1979</v>
      </c>
      <c r="D78" s="164">
        <v>45257</v>
      </c>
      <c r="E78" s="164">
        <v>46349</v>
      </c>
      <c r="F78" s="163" t="s">
        <v>1881</v>
      </c>
      <c r="G78" s="163" t="s">
        <v>1882</v>
      </c>
      <c r="H78" s="165">
        <v>0</v>
      </c>
      <c r="I78" s="164">
        <v>46066</v>
      </c>
      <c r="J78" s="163" t="s">
        <v>1983</v>
      </c>
    </row>
    <row r="79" spans="1:10" x14ac:dyDescent="0.2">
      <c r="A79" s="163">
        <v>21643</v>
      </c>
      <c r="B79" s="163" t="s">
        <v>1887</v>
      </c>
      <c r="C79" s="163" t="s">
        <v>1978</v>
      </c>
      <c r="D79" s="164">
        <v>44995</v>
      </c>
      <c r="E79" s="164">
        <v>46090</v>
      </c>
      <c r="F79" s="163" t="s">
        <v>1881</v>
      </c>
      <c r="G79" s="163" t="s">
        <v>1882</v>
      </c>
      <c r="H79" s="165">
        <v>608419.78</v>
      </c>
      <c r="I79" s="164">
        <v>46066</v>
      </c>
      <c r="J79" s="163" t="s">
        <v>547</v>
      </c>
    </row>
    <row r="80" spans="1:10" x14ac:dyDescent="0.2">
      <c r="A80" s="163">
        <v>21642</v>
      </c>
      <c r="B80" s="163" t="s">
        <v>1901</v>
      </c>
      <c r="C80" s="163" t="s">
        <v>1108</v>
      </c>
      <c r="D80" s="164">
        <v>45658</v>
      </c>
      <c r="E80" s="164">
        <v>45659</v>
      </c>
      <c r="F80" s="163" t="s">
        <v>1881</v>
      </c>
      <c r="G80" s="163" t="s">
        <v>1882</v>
      </c>
      <c r="H80" s="165">
        <v>1139283.53</v>
      </c>
      <c r="I80" s="164">
        <v>46066</v>
      </c>
      <c r="J80" s="163" t="s">
        <v>1109</v>
      </c>
    </row>
    <row r="81" spans="1:10" x14ac:dyDescent="0.2">
      <c r="A81" s="163">
        <v>21641</v>
      </c>
      <c r="B81" s="163" t="s">
        <v>1901</v>
      </c>
      <c r="C81" s="163" t="s">
        <v>1937</v>
      </c>
      <c r="D81" s="164">
        <v>45658</v>
      </c>
      <c r="E81" s="164">
        <v>46753</v>
      </c>
      <c r="F81" s="163" t="s">
        <v>1881</v>
      </c>
      <c r="G81" s="163" t="s">
        <v>1882</v>
      </c>
      <c r="H81" s="165">
        <v>752536.66</v>
      </c>
      <c r="I81" s="164">
        <v>46066</v>
      </c>
      <c r="J81" s="163" t="s">
        <v>675</v>
      </c>
    </row>
    <row r="82" spans="1:10" x14ac:dyDescent="0.2">
      <c r="A82" s="163">
        <v>21640</v>
      </c>
      <c r="B82" s="163" t="s">
        <v>1901</v>
      </c>
      <c r="C82" s="163" t="s">
        <v>1937</v>
      </c>
      <c r="D82" s="164">
        <v>45658</v>
      </c>
      <c r="E82" s="164">
        <v>46753</v>
      </c>
      <c r="F82" s="163" t="s">
        <v>1881</v>
      </c>
      <c r="G82" s="163" t="s">
        <v>1882</v>
      </c>
      <c r="H82" s="165">
        <v>733083.43</v>
      </c>
      <c r="I82" s="164">
        <v>46066</v>
      </c>
      <c r="J82" s="163" t="s">
        <v>1984</v>
      </c>
    </row>
    <row r="83" spans="1:10" x14ac:dyDescent="0.2">
      <c r="A83" s="163">
        <v>21639</v>
      </c>
      <c r="B83" s="163" t="s">
        <v>1879</v>
      </c>
      <c r="C83" s="163" t="s">
        <v>1985</v>
      </c>
      <c r="D83" s="164">
        <v>43891</v>
      </c>
      <c r="E83" s="164">
        <v>46660</v>
      </c>
      <c r="F83" s="163" t="s">
        <v>1881</v>
      </c>
      <c r="G83" s="163" t="s">
        <v>1882</v>
      </c>
      <c r="H83" s="165">
        <v>0</v>
      </c>
      <c r="I83" s="164">
        <v>46066</v>
      </c>
      <c r="J83" s="163" t="s">
        <v>1986</v>
      </c>
    </row>
    <row r="84" spans="1:10" x14ac:dyDescent="0.2">
      <c r="A84" s="163">
        <v>21638</v>
      </c>
      <c r="B84" s="163" t="s">
        <v>1987</v>
      </c>
      <c r="C84" s="163" t="s">
        <v>1988</v>
      </c>
      <c r="D84" s="164">
        <v>44736</v>
      </c>
      <c r="E84" s="164">
        <v>46387</v>
      </c>
      <c r="F84" s="163" t="s">
        <v>1881</v>
      </c>
      <c r="G84" s="163" t="s">
        <v>1882</v>
      </c>
      <c r="H84" s="165">
        <v>0</v>
      </c>
      <c r="I84" s="164">
        <v>46066</v>
      </c>
      <c r="J84" s="163" t="s">
        <v>1989</v>
      </c>
    </row>
    <row r="85" spans="1:10" x14ac:dyDescent="0.2">
      <c r="A85" s="163">
        <v>21637</v>
      </c>
      <c r="B85" s="163" t="s">
        <v>1987</v>
      </c>
      <c r="C85" s="163" t="s">
        <v>1988</v>
      </c>
      <c r="D85" s="164">
        <v>44736</v>
      </c>
      <c r="E85" s="164">
        <v>46387</v>
      </c>
      <c r="F85" s="163" t="s">
        <v>1881</v>
      </c>
      <c r="G85" s="163" t="s">
        <v>1882</v>
      </c>
      <c r="H85" s="165">
        <v>0</v>
      </c>
      <c r="I85" s="164">
        <v>46066</v>
      </c>
      <c r="J85" s="163" t="s">
        <v>1990</v>
      </c>
    </row>
    <row r="86" spans="1:10" x14ac:dyDescent="0.2">
      <c r="A86" s="163">
        <v>21636</v>
      </c>
      <c r="B86" s="163" t="s">
        <v>1991</v>
      </c>
      <c r="C86" s="163" t="s">
        <v>1992</v>
      </c>
      <c r="D86" s="164">
        <v>45722</v>
      </c>
      <c r="E86" s="164">
        <v>45777</v>
      </c>
      <c r="F86" s="163" t="s">
        <v>1881</v>
      </c>
      <c r="G86" s="163" t="s">
        <v>1882</v>
      </c>
      <c r="H86" s="165">
        <v>0</v>
      </c>
      <c r="I86" s="164">
        <v>46066</v>
      </c>
      <c r="J86" s="163" t="s">
        <v>1993</v>
      </c>
    </row>
    <row r="87" spans="1:10" x14ac:dyDescent="0.2">
      <c r="A87" s="163">
        <v>21635</v>
      </c>
      <c r="B87" s="163" t="s">
        <v>1930</v>
      </c>
      <c r="C87" s="163" t="s">
        <v>1931</v>
      </c>
      <c r="D87" s="164">
        <v>44816</v>
      </c>
      <c r="E87" s="164">
        <v>46354</v>
      </c>
      <c r="F87" s="163" t="s">
        <v>1881</v>
      </c>
      <c r="G87" s="163" t="s">
        <v>1882</v>
      </c>
      <c r="H87" s="165">
        <v>4815.0600000000004</v>
      </c>
      <c r="I87" s="164">
        <v>46066</v>
      </c>
      <c r="J87" s="163" t="s">
        <v>1994</v>
      </c>
    </row>
    <row r="88" spans="1:10" x14ac:dyDescent="0.2">
      <c r="A88" s="163">
        <v>21634</v>
      </c>
      <c r="B88" s="163" t="s">
        <v>1889</v>
      </c>
      <c r="C88" s="163" t="s">
        <v>1968</v>
      </c>
      <c r="D88" s="164">
        <v>42302</v>
      </c>
      <c r="E88" s="164">
        <v>46320</v>
      </c>
      <c r="F88" s="163" t="s">
        <v>1881</v>
      </c>
      <c r="G88" s="163" t="s">
        <v>1882</v>
      </c>
      <c r="H88" s="165">
        <v>0</v>
      </c>
      <c r="I88" s="164">
        <v>46066</v>
      </c>
      <c r="J88" s="163" t="s">
        <v>1995</v>
      </c>
    </row>
    <row r="89" spans="1:10" x14ac:dyDescent="0.2">
      <c r="A89" s="163">
        <v>21633</v>
      </c>
      <c r="B89" s="163" t="s">
        <v>1895</v>
      </c>
      <c r="C89" s="163" t="s">
        <v>1996</v>
      </c>
      <c r="D89" s="164">
        <v>42339</v>
      </c>
      <c r="E89" s="164">
        <v>45504</v>
      </c>
      <c r="F89" s="163" t="s">
        <v>1881</v>
      </c>
      <c r="G89" s="163" t="s">
        <v>1882</v>
      </c>
      <c r="H89" s="165">
        <v>0</v>
      </c>
      <c r="I89" s="164">
        <v>46066</v>
      </c>
      <c r="J89" s="163" t="s">
        <v>1997</v>
      </c>
    </row>
    <row r="90" spans="1:10" x14ac:dyDescent="0.2">
      <c r="A90" s="163">
        <v>21632</v>
      </c>
      <c r="B90" s="163" t="s">
        <v>1889</v>
      </c>
      <c r="C90" s="163" t="s">
        <v>1968</v>
      </c>
      <c r="D90" s="164">
        <v>42302</v>
      </c>
      <c r="E90" s="164">
        <v>46320</v>
      </c>
      <c r="F90" s="163" t="s">
        <v>1881</v>
      </c>
      <c r="G90" s="163" t="s">
        <v>1882</v>
      </c>
      <c r="H90" s="165">
        <v>0</v>
      </c>
      <c r="I90" s="164">
        <v>46066</v>
      </c>
      <c r="J90" s="163" t="s">
        <v>1998</v>
      </c>
    </row>
    <row r="91" spans="1:10" x14ac:dyDescent="0.2">
      <c r="A91" s="163">
        <v>21631</v>
      </c>
      <c r="B91" s="163" t="s">
        <v>1895</v>
      </c>
      <c r="C91" s="163" t="s">
        <v>505</v>
      </c>
      <c r="D91" s="164">
        <v>45658</v>
      </c>
      <c r="E91" s="164">
        <v>45659</v>
      </c>
      <c r="F91" s="163" t="s">
        <v>1881</v>
      </c>
      <c r="G91" s="163" t="s">
        <v>1882</v>
      </c>
      <c r="H91" s="165">
        <v>0</v>
      </c>
      <c r="I91" s="164">
        <v>46066</v>
      </c>
      <c r="J91" s="163" t="s">
        <v>1999</v>
      </c>
    </row>
    <row r="92" spans="1:10" x14ac:dyDescent="0.2">
      <c r="A92" s="163">
        <v>21630</v>
      </c>
      <c r="B92" s="163" t="s">
        <v>1905</v>
      </c>
      <c r="C92" s="163" t="s">
        <v>1906</v>
      </c>
      <c r="D92" s="164">
        <v>43944</v>
      </c>
      <c r="E92" s="164">
        <v>46568</v>
      </c>
      <c r="F92" s="163" t="s">
        <v>1881</v>
      </c>
      <c r="G92" s="163" t="s">
        <v>1882</v>
      </c>
      <c r="H92" s="165">
        <v>6492.66</v>
      </c>
      <c r="I92" s="164">
        <v>46066</v>
      </c>
      <c r="J92" s="163" t="s">
        <v>540</v>
      </c>
    </row>
    <row r="93" spans="1:10" x14ac:dyDescent="0.2">
      <c r="A93" s="163">
        <v>21629</v>
      </c>
      <c r="B93" s="163" t="s">
        <v>1895</v>
      </c>
      <c r="C93" s="163" t="s">
        <v>1996</v>
      </c>
      <c r="D93" s="164">
        <v>42339</v>
      </c>
      <c r="E93" s="164">
        <v>45504</v>
      </c>
      <c r="F93" s="163" t="s">
        <v>1881</v>
      </c>
      <c r="G93" s="163" t="s">
        <v>1882</v>
      </c>
      <c r="H93" s="165">
        <v>0</v>
      </c>
      <c r="I93" s="164">
        <v>46066</v>
      </c>
      <c r="J93" s="163" t="s">
        <v>2000</v>
      </c>
    </row>
    <row r="94" spans="1:10" x14ac:dyDescent="0.2">
      <c r="A94" s="163">
        <v>21628</v>
      </c>
      <c r="B94" s="163" t="s">
        <v>1930</v>
      </c>
      <c r="C94" s="163" t="s">
        <v>1931</v>
      </c>
      <c r="D94" s="164">
        <v>44816</v>
      </c>
      <c r="E94" s="164">
        <v>46354</v>
      </c>
      <c r="F94" s="163" t="s">
        <v>1881</v>
      </c>
      <c r="G94" s="163" t="s">
        <v>1882</v>
      </c>
      <c r="H94" s="165">
        <v>21454.75</v>
      </c>
      <c r="I94" s="164">
        <v>46066</v>
      </c>
      <c r="J94" s="163" t="s">
        <v>880</v>
      </c>
    </row>
    <row r="95" spans="1:10" x14ac:dyDescent="0.2">
      <c r="A95" s="163">
        <v>21627</v>
      </c>
      <c r="B95" s="163" t="s">
        <v>2001</v>
      </c>
      <c r="C95" s="163" t="s">
        <v>468</v>
      </c>
      <c r="D95" s="164">
        <v>45658</v>
      </c>
      <c r="E95" s="164">
        <v>45659</v>
      </c>
      <c r="F95" s="163" t="s">
        <v>1881</v>
      </c>
      <c r="G95" s="163" t="s">
        <v>1882</v>
      </c>
      <c r="H95" s="165">
        <v>0</v>
      </c>
      <c r="I95" s="164">
        <v>46066</v>
      </c>
      <c r="J95" s="163" t="s">
        <v>2002</v>
      </c>
    </row>
    <row r="96" spans="1:10" x14ac:dyDescent="0.2">
      <c r="A96" s="163">
        <v>21626</v>
      </c>
      <c r="B96" s="163" t="s">
        <v>1887</v>
      </c>
      <c r="C96" s="163" t="s">
        <v>473</v>
      </c>
      <c r="D96" s="164">
        <v>45658</v>
      </c>
      <c r="E96" s="164">
        <v>45659</v>
      </c>
      <c r="F96" s="163" t="s">
        <v>1881</v>
      </c>
      <c r="G96" s="163" t="s">
        <v>1882</v>
      </c>
      <c r="H96" s="165">
        <v>0</v>
      </c>
      <c r="I96" s="164">
        <v>46066</v>
      </c>
      <c r="J96" s="163" t="s">
        <v>2003</v>
      </c>
    </row>
    <row r="97" spans="1:10" x14ac:dyDescent="0.2">
      <c r="A97" s="163">
        <v>21625</v>
      </c>
      <c r="B97" s="163" t="s">
        <v>1910</v>
      </c>
      <c r="C97" s="163" t="s">
        <v>494</v>
      </c>
      <c r="D97" s="164">
        <v>45658</v>
      </c>
      <c r="E97" s="164">
        <v>45659</v>
      </c>
      <c r="F97" s="163" t="s">
        <v>1881</v>
      </c>
      <c r="G97" s="163" t="s">
        <v>1882</v>
      </c>
      <c r="H97" s="165">
        <v>0</v>
      </c>
      <c r="I97" s="164">
        <v>46066</v>
      </c>
      <c r="J97" s="163" t="s">
        <v>2004</v>
      </c>
    </row>
    <row r="98" spans="1:10" x14ac:dyDescent="0.2">
      <c r="A98" s="163">
        <v>21624</v>
      </c>
      <c r="B98" s="163" t="s">
        <v>1893</v>
      </c>
      <c r="C98" s="163" t="s">
        <v>466</v>
      </c>
      <c r="D98" s="164">
        <v>45658</v>
      </c>
      <c r="E98" s="164">
        <v>45659</v>
      </c>
      <c r="F98" s="163" t="s">
        <v>1881</v>
      </c>
      <c r="G98" s="163" t="s">
        <v>1882</v>
      </c>
      <c r="H98" s="165">
        <v>29568.73</v>
      </c>
      <c r="I98" s="164">
        <v>46066</v>
      </c>
      <c r="J98" s="163" t="s">
        <v>827</v>
      </c>
    </row>
    <row r="99" spans="1:10" x14ac:dyDescent="0.2">
      <c r="A99" s="163">
        <v>21623</v>
      </c>
      <c r="B99" s="163" t="s">
        <v>1895</v>
      </c>
      <c r="C99" s="163" t="s">
        <v>741</v>
      </c>
      <c r="D99" s="164">
        <v>45658</v>
      </c>
      <c r="E99" s="164">
        <v>45659</v>
      </c>
      <c r="F99" s="163" t="s">
        <v>1881</v>
      </c>
      <c r="G99" s="163" t="s">
        <v>1882</v>
      </c>
      <c r="H99" s="165">
        <v>45713.78</v>
      </c>
      <c r="I99" s="164">
        <v>46066</v>
      </c>
      <c r="J99" s="163" t="s">
        <v>775</v>
      </c>
    </row>
    <row r="100" spans="1:10" x14ac:dyDescent="0.2">
      <c r="A100" s="163">
        <v>21622</v>
      </c>
      <c r="B100" s="163" t="s">
        <v>1893</v>
      </c>
      <c r="C100" s="163" t="s">
        <v>858</v>
      </c>
      <c r="D100" s="164">
        <v>45658</v>
      </c>
      <c r="E100" s="164">
        <v>45659</v>
      </c>
      <c r="F100" s="163" t="s">
        <v>1881</v>
      </c>
      <c r="G100" s="163" t="s">
        <v>1882</v>
      </c>
      <c r="H100" s="165">
        <v>30562.720000000001</v>
      </c>
      <c r="I100" s="164">
        <v>46066</v>
      </c>
      <c r="J100" s="163" t="s">
        <v>859</v>
      </c>
    </row>
    <row r="101" spans="1:10" x14ac:dyDescent="0.2">
      <c r="A101" s="163">
        <v>21621</v>
      </c>
      <c r="B101" s="163" t="s">
        <v>1895</v>
      </c>
      <c r="C101" s="163" t="s">
        <v>455</v>
      </c>
      <c r="D101" s="164">
        <v>45658</v>
      </c>
      <c r="E101" s="164">
        <v>45659</v>
      </c>
      <c r="F101" s="163" t="s">
        <v>1881</v>
      </c>
      <c r="G101" s="163" t="s">
        <v>1882</v>
      </c>
      <c r="H101" s="165">
        <v>293516.65999999997</v>
      </c>
      <c r="I101" s="164">
        <v>46066</v>
      </c>
      <c r="J101" s="163" t="s">
        <v>606</v>
      </c>
    </row>
    <row r="102" spans="1:10" x14ac:dyDescent="0.2">
      <c r="A102" s="163">
        <v>21620</v>
      </c>
      <c r="B102" s="163" t="s">
        <v>1893</v>
      </c>
      <c r="C102" s="163" t="s">
        <v>467</v>
      </c>
      <c r="D102" s="164">
        <v>45658</v>
      </c>
      <c r="E102" s="164">
        <v>45659</v>
      </c>
      <c r="F102" s="163" t="s">
        <v>1881</v>
      </c>
      <c r="G102" s="163" t="s">
        <v>1882</v>
      </c>
      <c r="H102" s="165">
        <v>30562.720000000001</v>
      </c>
      <c r="I102" s="164">
        <v>46066</v>
      </c>
      <c r="J102" s="163" t="s">
        <v>679</v>
      </c>
    </row>
    <row r="103" spans="1:10" x14ac:dyDescent="0.2">
      <c r="A103" s="163">
        <v>21619</v>
      </c>
      <c r="B103" s="163" t="s">
        <v>1905</v>
      </c>
      <c r="C103" s="163" t="s">
        <v>1906</v>
      </c>
      <c r="D103" s="164">
        <v>43944</v>
      </c>
      <c r="E103" s="164">
        <v>46568</v>
      </c>
      <c r="F103" s="163" t="s">
        <v>1881</v>
      </c>
      <c r="G103" s="163" t="s">
        <v>1882</v>
      </c>
      <c r="H103" s="165">
        <v>6158.77</v>
      </c>
      <c r="I103" s="164">
        <v>46066</v>
      </c>
      <c r="J103" s="163" t="s">
        <v>1098</v>
      </c>
    </row>
    <row r="104" spans="1:10" x14ac:dyDescent="0.2">
      <c r="A104" s="163">
        <v>21618</v>
      </c>
      <c r="B104" s="163" t="s">
        <v>1905</v>
      </c>
      <c r="C104" s="163" t="s">
        <v>1906</v>
      </c>
      <c r="D104" s="164">
        <v>43944</v>
      </c>
      <c r="E104" s="164">
        <v>46568</v>
      </c>
      <c r="F104" s="163" t="s">
        <v>1881</v>
      </c>
      <c r="G104" s="163" t="s">
        <v>1882</v>
      </c>
      <c r="H104" s="165">
        <v>7319.77</v>
      </c>
      <c r="I104" s="164">
        <v>46066</v>
      </c>
      <c r="J104" s="163" t="s">
        <v>842</v>
      </c>
    </row>
    <row r="105" spans="1:10" x14ac:dyDescent="0.2">
      <c r="A105" s="163">
        <v>21617</v>
      </c>
      <c r="B105" s="163" t="s">
        <v>1888</v>
      </c>
      <c r="C105" s="163" t="s">
        <v>2005</v>
      </c>
      <c r="D105" s="164">
        <v>42668</v>
      </c>
      <c r="E105" s="164">
        <v>45596</v>
      </c>
      <c r="F105" s="163" t="s">
        <v>1881</v>
      </c>
      <c r="G105" s="163" t="s">
        <v>1882</v>
      </c>
      <c r="H105" s="165">
        <v>0</v>
      </c>
      <c r="I105" s="164">
        <v>46066</v>
      </c>
      <c r="J105" s="163" t="s">
        <v>2006</v>
      </c>
    </row>
    <row r="106" spans="1:10" x14ac:dyDescent="0.2">
      <c r="A106" s="163">
        <v>21616</v>
      </c>
      <c r="B106" s="163" t="s">
        <v>2007</v>
      </c>
      <c r="C106" s="163" t="s">
        <v>2008</v>
      </c>
      <c r="D106" s="164">
        <v>42461</v>
      </c>
      <c r="E106" s="164">
        <v>46087</v>
      </c>
      <c r="F106" s="163" t="s">
        <v>1881</v>
      </c>
      <c r="G106" s="163" t="s">
        <v>1882</v>
      </c>
      <c r="H106" s="165">
        <v>0</v>
      </c>
      <c r="I106" s="164">
        <v>46066</v>
      </c>
      <c r="J106" s="163" t="s">
        <v>2009</v>
      </c>
    </row>
    <row r="107" spans="1:10" x14ac:dyDescent="0.2">
      <c r="A107" s="163">
        <v>21615</v>
      </c>
      <c r="B107" s="163" t="s">
        <v>2010</v>
      </c>
      <c r="C107" s="163" t="s">
        <v>2011</v>
      </c>
      <c r="D107" s="164">
        <v>45658</v>
      </c>
      <c r="E107" s="164">
        <v>45659</v>
      </c>
      <c r="F107" s="163" t="s">
        <v>1881</v>
      </c>
      <c r="G107" s="163" t="s">
        <v>1882</v>
      </c>
      <c r="H107" s="165">
        <v>0</v>
      </c>
      <c r="I107" s="164">
        <v>46066</v>
      </c>
      <c r="J107" s="163" t="s">
        <v>2012</v>
      </c>
    </row>
    <row r="108" spans="1:10" x14ac:dyDescent="0.2">
      <c r="A108" s="163">
        <v>21614</v>
      </c>
      <c r="B108" s="163" t="s">
        <v>1893</v>
      </c>
      <c r="C108" s="163" t="s">
        <v>641</v>
      </c>
      <c r="D108" s="164">
        <v>45658</v>
      </c>
      <c r="E108" s="164">
        <v>45659</v>
      </c>
      <c r="F108" s="163" t="s">
        <v>1881</v>
      </c>
      <c r="G108" s="163" t="s">
        <v>1882</v>
      </c>
      <c r="H108" s="165">
        <v>30529.58</v>
      </c>
      <c r="I108" s="164">
        <v>46066</v>
      </c>
      <c r="J108" s="163" t="s">
        <v>673</v>
      </c>
    </row>
    <row r="109" spans="1:10" x14ac:dyDescent="0.2">
      <c r="A109" s="163">
        <v>21613</v>
      </c>
      <c r="B109" s="163" t="s">
        <v>2010</v>
      </c>
      <c r="C109" s="163" t="s">
        <v>2013</v>
      </c>
      <c r="D109" s="164">
        <v>44690</v>
      </c>
      <c r="E109" s="164">
        <v>45260</v>
      </c>
      <c r="F109" s="163" t="s">
        <v>1881</v>
      </c>
      <c r="G109" s="163" t="s">
        <v>1882</v>
      </c>
      <c r="H109" s="165">
        <v>0</v>
      </c>
      <c r="I109" s="164">
        <v>46066</v>
      </c>
      <c r="J109" s="163" t="s">
        <v>2014</v>
      </c>
    </row>
    <row r="110" spans="1:10" x14ac:dyDescent="0.2">
      <c r="A110" s="163">
        <v>21612</v>
      </c>
      <c r="B110" s="163" t="s">
        <v>1905</v>
      </c>
      <c r="C110" s="163" t="s">
        <v>1906</v>
      </c>
      <c r="D110" s="164">
        <v>43944</v>
      </c>
      <c r="E110" s="164">
        <v>46568</v>
      </c>
      <c r="F110" s="163" t="s">
        <v>1881</v>
      </c>
      <c r="G110" s="163" t="s">
        <v>1882</v>
      </c>
      <c r="H110" s="165">
        <v>6950.07</v>
      </c>
      <c r="I110" s="164">
        <v>46066</v>
      </c>
      <c r="J110" s="163" t="s">
        <v>896</v>
      </c>
    </row>
    <row r="111" spans="1:10" x14ac:dyDescent="0.2">
      <c r="A111" s="163">
        <v>21611</v>
      </c>
      <c r="B111" s="163" t="s">
        <v>2015</v>
      </c>
      <c r="C111" s="163" t="s">
        <v>2016</v>
      </c>
      <c r="D111" s="164">
        <v>45658</v>
      </c>
      <c r="E111" s="164">
        <v>45659</v>
      </c>
      <c r="F111" s="163" t="s">
        <v>1881</v>
      </c>
      <c r="G111" s="163" t="s">
        <v>1882</v>
      </c>
      <c r="H111" s="165">
        <v>0</v>
      </c>
      <c r="I111" s="164">
        <v>46066</v>
      </c>
      <c r="J111" s="163" t="s">
        <v>2017</v>
      </c>
    </row>
    <row r="112" spans="1:10" x14ac:dyDescent="0.2">
      <c r="A112" s="163">
        <v>21610</v>
      </c>
      <c r="B112" s="163" t="s">
        <v>1905</v>
      </c>
      <c r="C112" s="163" t="s">
        <v>1906</v>
      </c>
      <c r="D112" s="164">
        <v>43944</v>
      </c>
      <c r="E112" s="164">
        <v>46568</v>
      </c>
      <c r="F112" s="163" t="s">
        <v>1881</v>
      </c>
      <c r="G112" s="163" t="s">
        <v>1882</v>
      </c>
      <c r="H112" s="165">
        <v>0</v>
      </c>
      <c r="I112" s="164">
        <v>46066</v>
      </c>
      <c r="J112" s="163" t="s">
        <v>2018</v>
      </c>
    </row>
    <row r="113" spans="1:10" x14ac:dyDescent="0.2">
      <c r="A113" s="163">
        <v>21609</v>
      </c>
      <c r="B113" s="163" t="s">
        <v>1891</v>
      </c>
      <c r="C113" s="163" t="s">
        <v>2019</v>
      </c>
      <c r="D113" s="164">
        <v>44204</v>
      </c>
      <c r="E113" s="164">
        <v>44869</v>
      </c>
      <c r="F113" s="163" t="s">
        <v>1881</v>
      </c>
      <c r="G113" s="163" t="s">
        <v>1882</v>
      </c>
      <c r="H113" s="165">
        <v>0</v>
      </c>
      <c r="I113" s="164">
        <v>46066</v>
      </c>
      <c r="J113" s="163" t="s">
        <v>2020</v>
      </c>
    </row>
    <row r="114" spans="1:10" x14ac:dyDescent="0.2">
      <c r="A114" s="163">
        <v>21608</v>
      </c>
      <c r="B114" s="163" t="s">
        <v>1905</v>
      </c>
      <c r="C114" s="163" t="s">
        <v>1906</v>
      </c>
      <c r="D114" s="164">
        <v>43944</v>
      </c>
      <c r="E114" s="164">
        <v>46568</v>
      </c>
      <c r="F114" s="163" t="s">
        <v>1881</v>
      </c>
      <c r="G114" s="163" t="s">
        <v>1882</v>
      </c>
      <c r="H114" s="165">
        <v>0</v>
      </c>
      <c r="I114" s="164">
        <v>46066</v>
      </c>
      <c r="J114" s="163" t="s">
        <v>2021</v>
      </c>
    </row>
    <row r="115" spans="1:10" x14ac:dyDescent="0.2">
      <c r="A115" s="163">
        <v>21607</v>
      </c>
      <c r="B115" s="163" t="s">
        <v>1915</v>
      </c>
      <c r="C115" s="163" t="s">
        <v>173</v>
      </c>
      <c r="D115" s="164">
        <v>45658</v>
      </c>
      <c r="E115" s="164">
        <v>45659</v>
      </c>
      <c r="F115" s="163" t="s">
        <v>1881</v>
      </c>
      <c r="G115" s="163" t="s">
        <v>1882</v>
      </c>
      <c r="H115" s="165">
        <v>0</v>
      </c>
      <c r="I115" s="164">
        <v>46066</v>
      </c>
      <c r="J115" s="163" t="s">
        <v>2022</v>
      </c>
    </row>
    <row r="116" spans="1:10" x14ac:dyDescent="0.2">
      <c r="A116" s="163">
        <v>21606</v>
      </c>
      <c r="B116" s="163" t="s">
        <v>1915</v>
      </c>
      <c r="C116" s="163" t="s">
        <v>2023</v>
      </c>
      <c r="D116" s="164">
        <v>45658</v>
      </c>
      <c r="E116" s="164">
        <v>45659</v>
      </c>
      <c r="F116" s="163" t="s">
        <v>1881</v>
      </c>
      <c r="G116" s="163" t="s">
        <v>1882</v>
      </c>
      <c r="H116" s="165">
        <v>0</v>
      </c>
      <c r="I116" s="164">
        <v>46066</v>
      </c>
      <c r="J116" s="163" t="s">
        <v>2024</v>
      </c>
    </row>
    <row r="117" spans="1:10" x14ac:dyDescent="0.2">
      <c r="A117" s="163">
        <v>21605</v>
      </c>
      <c r="B117" s="163" t="s">
        <v>1915</v>
      </c>
      <c r="C117" s="163" t="s">
        <v>171</v>
      </c>
      <c r="D117" s="164">
        <v>45658</v>
      </c>
      <c r="E117" s="164">
        <v>45659</v>
      </c>
      <c r="F117" s="163" t="s">
        <v>1881</v>
      </c>
      <c r="G117" s="163" t="s">
        <v>1882</v>
      </c>
      <c r="H117" s="165">
        <v>0</v>
      </c>
      <c r="I117" s="164">
        <v>46066</v>
      </c>
      <c r="J117" s="163" t="s">
        <v>2025</v>
      </c>
    </row>
    <row r="118" spans="1:10" x14ac:dyDescent="0.2">
      <c r="A118" s="163">
        <v>21604</v>
      </c>
      <c r="B118" s="163" t="s">
        <v>2026</v>
      </c>
      <c r="C118" s="163" t="s">
        <v>2027</v>
      </c>
      <c r="D118" s="164">
        <v>42736</v>
      </c>
      <c r="E118" s="164">
        <v>46022</v>
      </c>
      <c r="F118" s="163" t="s">
        <v>1881</v>
      </c>
      <c r="G118" s="163" t="s">
        <v>1882</v>
      </c>
      <c r="H118" s="165">
        <v>10372.049999999999</v>
      </c>
      <c r="I118" s="164">
        <v>46066</v>
      </c>
      <c r="J118" s="163" t="s">
        <v>2028</v>
      </c>
    </row>
    <row r="119" spans="1:10" x14ac:dyDescent="0.2">
      <c r="A119" s="163">
        <v>21603</v>
      </c>
      <c r="B119" s="163" t="s">
        <v>1885</v>
      </c>
      <c r="C119" s="163" t="s">
        <v>2029</v>
      </c>
      <c r="D119" s="164">
        <v>45436</v>
      </c>
      <c r="E119" s="164">
        <v>45657</v>
      </c>
      <c r="F119" s="163" t="s">
        <v>1881</v>
      </c>
      <c r="G119" s="163" t="s">
        <v>1882</v>
      </c>
      <c r="H119" s="165">
        <v>0</v>
      </c>
      <c r="I119" s="164">
        <v>46066</v>
      </c>
      <c r="J119" s="163" t="s">
        <v>2030</v>
      </c>
    </row>
    <row r="120" spans="1:10" x14ac:dyDescent="0.2">
      <c r="A120" s="163">
        <v>21602</v>
      </c>
      <c r="B120" s="163" t="s">
        <v>1885</v>
      </c>
      <c r="C120" s="163" t="s">
        <v>2029</v>
      </c>
      <c r="D120" s="164">
        <v>45436</v>
      </c>
      <c r="E120" s="164">
        <v>45657</v>
      </c>
      <c r="F120" s="163" t="s">
        <v>1881</v>
      </c>
      <c r="G120" s="163" t="s">
        <v>1882</v>
      </c>
      <c r="H120" s="165">
        <v>0</v>
      </c>
      <c r="I120" s="164">
        <v>46066</v>
      </c>
      <c r="J120" s="163" t="s">
        <v>2031</v>
      </c>
    </row>
    <row r="121" spans="1:10" x14ac:dyDescent="0.2">
      <c r="A121" s="163">
        <v>21601</v>
      </c>
      <c r="B121" s="163" t="s">
        <v>1885</v>
      </c>
      <c r="C121" s="163" t="s">
        <v>2029</v>
      </c>
      <c r="D121" s="164">
        <v>45436</v>
      </c>
      <c r="E121" s="164">
        <v>45657</v>
      </c>
      <c r="F121" s="163" t="s">
        <v>1881</v>
      </c>
      <c r="G121" s="163" t="s">
        <v>1882</v>
      </c>
      <c r="H121" s="165">
        <v>0</v>
      </c>
      <c r="I121" s="164">
        <v>46066</v>
      </c>
      <c r="J121" s="163" t="s">
        <v>2032</v>
      </c>
    </row>
    <row r="122" spans="1:10" x14ac:dyDescent="0.2">
      <c r="A122" s="163">
        <v>21600</v>
      </c>
      <c r="B122" s="163" t="s">
        <v>1885</v>
      </c>
      <c r="C122" s="163" t="s">
        <v>2029</v>
      </c>
      <c r="D122" s="164">
        <v>45436</v>
      </c>
      <c r="E122" s="164">
        <v>45657</v>
      </c>
      <c r="F122" s="163" t="s">
        <v>1881</v>
      </c>
      <c r="G122" s="163" t="s">
        <v>1882</v>
      </c>
      <c r="H122" s="165">
        <v>0</v>
      </c>
      <c r="I122" s="164">
        <v>46066</v>
      </c>
      <c r="J122" s="163" t="s">
        <v>2033</v>
      </c>
    </row>
    <row r="123" spans="1:10" x14ac:dyDescent="0.2">
      <c r="A123" s="163">
        <v>21599</v>
      </c>
      <c r="B123" s="163" t="s">
        <v>1885</v>
      </c>
      <c r="C123" s="163" t="s">
        <v>2029</v>
      </c>
      <c r="D123" s="164">
        <v>45436</v>
      </c>
      <c r="E123" s="164">
        <v>45657</v>
      </c>
      <c r="F123" s="163" t="s">
        <v>1881</v>
      </c>
      <c r="G123" s="163" t="s">
        <v>1882</v>
      </c>
      <c r="H123" s="165">
        <v>0</v>
      </c>
      <c r="I123" s="164">
        <v>46066</v>
      </c>
      <c r="J123" s="163" t="s">
        <v>2034</v>
      </c>
    </row>
    <row r="124" spans="1:10" x14ac:dyDescent="0.2">
      <c r="A124" s="163">
        <v>21598</v>
      </c>
      <c r="B124" s="163" t="s">
        <v>1885</v>
      </c>
      <c r="C124" s="163" t="s">
        <v>2029</v>
      </c>
      <c r="D124" s="164">
        <v>45436</v>
      </c>
      <c r="E124" s="164">
        <v>45657</v>
      </c>
      <c r="F124" s="163" t="s">
        <v>1881</v>
      </c>
      <c r="G124" s="163" t="s">
        <v>1882</v>
      </c>
      <c r="H124" s="165">
        <v>0</v>
      </c>
      <c r="I124" s="164">
        <v>46066</v>
      </c>
      <c r="J124" s="163" t="s">
        <v>2035</v>
      </c>
    </row>
    <row r="125" spans="1:10" x14ac:dyDescent="0.2">
      <c r="A125" s="163">
        <v>21597</v>
      </c>
      <c r="B125" s="163" t="s">
        <v>1905</v>
      </c>
      <c r="C125" s="163" t="s">
        <v>1906</v>
      </c>
      <c r="D125" s="164">
        <v>43944</v>
      </c>
      <c r="E125" s="164">
        <v>46568</v>
      </c>
      <c r="F125" s="163" t="s">
        <v>1881</v>
      </c>
      <c r="G125" s="163" t="s">
        <v>1882</v>
      </c>
      <c r="H125" s="165">
        <v>25599.05</v>
      </c>
      <c r="I125" s="164">
        <v>46066</v>
      </c>
      <c r="J125" s="163" t="s">
        <v>683</v>
      </c>
    </row>
    <row r="126" spans="1:10" x14ac:dyDescent="0.2">
      <c r="A126" s="163">
        <v>21596</v>
      </c>
      <c r="B126" s="163" t="s">
        <v>1893</v>
      </c>
      <c r="C126" s="163" t="s">
        <v>464</v>
      </c>
      <c r="D126" s="164">
        <v>45658</v>
      </c>
      <c r="E126" s="164">
        <v>45659</v>
      </c>
      <c r="F126" s="163" t="s">
        <v>1881</v>
      </c>
      <c r="G126" s="163" t="s">
        <v>1882</v>
      </c>
      <c r="H126" s="165">
        <v>30529.58</v>
      </c>
      <c r="I126" s="164">
        <v>46066</v>
      </c>
      <c r="J126" s="163" t="s">
        <v>670</v>
      </c>
    </row>
    <row r="127" spans="1:10" x14ac:dyDescent="0.2">
      <c r="A127" s="163">
        <v>21595</v>
      </c>
      <c r="B127" s="163" t="s">
        <v>1930</v>
      </c>
      <c r="C127" s="163" t="s">
        <v>1931</v>
      </c>
      <c r="D127" s="164">
        <v>44816</v>
      </c>
      <c r="E127" s="164">
        <v>46354</v>
      </c>
      <c r="F127" s="163" t="s">
        <v>1881</v>
      </c>
      <c r="G127" s="163" t="s">
        <v>1882</v>
      </c>
      <c r="H127" s="165">
        <v>27864.7</v>
      </c>
      <c r="I127" s="164">
        <v>46066</v>
      </c>
      <c r="J127" s="163" t="s">
        <v>538</v>
      </c>
    </row>
    <row r="128" spans="1:10" x14ac:dyDescent="0.2">
      <c r="A128" s="163">
        <v>21594</v>
      </c>
      <c r="B128" s="163" t="s">
        <v>2036</v>
      </c>
      <c r="C128" s="163" t="s">
        <v>2037</v>
      </c>
      <c r="D128" s="164">
        <v>43466</v>
      </c>
      <c r="E128" s="164">
        <v>46387</v>
      </c>
      <c r="F128" s="163" t="s">
        <v>1881</v>
      </c>
      <c r="G128" s="163" t="s">
        <v>1882</v>
      </c>
      <c r="H128" s="165">
        <v>12106.35</v>
      </c>
      <c r="I128" s="164">
        <v>46066</v>
      </c>
      <c r="J128" s="163" t="s">
        <v>536</v>
      </c>
    </row>
    <row r="129" spans="1:10" x14ac:dyDescent="0.2">
      <c r="A129" s="163">
        <v>21593</v>
      </c>
      <c r="B129" s="163" t="s">
        <v>2038</v>
      </c>
      <c r="C129" s="163" t="s">
        <v>2039</v>
      </c>
      <c r="D129" s="164">
        <v>44032</v>
      </c>
      <c r="E129" s="164">
        <v>45838</v>
      </c>
      <c r="F129" s="163" t="s">
        <v>1881</v>
      </c>
      <c r="G129" s="163" t="s">
        <v>1882</v>
      </c>
      <c r="H129" s="165">
        <v>0</v>
      </c>
      <c r="I129" s="164">
        <v>46066</v>
      </c>
      <c r="J129" s="163" t="s">
        <v>2040</v>
      </c>
    </row>
    <row r="130" spans="1:10" x14ac:dyDescent="0.2">
      <c r="A130" s="163">
        <v>21592</v>
      </c>
      <c r="B130" s="163" t="s">
        <v>1901</v>
      </c>
      <c r="C130" s="163" t="s">
        <v>454</v>
      </c>
      <c r="D130" s="164">
        <v>45658</v>
      </c>
      <c r="E130" s="164">
        <v>45659</v>
      </c>
      <c r="F130" s="163" t="s">
        <v>1881</v>
      </c>
      <c r="G130" s="163" t="s">
        <v>1882</v>
      </c>
      <c r="H130" s="165">
        <v>0</v>
      </c>
      <c r="I130" s="164">
        <v>46066</v>
      </c>
      <c r="J130" s="163" t="s">
        <v>2041</v>
      </c>
    </row>
    <row r="131" spans="1:10" x14ac:dyDescent="0.2">
      <c r="A131" s="163">
        <v>21591</v>
      </c>
      <c r="B131" s="163" t="s">
        <v>1987</v>
      </c>
      <c r="C131" s="163" t="s">
        <v>1988</v>
      </c>
      <c r="D131" s="164">
        <v>44736</v>
      </c>
      <c r="E131" s="164">
        <v>46387</v>
      </c>
      <c r="F131" s="163" t="s">
        <v>1881</v>
      </c>
      <c r="G131" s="163" t="s">
        <v>1882</v>
      </c>
      <c r="H131" s="165">
        <v>21710.799999999999</v>
      </c>
      <c r="I131" s="164">
        <v>46066</v>
      </c>
      <c r="J131" s="163" t="s">
        <v>2042</v>
      </c>
    </row>
    <row r="132" spans="1:10" x14ac:dyDescent="0.2">
      <c r="A132" s="163">
        <v>21590</v>
      </c>
      <c r="B132" s="163" t="s">
        <v>1889</v>
      </c>
      <c r="C132" s="163" t="s">
        <v>504</v>
      </c>
      <c r="D132" s="164">
        <v>45658</v>
      </c>
      <c r="E132" s="164">
        <v>45659</v>
      </c>
      <c r="F132" s="163" t="s">
        <v>1881</v>
      </c>
      <c r="G132" s="163" t="s">
        <v>2043</v>
      </c>
      <c r="H132" s="165">
        <v>10656</v>
      </c>
      <c r="I132" s="164">
        <v>46066</v>
      </c>
      <c r="J132" s="163" t="s">
        <v>2044</v>
      </c>
    </row>
    <row r="133" spans="1:10" x14ac:dyDescent="0.2">
      <c r="A133" s="163">
        <v>21589</v>
      </c>
      <c r="B133" s="163" t="s">
        <v>1901</v>
      </c>
      <c r="C133" s="163" t="s">
        <v>1496</v>
      </c>
      <c r="D133" s="164">
        <v>45658</v>
      </c>
      <c r="E133" s="164">
        <v>45659</v>
      </c>
      <c r="F133" s="163" t="s">
        <v>1881</v>
      </c>
      <c r="G133" s="163" t="s">
        <v>1882</v>
      </c>
      <c r="H133" s="165">
        <v>415321.13</v>
      </c>
      <c r="I133" s="164">
        <v>46066</v>
      </c>
      <c r="J133" s="163" t="s">
        <v>2045</v>
      </c>
    </row>
    <row r="134" spans="1:10" x14ac:dyDescent="0.2">
      <c r="A134" s="163">
        <v>21588</v>
      </c>
      <c r="B134" s="163" t="s">
        <v>1887</v>
      </c>
      <c r="C134" s="163" t="s">
        <v>1978</v>
      </c>
      <c r="D134" s="164">
        <v>44995</v>
      </c>
      <c r="E134" s="164">
        <v>46090</v>
      </c>
      <c r="F134" s="163" t="s">
        <v>1881</v>
      </c>
      <c r="G134" s="163" t="s">
        <v>1882</v>
      </c>
      <c r="H134" s="165">
        <v>0</v>
      </c>
      <c r="I134" s="164">
        <v>46066</v>
      </c>
      <c r="J134" s="163" t="s">
        <v>2046</v>
      </c>
    </row>
    <row r="135" spans="1:10" x14ac:dyDescent="0.2">
      <c r="A135" s="163">
        <v>21587</v>
      </c>
      <c r="B135" s="163" t="s">
        <v>1905</v>
      </c>
      <c r="C135" s="163" t="s">
        <v>1906</v>
      </c>
      <c r="D135" s="164">
        <v>43944</v>
      </c>
      <c r="E135" s="164">
        <v>46568</v>
      </c>
      <c r="F135" s="163" t="s">
        <v>1881</v>
      </c>
      <c r="G135" s="163" t="s">
        <v>1882</v>
      </c>
      <c r="H135" s="165">
        <v>24050.05</v>
      </c>
      <c r="I135" s="164">
        <v>46066</v>
      </c>
      <c r="J135" s="163" t="s">
        <v>2047</v>
      </c>
    </row>
    <row r="136" spans="1:10" x14ac:dyDescent="0.2">
      <c r="A136" s="163">
        <v>21586</v>
      </c>
      <c r="B136" s="163" t="s">
        <v>2015</v>
      </c>
      <c r="C136" s="163" t="s">
        <v>104</v>
      </c>
      <c r="D136" s="164">
        <v>45658</v>
      </c>
      <c r="E136" s="164">
        <v>45659</v>
      </c>
      <c r="F136" s="163" t="s">
        <v>1881</v>
      </c>
      <c r="G136" s="163" t="s">
        <v>1882</v>
      </c>
      <c r="H136" s="165">
        <v>106</v>
      </c>
      <c r="I136" s="164">
        <v>46066</v>
      </c>
      <c r="J136" s="163" t="s">
        <v>924</v>
      </c>
    </row>
    <row r="137" spans="1:10" x14ac:dyDescent="0.2">
      <c r="A137" s="163">
        <v>21585</v>
      </c>
      <c r="B137" s="163" t="s">
        <v>1895</v>
      </c>
      <c r="C137" s="163" t="s">
        <v>577</v>
      </c>
      <c r="D137" s="164">
        <v>45658</v>
      </c>
      <c r="E137" s="164">
        <v>45659</v>
      </c>
      <c r="F137" s="163" t="s">
        <v>1881</v>
      </c>
      <c r="G137" s="163" t="s">
        <v>1882</v>
      </c>
      <c r="H137" s="165">
        <v>0</v>
      </c>
      <c r="I137" s="164">
        <v>46066</v>
      </c>
      <c r="J137" s="163" t="s">
        <v>2048</v>
      </c>
    </row>
    <row r="138" spans="1:10" x14ac:dyDescent="0.2">
      <c r="A138" s="163">
        <v>21584</v>
      </c>
      <c r="B138" s="163" t="s">
        <v>2049</v>
      </c>
      <c r="C138" s="163" t="s">
        <v>2050</v>
      </c>
      <c r="D138" s="164">
        <v>45265</v>
      </c>
      <c r="E138" s="164">
        <v>45657</v>
      </c>
      <c r="F138" s="163" t="s">
        <v>1881</v>
      </c>
      <c r="G138" s="163" t="s">
        <v>1882</v>
      </c>
      <c r="H138" s="165">
        <v>0</v>
      </c>
      <c r="I138" s="164">
        <v>46066</v>
      </c>
      <c r="J138" s="163" t="s">
        <v>2051</v>
      </c>
    </row>
    <row r="139" spans="1:10" x14ac:dyDescent="0.2">
      <c r="A139" s="163">
        <v>21583</v>
      </c>
      <c r="B139" s="163" t="s">
        <v>1893</v>
      </c>
      <c r="C139" s="163" t="s">
        <v>453</v>
      </c>
      <c r="D139" s="164">
        <v>45658</v>
      </c>
      <c r="E139" s="164">
        <v>45659</v>
      </c>
      <c r="F139" s="163" t="s">
        <v>1881</v>
      </c>
      <c r="G139" s="163" t="s">
        <v>1882</v>
      </c>
      <c r="H139" s="165">
        <v>29568.73</v>
      </c>
      <c r="I139" s="164">
        <v>46066</v>
      </c>
      <c r="J139" s="163" t="s">
        <v>672</v>
      </c>
    </row>
    <row r="140" spans="1:10" x14ac:dyDescent="0.2">
      <c r="A140" s="163">
        <v>21582</v>
      </c>
      <c r="B140" s="163" t="s">
        <v>1887</v>
      </c>
      <c r="C140" s="163" t="s">
        <v>1978</v>
      </c>
      <c r="D140" s="164">
        <v>44995</v>
      </c>
      <c r="E140" s="164">
        <v>46090</v>
      </c>
      <c r="F140" s="163" t="s">
        <v>1881</v>
      </c>
      <c r="G140" s="163" t="s">
        <v>1882</v>
      </c>
      <c r="H140" s="165">
        <v>0</v>
      </c>
      <c r="I140" s="164">
        <v>46066</v>
      </c>
      <c r="J140" s="163" t="s">
        <v>2052</v>
      </c>
    </row>
    <row r="141" spans="1:10" x14ac:dyDescent="0.2">
      <c r="A141" s="163">
        <v>21581</v>
      </c>
      <c r="B141" s="163" t="s">
        <v>2001</v>
      </c>
      <c r="C141" s="163" t="s">
        <v>2053</v>
      </c>
      <c r="D141" s="164">
        <v>45778</v>
      </c>
      <c r="E141" s="164">
        <v>46022</v>
      </c>
      <c r="F141" s="163" t="s">
        <v>1881</v>
      </c>
      <c r="G141" s="163" t="s">
        <v>1882</v>
      </c>
      <c r="H141" s="165">
        <v>3377.1</v>
      </c>
      <c r="I141" s="164">
        <v>46066</v>
      </c>
      <c r="J141" s="163" t="s">
        <v>2054</v>
      </c>
    </row>
    <row r="142" spans="1:10" x14ac:dyDescent="0.2">
      <c r="A142" s="163">
        <v>21580</v>
      </c>
      <c r="B142" s="163" t="s">
        <v>1887</v>
      </c>
      <c r="C142" s="163" t="s">
        <v>1978</v>
      </c>
      <c r="D142" s="164">
        <v>44995</v>
      </c>
      <c r="E142" s="164">
        <v>46090</v>
      </c>
      <c r="F142" s="163" t="s">
        <v>1881</v>
      </c>
      <c r="G142" s="163" t="s">
        <v>1882</v>
      </c>
      <c r="H142" s="165">
        <v>0</v>
      </c>
      <c r="I142" s="164">
        <v>46066</v>
      </c>
      <c r="J142" s="163" t="s">
        <v>2055</v>
      </c>
    </row>
    <row r="143" spans="1:10" x14ac:dyDescent="0.2">
      <c r="A143" s="163">
        <v>21579</v>
      </c>
      <c r="B143" s="163" t="s">
        <v>1887</v>
      </c>
      <c r="C143" s="163" t="s">
        <v>1978</v>
      </c>
      <c r="D143" s="164">
        <v>44995</v>
      </c>
      <c r="E143" s="164">
        <v>46090</v>
      </c>
      <c r="F143" s="163" t="s">
        <v>1881</v>
      </c>
      <c r="G143" s="163" t="s">
        <v>1882</v>
      </c>
      <c r="H143" s="165">
        <v>11996.08</v>
      </c>
      <c r="I143" s="164">
        <v>46066</v>
      </c>
      <c r="J143" s="163" t="s">
        <v>969</v>
      </c>
    </row>
    <row r="144" spans="1:10" x14ac:dyDescent="0.2">
      <c r="A144" s="163">
        <v>21578</v>
      </c>
      <c r="B144" s="163" t="s">
        <v>1895</v>
      </c>
      <c r="C144" s="163" t="s">
        <v>566</v>
      </c>
      <c r="D144" s="164">
        <v>45658</v>
      </c>
      <c r="E144" s="164">
        <v>45659</v>
      </c>
      <c r="F144" s="163" t="s">
        <v>1881</v>
      </c>
      <c r="G144" s="163" t="s">
        <v>2043</v>
      </c>
      <c r="H144" s="165">
        <v>16246</v>
      </c>
      <c r="I144" s="164">
        <v>46066</v>
      </c>
      <c r="J144" s="163" t="s">
        <v>2056</v>
      </c>
    </row>
    <row r="145" spans="1:10" x14ac:dyDescent="0.2">
      <c r="A145" s="163">
        <v>21577</v>
      </c>
      <c r="B145" s="163" t="s">
        <v>1895</v>
      </c>
      <c r="C145" s="163" t="s">
        <v>557</v>
      </c>
      <c r="D145" s="164">
        <v>45658</v>
      </c>
      <c r="E145" s="164">
        <v>45659</v>
      </c>
      <c r="F145" s="163" t="s">
        <v>1881</v>
      </c>
      <c r="G145" s="163" t="s">
        <v>2043</v>
      </c>
      <c r="H145" s="165">
        <v>4697.99</v>
      </c>
      <c r="I145" s="164">
        <v>46066</v>
      </c>
      <c r="J145" s="163" t="s">
        <v>2057</v>
      </c>
    </row>
    <row r="146" spans="1:10" x14ac:dyDescent="0.2">
      <c r="A146" s="163">
        <v>21576</v>
      </c>
      <c r="B146" s="163" t="s">
        <v>1901</v>
      </c>
      <c r="C146" s="163" t="s">
        <v>487</v>
      </c>
      <c r="D146" s="164">
        <v>45658</v>
      </c>
      <c r="E146" s="164">
        <v>45659</v>
      </c>
      <c r="F146" s="163" t="s">
        <v>1881</v>
      </c>
      <c r="G146" s="163" t="s">
        <v>1882</v>
      </c>
      <c r="H146" s="165">
        <v>48685.85</v>
      </c>
      <c r="I146" s="164">
        <v>46066</v>
      </c>
      <c r="J146" s="163" t="s">
        <v>2058</v>
      </c>
    </row>
    <row r="147" spans="1:10" x14ac:dyDescent="0.2">
      <c r="A147" s="163">
        <v>21575</v>
      </c>
      <c r="B147" s="163" t="s">
        <v>2059</v>
      </c>
      <c r="C147" s="163" t="s">
        <v>2060</v>
      </c>
      <c r="D147" s="164">
        <v>42370</v>
      </c>
      <c r="E147" s="164">
        <v>46387</v>
      </c>
      <c r="F147" s="163" t="s">
        <v>1881</v>
      </c>
      <c r="G147" s="163" t="s">
        <v>1882</v>
      </c>
      <c r="H147" s="165">
        <v>5295.6</v>
      </c>
      <c r="I147" s="164">
        <v>46066</v>
      </c>
      <c r="J147" s="163" t="s">
        <v>535</v>
      </c>
    </row>
    <row r="148" spans="1:10" x14ac:dyDescent="0.2">
      <c r="A148" s="163">
        <v>21574</v>
      </c>
      <c r="B148" s="163" t="s">
        <v>2010</v>
      </c>
      <c r="C148" s="163" t="s">
        <v>2061</v>
      </c>
      <c r="D148" s="164">
        <v>45733</v>
      </c>
      <c r="E148" s="164">
        <v>46094</v>
      </c>
      <c r="F148" s="163" t="s">
        <v>1881</v>
      </c>
      <c r="G148" s="163" t="s">
        <v>1882</v>
      </c>
      <c r="H148" s="165">
        <v>0</v>
      </c>
      <c r="I148" s="164">
        <v>46066</v>
      </c>
      <c r="J148" s="163" t="s">
        <v>2062</v>
      </c>
    </row>
    <row r="149" spans="1:10" x14ac:dyDescent="0.2">
      <c r="A149" s="163">
        <v>21573</v>
      </c>
      <c r="B149" s="163" t="s">
        <v>2063</v>
      </c>
      <c r="C149" s="163" t="s">
        <v>2064</v>
      </c>
      <c r="D149" s="164">
        <v>45531</v>
      </c>
      <c r="E149" s="164">
        <v>45566</v>
      </c>
      <c r="F149" s="163" t="s">
        <v>1881</v>
      </c>
      <c r="G149" s="163" t="s">
        <v>1882</v>
      </c>
      <c r="H149" s="165">
        <v>0</v>
      </c>
      <c r="I149" s="164">
        <v>46066</v>
      </c>
      <c r="J149" s="163" t="s">
        <v>2065</v>
      </c>
    </row>
    <row r="150" spans="1:10" x14ac:dyDescent="0.2">
      <c r="A150" s="163">
        <v>21572</v>
      </c>
      <c r="B150" s="163" t="s">
        <v>2066</v>
      </c>
      <c r="C150" s="163" t="s">
        <v>2067</v>
      </c>
      <c r="D150" s="164">
        <v>42936</v>
      </c>
      <c r="E150" s="164">
        <v>45657</v>
      </c>
      <c r="F150" s="163" t="s">
        <v>1881</v>
      </c>
      <c r="G150" s="163" t="s">
        <v>1882</v>
      </c>
      <c r="H150" s="165">
        <v>101</v>
      </c>
      <c r="I150" s="164">
        <v>46066</v>
      </c>
      <c r="J150" s="163" t="s">
        <v>2068</v>
      </c>
    </row>
    <row r="151" spans="1:10" x14ac:dyDescent="0.2">
      <c r="A151" s="163">
        <v>21571</v>
      </c>
      <c r="B151" s="163" t="s">
        <v>2069</v>
      </c>
      <c r="C151" s="163" t="s">
        <v>477</v>
      </c>
      <c r="D151" s="164">
        <v>45658</v>
      </c>
      <c r="E151" s="164">
        <v>45659</v>
      </c>
      <c r="F151" s="163" t="s">
        <v>1881</v>
      </c>
      <c r="G151" s="163" t="s">
        <v>1882</v>
      </c>
      <c r="H151" s="165">
        <v>0</v>
      </c>
      <c r="I151" s="164">
        <v>46066</v>
      </c>
      <c r="J151" s="163" t="s">
        <v>2070</v>
      </c>
    </row>
    <row r="152" spans="1:10" x14ac:dyDescent="0.2">
      <c r="A152" s="163">
        <v>21570</v>
      </c>
      <c r="B152" s="163" t="s">
        <v>2063</v>
      </c>
      <c r="C152" s="163" t="s">
        <v>2064</v>
      </c>
      <c r="D152" s="164">
        <v>45531</v>
      </c>
      <c r="E152" s="164">
        <v>45566</v>
      </c>
      <c r="F152" s="163" t="s">
        <v>1881</v>
      </c>
      <c r="G152" s="163" t="s">
        <v>1882</v>
      </c>
      <c r="H152" s="165">
        <v>0</v>
      </c>
      <c r="I152" s="164">
        <v>46066</v>
      </c>
      <c r="J152" s="163" t="s">
        <v>2071</v>
      </c>
    </row>
    <row r="153" spans="1:10" x14ac:dyDescent="0.2">
      <c r="A153" s="163">
        <v>21569</v>
      </c>
      <c r="B153" s="163" t="s">
        <v>1890</v>
      </c>
      <c r="C153" s="163" t="s">
        <v>2072</v>
      </c>
      <c r="D153" s="164">
        <v>45782</v>
      </c>
      <c r="E153" s="164">
        <v>46142</v>
      </c>
      <c r="F153" s="163" t="s">
        <v>1881</v>
      </c>
      <c r="G153" s="163" t="s">
        <v>1882</v>
      </c>
      <c r="H153" s="165">
        <v>3942</v>
      </c>
      <c r="I153" s="164">
        <v>46066</v>
      </c>
      <c r="J153" s="163" t="s">
        <v>1012</v>
      </c>
    </row>
    <row r="154" spans="1:10" x14ac:dyDescent="0.2">
      <c r="A154" s="163">
        <v>21568</v>
      </c>
      <c r="B154" s="163" t="s">
        <v>1888</v>
      </c>
      <c r="C154" s="163" t="s">
        <v>2005</v>
      </c>
      <c r="D154" s="164">
        <v>42668</v>
      </c>
      <c r="E154" s="164">
        <v>45596</v>
      </c>
      <c r="F154" s="163" t="s">
        <v>1881</v>
      </c>
      <c r="G154" s="163" t="s">
        <v>1882</v>
      </c>
      <c r="H154" s="165">
        <v>0</v>
      </c>
      <c r="I154" s="164">
        <v>46066</v>
      </c>
      <c r="J154" s="163" t="s">
        <v>2073</v>
      </c>
    </row>
    <row r="155" spans="1:10" x14ac:dyDescent="0.2">
      <c r="A155" s="163">
        <v>21567</v>
      </c>
      <c r="B155" s="163" t="s">
        <v>1887</v>
      </c>
      <c r="C155" s="163" t="s">
        <v>1978</v>
      </c>
      <c r="D155" s="164">
        <v>44995</v>
      </c>
      <c r="E155" s="164">
        <v>46090</v>
      </c>
      <c r="F155" s="163" t="s">
        <v>1881</v>
      </c>
      <c r="G155" s="163" t="s">
        <v>1882</v>
      </c>
      <c r="H155" s="165">
        <v>0</v>
      </c>
      <c r="I155" s="164">
        <v>46066</v>
      </c>
      <c r="J155" s="163" t="s">
        <v>2074</v>
      </c>
    </row>
    <row r="156" spans="1:10" x14ac:dyDescent="0.2">
      <c r="A156" s="163">
        <v>21566</v>
      </c>
      <c r="B156" s="163" t="s">
        <v>1879</v>
      </c>
      <c r="C156" s="163" t="s">
        <v>1985</v>
      </c>
      <c r="D156" s="164">
        <v>43891</v>
      </c>
      <c r="E156" s="164">
        <v>46660</v>
      </c>
      <c r="F156" s="163" t="s">
        <v>1881</v>
      </c>
      <c r="G156" s="163" t="s">
        <v>1882</v>
      </c>
      <c r="H156" s="165">
        <v>0</v>
      </c>
      <c r="I156" s="164">
        <v>46066</v>
      </c>
      <c r="J156" s="163" t="s">
        <v>2075</v>
      </c>
    </row>
    <row r="157" spans="1:10" x14ac:dyDescent="0.2">
      <c r="A157" s="163">
        <v>21565</v>
      </c>
      <c r="B157" s="163" t="s">
        <v>1895</v>
      </c>
      <c r="C157" s="163" t="s">
        <v>1996</v>
      </c>
      <c r="D157" s="164">
        <v>42339</v>
      </c>
      <c r="E157" s="164">
        <v>45504</v>
      </c>
      <c r="F157" s="163" t="s">
        <v>1881</v>
      </c>
      <c r="G157" s="163" t="s">
        <v>1882</v>
      </c>
      <c r="H157" s="165">
        <v>26255.62</v>
      </c>
      <c r="I157" s="164">
        <v>46066</v>
      </c>
      <c r="J157" s="163" t="s">
        <v>2076</v>
      </c>
    </row>
    <row r="158" spans="1:10" x14ac:dyDescent="0.2">
      <c r="A158" s="163">
        <v>21564</v>
      </c>
      <c r="B158" s="163" t="s">
        <v>1879</v>
      </c>
      <c r="C158" s="163" t="s">
        <v>1985</v>
      </c>
      <c r="D158" s="164">
        <v>43891</v>
      </c>
      <c r="E158" s="164">
        <v>46660</v>
      </c>
      <c r="F158" s="163" t="s">
        <v>1881</v>
      </c>
      <c r="G158" s="163" t="s">
        <v>1882</v>
      </c>
      <c r="H158" s="165">
        <v>0</v>
      </c>
      <c r="I158" s="164">
        <v>46066</v>
      </c>
      <c r="J158" s="163" t="s">
        <v>2077</v>
      </c>
    </row>
    <row r="159" spans="1:10" x14ac:dyDescent="0.2">
      <c r="A159" s="163">
        <v>21563</v>
      </c>
      <c r="B159" s="163" t="s">
        <v>1879</v>
      </c>
      <c r="C159" s="163" t="s">
        <v>1985</v>
      </c>
      <c r="D159" s="164">
        <v>43891</v>
      </c>
      <c r="E159" s="164">
        <v>46660</v>
      </c>
      <c r="F159" s="163" t="s">
        <v>1881</v>
      </c>
      <c r="G159" s="163" t="s">
        <v>1882</v>
      </c>
      <c r="H159" s="165">
        <v>0</v>
      </c>
      <c r="I159" s="164">
        <v>46066</v>
      </c>
      <c r="J159" s="163" t="s">
        <v>2078</v>
      </c>
    </row>
    <row r="160" spans="1:10" x14ac:dyDescent="0.2">
      <c r="A160" s="163">
        <v>21562</v>
      </c>
      <c r="B160" s="163" t="s">
        <v>1895</v>
      </c>
      <c r="C160" s="163" t="s">
        <v>1996</v>
      </c>
      <c r="D160" s="164">
        <v>42339</v>
      </c>
      <c r="E160" s="164">
        <v>45504</v>
      </c>
      <c r="F160" s="163" t="s">
        <v>1881</v>
      </c>
      <c r="G160" s="163" t="s">
        <v>1882</v>
      </c>
      <c r="H160" s="165">
        <v>0</v>
      </c>
      <c r="I160" s="164">
        <v>46066</v>
      </c>
      <c r="J160" s="163" t="s">
        <v>2079</v>
      </c>
    </row>
    <row r="161" spans="1:10" x14ac:dyDescent="0.2">
      <c r="A161" s="163">
        <v>21561</v>
      </c>
      <c r="B161" s="163" t="s">
        <v>1987</v>
      </c>
      <c r="C161" s="163" t="s">
        <v>1988</v>
      </c>
      <c r="D161" s="164">
        <v>44736</v>
      </c>
      <c r="E161" s="164">
        <v>46387</v>
      </c>
      <c r="F161" s="163" t="s">
        <v>1881</v>
      </c>
      <c r="G161" s="163" t="s">
        <v>1882</v>
      </c>
      <c r="H161" s="165">
        <v>0</v>
      </c>
      <c r="I161" s="164">
        <v>46066</v>
      </c>
      <c r="J161" s="163" t="s">
        <v>2080</v>
      </c>
    </row>
    <row r="162" spans="1:10" x14ac:dyDescent="0.2">
      <c r="A162" s="163">
        <v>21560</v>
      </c>
      <c r="B162" s="163" t="s">
        <v>1886</v>
      </c>
      <c r="C162" s="163" t="s">
        <v>1979</v>
      </c>
      <c r="D162" s="164">
        <v>45257</v>
      </c>
      <c r="E162" s="164">
        <v>46349</v>
      </c>
      <c r="F162" s="163" t="s">
        <v>1881</v>
      </c>
      <c r="G162" s="163" t="s">
        <v>1882</v>
      </c>
      <c r="H162" s="165">
        <v>0</v>
      </c>
      <c r="I162" s="164">
        <v>46066</v>
      </c>
      <c r="J162" s="163" t="s">
        <v>2081</v>
      </c>
    </row>
    <row r="163" spans="1:10" x14ac:dyDescent="0.2">
      <c r="A163" s="163">
        <v>21559</v>
      </c>
      <c r="B163" s="163" t="s">
        <v>1895</v>
      </c>
      <c r="C163" s="163" t="s">
        <v>923</v>
      </c>
      <c r="D163" s="164">
        <v>45658</v>
      </c>
      <c r="E163" s="164">
        <v>45659</v>
      </c>
      <c r="F163" s="163" t="s">
        <v>1881</v>
      </c>
      <c r="G163" s="163" t="s">
        <v>2043</v>
      </c>
      <c r="H163" s="165">
        <v>2.69</v>
      </c>
      <c r="I163" s="164">
        <v>46066</v>
      </c>
      <c r="J163" s="163" t="s">
        <v>2082</v>
      </c>
    </row>
    <row r="164" spans="1:10" x14ac:dyDescent="0.2">
      <c r="A164" s="163">
        <v>21558</v>
      </c>
      <c r="B164" s="163" t="s">
        <v>2083</v>
      </c>
      <c r="C164" s="163" t="s">
        <v>2084</v>
      </c>
      <c r="D164" s="164">
        <v>45930</v>
      </c>
      <c r="E164" s="164">
        <v>46234</v>
      </c>
      <c r="F164" s="163" t="s">
        <v>1881</v>
      </c>
      <c r="G164" s="163" t="s">
        <v>1882</v>
      </c>
      <c r="H164" s="165">
        <v>524957.44999999995</v>
      </c>
      <c r="I164" s="164">
        <v>46066</v>
      </c>
      <c r="J164" s="163" t="s">
        <v>996</v>
      </c>
    </row>
    <row r="165" spans="1:10" x14ac:dyDescent="0.2">
      <c r="A165" s="163">
        <v>21557</v>
      </c>
      <c r="B165" s="163" t="s">
        <v>1987</v>
      </c>
      <c r="C165" s="163" t="s">
        <v>1988</v>
      </c>
      <c r="D165" s="164">
        <v>44736</v>
      </c>
      <c r="E165" s="164">
        <v>46387</v>
      </c>
      <c r="F165" s="163" t="s">
        <v>1881</v>
      </c>
      <c r="G165" s="163" t="s">
        <v>1882</v>
      </c>
      <c r="H165" s="165">
        <v>1368</v>
      </c>
      <c r="I165" s="164">
        <v>46066</v>
      </c>
      <c r="J165" s="163" t="s">
        <v>2085</v>
      </c>
    </row>
    <row r="166" spans="1:10" x14ac:dyDescent="0.2">
      <c r="A166" s="163">
        <v>21556</v>
      </c>
      <c r="B166" s="163" t="s">
        <v>2001</v>
      </c>
      <c r="C166" s="163" t="s">
        <v>2086</v>
      </c>
      <c r="D166" s="164">
        <v>45849</v>
      </c>
      <c r="E166" s="164">
        <v>46022</v>
      </c>
      <c r="F166" s="163" t="s">
        <v>1881</v>
      </c>
      <c r="G166" s="163" t="s">
        <v>2043</v>
      </c>
      <c r="H166" s="165">
        <v>4156.8</v>
      </c>
      <c r="I166" s="164">
        <v>46066</v>
      </c>
      <c r="J166" s="163" t="s">
        <v>895</v>
      </c>
    </row>
    <row r="167" spans="1:10" x14ac:dyDescent="0.2">
      <c r="A167" s="163">
        <v>21555</v>
      </c>
      <c r="B167" s="163" t="s">
        <v>1905</v>
      </c>
      <c r="C167" s="163" t="s">
        <v>1906</v>
      </c>
      <c r="D167" s="164">
        <v>43944</v>
      </c>
      <c r="E167" s="164">
        <v>46568</v>
      </c>
      <c r="F167" s="163" t="s">
        <v>1881</v>
      </c>
      <c r="G167" s="163" t="s">
        <v>1882</v>
      </c>
      <c r="H167" s="165">
        <v>24001.8</v>
      </c>
      <c r="I167" s="164">
        <v>46066</v>
      </c>
      <c r="J167" s="163" t="s">
        <v>544</v>
      </c>
    </row>
    <row r="168" spans="1:10" x14ac:dyDescent="0.2">
      <c r="A168" s="163">
        <v>21554</v>
      </c>
      <c r="B168" s="163" t="s">
        <v>1987</v>
      </c>
      <c r="C168" s="163" t="s">
        <v>1988</v>
      </c>
      <c r="D168" s="164">
        <v>44736</v>
      </c>
      <c r="E168" s="164">
        <v>46387</v>
      </c>
      <c r="F168" s="163" t="s">
        <v>1881</v>
      </c>
      <c r="G168" s="163" t="s">
        <v>1882</v>
      </c>
      <c r="H168" s="165">
        <v>2675.2</v>
      </c>
      <c r="I168" s="164">
        <v>46066</v>
      </c>
      <c r="J168" s="163" t="s">
        <v>2087</v>
      </c>
    </row>
    <row r="169" spans="1:10" x14ac:dyDescent="0.2">
      <c r="A169" s="163">
        <v>21553</v>
      </c>
      <c r="B169" s="163" t="s">
        <v>1895</v>
      </c>
      <c r="C169" s="163" t="s">
        <v>967</v>
      </c>
      <c r="D169" s="164">
        <v>45658</v>
      </c>
      <c r="E169" s="164">
        <v>45659</v>
      </c>
      <c r="F169" s="163" t="s">
        <v>1881</v>
      </c>
      <c r="G169" s="163" t="s">
        <v>2043</v>
      </c>
      <c r="H169" s="165">
        <v>5344.16</v>
      </c>
      <c r="I169" s="164">
        <v>46066</v>
      </c>
      <c r="J169" s="163" t="s">
        <v>2088</v>
      </c>
    </row>
    <row r="170" spans="1:10" x14ac:dyDescent="0.2">
      <c r="A170" s="163">
        <v>21552</v>
      </c>
      <c r="B170" s="163" t="s">
        <v>1895</v>
      </c>
      <c r="C170" s="163" t="s">
        <v>982</v>
      </c>
      <c r="D170" s="164">
        <v>45658</v>
      </c>
      <c r="E170" s="164">
        <v>45659</v>
      </c>
      <c r="F170" s="163" t="s">
        <v>1881</v>
      </c>
      <c r="G170" s="163" t="s">
        <v>1882</v>
      </c>
      <c r="H170" s="165">
        <v>1818.74</v>
      </c>
      <c r="I170" s="164">
        <v>46066</v>
      </c>
      <c r="J170" s="163" t="s">
        <v>1029</v>
      </c>
    </row>
    <row r="171" spans="1:10" x14ac:dyDescent="0.2">
      <c r="A171" s="163">
        <v>21551</v>
      </c>
      <c r="B171" s="163" t="s">
        <v>2089</v>
      </c>
      <c r="C171" s="163" t="s">
        <v>2090</v>
      </c>
      <c r="D171" s="164">
        <v>44588</v>
      </c>
      <c r="E171" s="164">
        <v>45864</v>
      </c>
      <c r="F171" s="163" t="s">
        <v>1881</v>
      </c>
      <c r="G171" s="163" t="s">
        <v>1882</v>
      </c>
      <c r="H171" s="165">
        <v>0</v>
      </c>
      <c r="I171" s="164">
        <v>46066</v>
      </c>
      <c r="J171" s="163" t="s">
        <v>2091</v>
      </c>
    </row>
    <row r="172" spans="1:10" x14ac:dyDescent="0.2">
      <c r="A172" s="163">
        <v>21550</v>
      </c>
      <c r="B172" s="163" t="s">
        <v>1889</v>
      </c>
      <c r="C172" s="163" t="s">
        <v>1052</v>
      </c>
      <c r="D172" s="164">
        <v>45658</v>
      </c>
      <c r="E172" s="164">
        <v>45659</v>
      </c>
      <c r="F172" s="163" t="s">
        <v>1881</v>
      </c>
      <c r="G172" s="163" t="s">
        <v>2043</v>
      </c>
      <c r="H172" s="165">
        <v>66451</v>
      </c>
      <c r="I172" s="164">
        <v>46066</v>
      </c>
      <c r="J172" s="163" t="s">
        <v>2092</v>
      </c>
    </row>
    <row r="173" spans="1:10" x14ac:dyDescent="0.2">
      <c r="A173" s="163">
        <v>21549</v>
      </c>
      <c r="B173" s="163" t="s">
        <v>2093</v>
      </c>
      <c r="C173" s="163" t="s">
        <v>2094</v>
      </c>
      <c r="D173" s="164">
        <v>45854</v>
      </c>
      <c r="E173" s="164">
        <v>46219</v>
      </c>
      <c r="F173" s="163" t="s">
        <v>1881</v>
      </c>
      <c r="G173" s="163" t="s">
        <v>2043</v>
      </c>
      <c r="H173" s="165">
        <v>6019.23</v>
      </c>
      <c r="I173" s="164">
        <v>46066</v>
      </c>
      <c r="J173" s="163" t="s">
        <v>2095</v>
      </c>
    </row>
    <row r="174" spans="1:10" x14ac:dyDescent="0.2">
      <c r="A174" s="163">
        <v>21548</v>
      </c>
      <c r="B174" s="163" t="s">
        <v>1890</v>
      </c>
      <c r="C174" s="163" t="s">
        <v>2072</v>
      </c>
      <c r="D174" s="164">
        <v>45782</v>
      </c>
      <c r="E174" s="164">
        <v>46142</v>
      </c>
      <c r="F174" s="163" t="s">
        <v>1881</v>
      </c>
      <c r="G174" s="163" t="s">
        <v>1882</v>
      </c>
      <c r="H174" s="165">
        <v>1031.3499999999999</v>
      </c>
      <c r="I174" s="164">
        <v>46066</v>
      </c>
      <c r="J174" s="163" t="s">
        <v>2096</v>
      </c>
    </row>
    <row r="175" spans="1:10" x14ac:dyDescent="0.2">
      <c r="A175" s="163">
        <v>21547</v>
      </c>
      <c r="B175" s="163" t="s">
        <v>2097</v>
      </c>
      <c r="C175" s="163" t="s">
        <v>2098</v>
      </c>
      <c r="D175" s="164">
        <v>45614</v>
      </c>
      <c r="E175" s="164">
        <v>46203</v>
      </c>
      <c r="F175" s="163" t="s">
        <v>1881</v>
      </c>
      <c r="G175" s="163" t="s">
        <v>1882</v>
      </c>
      <c r="H175" s="165">
        <v>0</v>
      </c>
      <c r="I175" s="164">
        <v>46066</v>
      </c>
      <c r="J175" s="163" t="s">
        <v>2099</v>
      </c>
    </row>
    <row r="176" spans="1:10" x14ac:dyDescent="0.2">
      <c r="A176" s="163">
        <v>21546</v>
      </c>
      <c r="B176" s="163" t="s">
        <v>1895</v>
      </c>
      <c r="C176" s="163" t="s">
        <v>883</v>
      </c>
      <c r="D176" s="164">
        <v>45658</v>
      </c>
      <c r="E176" s="164">
        <v>45659</v>
      </c>
      <c r="F176" s="163" t="s">
        <v>1881</v>
      </c>
      <c r="G176" s="163" t="s">
        <v>2043</v>
      </c>
      <c r="H176" s="165">
        <v>2.29</v>
      </c>
      <c r="I176" s="164">
        <v>46066</v>
      </c>
      <c r="J176" s="163" t="s">
        <v>2100</v>
      </c>
    </row>
    <row r="177" spans="1:10" x14ac:dyDescent="0.2">
      <c r="A177" s="163">
        <v>21545</v>
      </c>
      <c r="B177" s="163" t="s">
        <v>2101</v>
      </c>
      <c r="C177" s="163" t="s">
        <v>2102</v>
      </c>
      <c r="D177" s="164">
        <v>45740</v>
      </c>
      <c r="E177" s="164">
        <v>46204</v>
      </c>
      <c r="F177" s="163" t="s">
        <v>1881</v>
      </c>
      <c r="G177" s="163" t="s">
        <v>1882</v>
      </c>
      <c r="H177" s="165">
        <v>2154.0100000000002</v>
      </c>
      <c r="I177" s="164">
        <v>46066</v>
      </c>
      <c r="J177" s="163" t="s">
        <v>541</v>
      </c>
    </row>
    <row r="178" spans="1:10" x14ac:dyDescent="0.2">
      <c r="A178" s="163">
        <v>21544</v>
      </c>
      <c r="B178" s="163" t="s">
        <v>1905</v>
      </c>
      <c r="C178" s="163" t="s">
        <v>1906</v>
      </c>
      <c r="D178" s="164">
        <v>43944</v>
      </c>
      <c r="E178" s="164">
        <v>46568</v>
      </c>
      <c r="F178" s="163" t="s">
        <v>1881</v>
      </c>
      <c r="G178" s="163" t="s">
        <v>1882</v>
      </c>
      <c r="H178" s="165">
        <v>33567.300000000003</v>
      </c>
      <c r="I178" s="164">
        <v>46066</v>
      </c>
      <c r="J178" s="163" t="s">
        <v>943</v>
      </c>
    </row>
    <row r="179" spans="1:10" x14ac:dyDescent="0.2">
      <c r="A179" s="163">
        <v>21543</v>
      </c>
      <c r="B179" s="163" t="s">
        <v>1901</v>
      </c>
      <c r="C179" s="163" t="s">
        <v>1511</v>
      </c>
      <c r="D179" s="164">
        <v>45658</v>
      </c>
      <c r="E179" s="164">
        <v>45659</v>
      </c>
      <c r="F179" s="163" t="s">
        <v>1881</v>
      </c>
      <c r="G179" s="163" t="s">
        <v>2043</v>
      </c>
      <c r="H179" s="165">
        <v>5941.76</v>
      </c>
      <c r="I179" s="164">
        <v>46066</v>
      </c>
      <c r="J179" s="163" t="s">
        <v>2103</v>
      </c>
    </row>
    <row r="180" spans="1:10" x14ac:dyDescent="0.2">
      <c r="A180" s="163">
        <v>21542</v>
      </c>
      <c r="B180" s="163" t="s">
        <v>1888</v>
      </c>
      <c r="C180" s="163" t="s">
        <v>2005</v>
      </c>
      <c r="D180" s="164">
        <v>42668</v>
      </c>
      <c r="E180" s="164">
        <v>45596</v>
      </c>
      <c r="F180" s="163" t="s">
        <v>1881</v>
      </c>
      <c r="G180" s="163" t="s">
        <v>1882</v>
      </c>
      <c r="H180" s="165">
        <v>0</v>
      </c>
      <c r="I180" s="164">
        <v>46066</v>
      </c>
      <c r="J180" s="163" t="s">
        <v>2104</v>
      </c>
    </row>
    <row r="181" spans="1:10" x14ac:dyDescent="0.2">
      <c r="A181" s="163">
        <v>21541</v>
      </c>
      <c r="B181" s="163" t="s">
        <v>1893</v>
      </c>
      <c r="C181" s="163" t="s">
        <v>575</v>
      </c>
      <c r="D181" s="164">
        <v>45658</v>
      </c>
      <c r="E181" s="164">
        <v>45659</v>
      </c>
      <c r="F181" s="163" t="s">
        <v>1881</v>
      </c>
      <c r="G181" s="163" t="s">
        <v>1882</v>
      </c>
      <c r="H181" s="165">
        <v>31327.57</v>
      </c>
      <c r="I181" s="164">
        <v>46066</v>
      </c>
      <c r="J181" s="163" t="s">
        <v>669</v>
      </c>
    </row>
    <row r="182" spans="1:10" x14ac:dyDescent="0.2">
      <c r="A182" s="163">
        <v>21540</v>
      </c>
      <c r="B182" s="163" t="s">
        <v>2097</v>
      </c>
      <c r="C182" s="163" t="s">
        <v>2105</v>
      </c>
      <c r="D182" s="164">
        <v>45715</v>
      </c>
      <c r="E182" s="164">
        <v>45747</v>
      </c>
      <c r="F182" s="163" t="s">
        <v>1881</v>
      </c>
      <c r="G182" s="163" t="s">
        <v>1882</v>
      </c>
      <c r="H182" s="165">
        <v>0</v>
      </c>
      <c r="I182" s="164">
        <v>46066</v>
      </c>
      <c r="J182" s="163" t="s">
        <v>2106</v>
      </c>
    </row>
    <row r="183" spans="1:10" x14ac:dyDescent="0.2">
      <c r="A183" s="163">
        <v>21539</v>
      </c>
      <c r="B183" s="163" t="s">
        <v>2107</v>
      </c>
      <c r="C183" s="163" t="s">
        <v>1908</v>
      </c>
      <c r="D183" s="164">
        <v>44036</v>
      </c>
      <c r="E183" s="164">
        <v>46022</v>
      </c>
      <c r="F183" s="163" t="s">
        <v>1881</v>
      </c>
      <c r="G183" s="163" t="s">
        <v>1882</v>
      </c>
      <c r="H183" s="165">
        <v>0</v>
      </c>
      <c r="I183" s="164">
        <v>46066</v>
      </c>
      <c r="J183" s="163" t="s">
        <v>2108</v>
      </c>
    </row>
    <row r="184" spans="1:10" x14ac:dyDescent="0.2">
      <c r="A184" s="163">
        <v>21538</v>
      </c>
      <c r="B184" s="163" t="s">
        <v>1891</v>
      </c>
      <c r="C184" s="163" t="s">
        <v>2067</v>
      </c>
      <c r="D184" s="164">
        <v>42936</v>
      </c>
      <c r="E184" s="164">
        <v>45657</v>
      </c>
      <c r="F184" s="163" t="s">
        <v>1881</v>
      </c>
      <c r="G184" s="163" t="s">
        <v>1882</v>
      </c>
      <c r="H184" s="165">
        <v>0</v>
      </c>
      <c r="I184" s="164">
        <v>46066</v>
      </c>
      <c r="J184" s="163" t="s">
        <v>2109</v>
      </c>
    </row>
    <row r="185" spans="1:10" x14ac:dyDescent="0.2">
      <c r="A185" s="163">
        <v>21537</v>
      </c>
      <c r="B185" s="163" t="s">
        <v>1895</v>
      </c>
      <c r="C185" s="163" t="s">
        <v>867</v>
      </c>
      <c r="D185" s="164">
        <v>45658</v>
      </c>
      <c r="E185" s="164">
        <v>45659</v>
      </c>
      <c r="F185" s="163" t="s">
        <v>1881</v>
      </c>
      <c r="G185" s="163" t="s">
        <v>2043</v>
      </c>
      <c r="H185" s="165">
        <v>2.44</v>
      </c>
      <c r="I185" s="164">
        <v>46066</v>
      </c>
      <c r="J185" s="163" t="s">
        <v>2110</v>
      </c>
    </row>
    <row r="186" spans="1:10" x14ac:dyDescent="0.2">
      <c r="A186" s="163">
        <v>21536</v>
      </c>
      <c r="B186" s="163" t="s">
        <v>1905</v>
      </c>
      <c r="C186" s="163" t="s">
        <v>1906</v>
      </c>
      <c r="D186" s="164">
        <v>43944</v>
      </c>
      <c r="E186" s="164">
        <v>46568</v>
      </c>
      <c r="F186" s="163" t="s">
        <v>1881</v>
      </c>
      <c r="G186" s="163" t="s">
        <v>1882</v>
      </c>
      <c r="H186" s="165">
        <v>21181.66</v>
      </c>
      <c r="I186" s="164">
        <v>46066</v>
      </c>
      <c r="J186" s="163" t="s">
        <v>2111</v>
      </c>
    </row>
    <row r="187" spans="1:10" x14ac:dyDescent="0.2">
      <c r="A187" s="163">
        <v>21535</v>
      </c>
      <c r="B187" s="163" t="s">
        <v>2112</v>
      </c>
      <c r="C187" s="163" t="s">
        <v>2113</v>
      </c>
      <c r="D187" s="164">
        <v>45627</v>
      </c>
      <c r="E187" s="164">
        <v>46022</v>
      </c>
      <c r="F187" s="163" t="s">
        <v>1881</v>
      </c>
      <c r="G187" s="163" t="s">
        <v>1882</v>
      </c>
      <c r="H187" s="165">
        <v>0</v>
      </c>
      <c r="I187" s="164">
        <v>46066</v>
      </c>
      <c r="J187" s="163" t="s">
        <v>2114</v>
      </c>
    </row>
    <row r="188" spans="1:10" x14ac:dyDescent="0.2">
      <c r="A188" s="163">
        <v>21534</v>
      </c>
      <c r="B188" s="163" t="s">
        <v>1888</v>
      </c>
      <c r="C188" s="163" t="s">
        <v>2005</v>
      </c>
      <c r="D188" s="164">
        <v>42668</v>
      </c>
      <c r="E188" s="164">
        <v>45596</v>
      </c>
      <c r="F188" s="163" t="s">
        <v>1881</v>
      </c>
      <c r="G188" s="163" t="s">
        <v>1882</v>
      </c>
      <c r="H188" s="165">
        <v>0</v>
      </c>
      <c r="I188" s="164">
        <v>46066</v>
      </c>
      <c r="J188" s="163" t="s">
        <v>2115</v>
      </c>
    </row>
    <row r="189" spans="1:10" x14ac:dyDescent="0.2">
      <c r="A189" s="163">
        <v>21533</v>
      </c>
      <c r="B189" s="163" t="s">
        <v>1895</v>
      </c>
      <c r="C189" s="163" t="s">
        <v>865</v>
      </c>
      <c r="D189" s="164">
        <v>45658</v>
      </c>
      <c r="E189" s="164">
        <v>45659</v>
      </c>
      <c r="F189" s="163" t="s">
        <v>1881</v>
      </c>
      <c r="G189" s="163" t="s">
        <v>2043</v>
      </c>
      <c r="H189" s="165">
        <v>2165</v>
      </c>
      <c r="I189" s="164">
        <v>46066</v>
      </c>
      <c r="J189" s="163" t="s">
        <v>866</v>
      </c>
    </row>
    <row r="190" spans="1:10" x14ac:dyDescent="0.2">
      <c r="A190" s="163">
        <v>21532</v>
      </c>
      <c r="B190" s="163" t="s">
        <v>1888</v>
      </c>
      <c r="C190" s="163" t="s">
        <v>2005</v>
      </c>
      <c r="D190" s="164">
        <v>42668</v>
      </c>
      <c r="E190" s="164">
        <v>45596</v>
      </c>
      <c r="F190" s="163" t="s">
        <v>1881</v>
      </c>
      <c r="G190" s="163" t="s">
        <v>1882</v>
      </c>
      <c r="H190" s="165">
        <v>0</v>
      </c>
      <c r="I190" s="164">
        <v>46066</v>
      </c>
      <c r="J190" s="163" t="s">
        <v>2116</v>
      </c>
    </row>
    <row r="191" spans="1:10" x14ac:dyDescent="0.2">
      <c r="A191" s="163">
        <v>21531</v>
      </c>
      <c r="B191" s="163" t="s">
        <v>1879</v>
      </c>
      <c r="C191" s="163" t="s">
        <v>1985</v>
      </c>
      <c r="D191" s="164">
        <v>43891</v>
      </c>
      <c r="E191" s="164">
        <v>46660</v>
      </c>
      <c r="F191" s="163" t="s">
        <v>1881</v>
      </c>
      <c r="G191" s="163" t="s">
        <v>1882</v>
      </c>
      <c r="H191" s="165">
        <v>341800.38</v>
      </c>
      <c r="I191" s="164">
        <v>46066</v>
      </c>
      <c r="J191" s="163" t="s">
        <v>1034</v>
      </c>
    </row>
    <row r="192" spans="1:10" x14ac:dyDescent="0.2">
      <c r="A192" s="163">
        <v>21530</v>
      </c>
      <c r="B192" s="163" t="s">
        <v>1888</v>
      </c>
      <c r="C192" s="163" t="s">
        <v>2117</v>
      </c>
      <c r="D192" s="164">
        <v>45464</v>
      </c>
      <c r="E192" s="164">
        <v>45657</v>
      </c>
      <c r="F192" s="163" t="s">
        <v>1881</v>
      </c>
      <c r="G192" s="163" t="s">
        <v>1882</v>
      </c>
      <c r="H192" s="165">
        <v>0</v>
      </c>
      <c r="I192" s="164">
        <v>46066</v>
      </c>
      <c r="J192" s="163" t="s">
        <v>2118</v>
      </c>
    </row>
    <row r="193" spans="1:10" x14ac:dyDescent="0.2">
      <c r="A193" s="163">
        <v>21529</v>
      </c>
      <c r="B193" s="163" t="s">
        <v>1879</v>
      </c>
      <c r="C193" s="163" t="s">
        <v>1985</v>
      </c>
      <c r="D193" s="164">
        <v>43891</v>
      </c>
      <c r="E193" s="164">
        <v>46660</v>
      </c>
      <c r="F193" s="163" t="s">
        <v>1881</v>
      </c>
      <c r="G193" s="163" t="s">
        <v>1882</v>
      </c>
      <c r="H193" s="165">
        <v>347271.22</v>
      </c>
      <c r="I193" s="164">
        <v>46066</v>
      </c>
      <c r="J193" s="163" t="s">
        <v>1136</v>
      </c>
    </row>
    <row r="194" spans="1:10" x14ac:dyDescent="0.2">
      <c r="A194" s="163">
        <v>21528</v>
      </c>
      <c r="B194" s="163" t="s">
        <v>2119</v>
      </c>
      <c r="C194" s="163" t="s">
        <v>2120</v>
      </c>
      <c r="D194" s="164">
        <v>45194</v>
      </c>
      <c r="E194" s="164">
        <v>45657</v>
      </c>
      <c r="F194" s="163" t="s">
        <v>1881</v>
      </c>
      <c r="G194" s="163" t="s">
        <v>1882</v>
      </c>
      <c r="H194" s="165">
        <v>0</v>
      </c>
      <c r="I194" s="164">
        <v>46066</v>
      </c>
      <c r="J194" s="163" t="s">
        <v>2121</v>
      </c>
    </row>
    <row r="195" spans="1:10" x14ac:dyDescent="0.2">
      <c r="A195" s="163">
        <v>21527</v>
      </c>
      <c r="B195" s="163" t="s">
        <v>1895</v>
      </c>
      <c r="C195" s="163" t="s">
        <v>825</v>
      </c>
      <c r="D195" s="164">
        <v>45658</v>
      </c>
      <c r="E195" s="164">
        <v>45659</v>
      </c>
      <c r="F195" s="163" t="s">
        <v>1881</v>
      </c>
      <c r="G195" s="163" t="s">
        <v>2043</v>
      </c>
      <c r="H195" s="165">
        <v>2635.39</v>
      </c>
      <c r="I195" s="164">
        <v>46066</v>
      </c>
      <c r="J195" s="163" t="s">
        <v>826</v>
      </c>
    </row>
    <row r="196" spans="1:10" x14ac:dyDescent="0.2">
      <c r="A196" s="163">
        <v>21526</v>
      </c>
      <c r="B196" s="163" t="s">
        <v>1891</v>
      </c>
      <c r="C196" s="163" t="s">
        <v>2122</v>
      </c>
      <c r="D196" s="164">
        <v>45667</v>
      </c>
      <c r="E196" s="164">
        <v>45961</v>
      </c>
      <c r="F196" s="163" t="s">
        <v>1881</v>
      </c>
      <c r="G196" s="163" t="s">
        <v>1882</v>
      </c>
      <c r="H196" s="165">
        <v>8174.8</v>
      </c>
      <c r="I196" s="164">
        <v>46066</v>
      </c>
      <c r="J196" s="163" t="s">
        <v>2123</v>
      </c>
    </row>
    <row r="197" spans="1:10" x14ac:dyDescent="0.2">
      <c r="A197" s="163">
        <v>21525</v>
      </c>
      <c r="B197" s="163" t="s">
        <v>2007</v>
      </c>
      <c r="C197" s="163" t="s">
        <v>2008</v>
      </c>
      <c r="D197" s="164">
        <v>42461</v>
      </c>
      <c r="E197" s="164">
        <v>46087</v>
      </c>
      <c r="F197" s="163" t="s">
        <v>1881</v>
      </c>
      <c r="G197" s="163" t="s">
        <v>1882</v>
      </c>
      <c r="H197" s="165">
        <v>0</v>
      </c>
      <c r="I197" s="164">
        <v>46066</v>
      </c>
      <c r="J197" s="163" t="s">
        <v>2124</v>
      </c>
    </row>
    <row r="198" spans="1:10" x14ac:dyDescent="0.2">
      <c r="A198" s="163">
        <v>21524</v>
      </c>
      <c r="B198" s="163" t="s">
        <v>1901</v>
      </c>
      <c r="C198" s="163" t="s">
        <v>2125</v>
      </c>
      <c r="D198" s="164">
        <v>43831</v>
      </c>
      <c r="E198" s="164">
        <v>45291</v>
      </c>
      <c r="F198" s="163" t="s">
        <v>1881</v>
      </c>
      <c r="G198" s="163" t="s">
        <v>1882</v>
      </c>
      <c r="H198" s="165">
        <v>0</v>
      </c>
      <c r="I198" s="164">
        <v>46066</v>
      </c>
      <c r="J198" s="163" t="s">
        <v>2126</v>
      </c>
    </row>
    <row r="199" spans="1:10" x14ac:dyDescent="0.2">
      <c r="A199" s="163">
        <v>21523</v>
      </c>
      <c r="B199" s="163" t="s">
        <v>1901</v>
      </c>
      <c r="C199" s="163" t="s">
        <v>2125</v>
      </c>
      <c r="D199" s="164">
        <v>43831</v>
      </c>
      <c r="E199" s="164">
        <v>45291</v>
      </c>
      <c r="F199" s="163" t="s">
        <v>1881</v>
      </c>
      <c r="G199" s="163" t="s">
        <v>1882</v>
      </c>
      <c r="H199" s="165">
        <v>0</v>
      </c>
      <c r="I199" s="164">
        <v>46066</v>
      </c>
      <c r="J199" s="163" t="s">
        <v>2127</v>
      </c>
    </row>
    <row r="200" spans="1:10" x14ac:dyDescent="0.2">
      <c r="A200" s="163">
        <v>21522</v>
      </c>
      <c r="B200" s="163" t="s">
        <v>1895</v>
      </c>
      <c r="C200" s="163" t="s">
        <v>2128</v>
      </c>
      <c r="D200" s="164">
        <v>45399</v>
      </c>
      <c r="E200" s="164">
        <v>46447</v>
      </c>
      <c r="F200" s="163" t="s">
        <v>1881</v>
      </c>
      <c r="G200" s="163" t="s">
        <v>1882</v>
      </c>
      <c r="H200" s="165">
        <v>0</v>
      </c>
      <c r="I200" s="164">
        <v>46066</v>
      </c>
      <c r="J200" s="163" t="s">
        <v>2129</v>
      </c>
    </row>
    <row r="201" spans="1:10" x14ac:dyDescent="0.2">
      <c r="A201" s="163">
        <v>21521</v>
      </c>
      <c r="B201" s="163" t="s">
        <v>2015</v>
      </c>
      <c r="C201" s="163" t="s">
        <v>407</v>
      </c>
      <c r="D201" s="164">
        <v>45658</v>
      </c>
      <c r="E201" s="164">
        <v>45659</v>
      </c>
      <c r="F201" s="163" t="s">
        <v>1881</v>
      </c>
      <c r="G201" s="163" t="s">
        <v>1882</v>
      </c>
      <c r="H201" s="165">
        <v>3468.35</v>
      </c>
      <c r="I201" s="164">
        <v>46066</v>
      </c>
      <c r="J201" s="163" t="s">
        <v>2130</v>
      </c>
    </row>
    <row r="202" spans="1:10" x14ac:dyDescent="0.2">
      <c r="A202" s="163">
        <v>21520</v>
      </c>
      <c r="B202" s="163" t="s">
        <v>2063</v>
      </c>
      <c r="C202" s="163" t="s">
        <v>2131</v>
      </c>
      <c r="D202" s="164">
        <v>45667</v>
      </c>
      <c r="E202" s="164">
        <v>45807</v>
      </c>
      <c r="F202" s="163" t="s">
        <v>1881</v>
      </c>
      <c r="G202" s="163" t="s">
        <v>1882</v>
      </c>
      <c r="H202" s="165">
        <v>0</v>
      </c>
      <c r="I202" s="164">
        <v>46066</v>
      </c>
      <c r="J202" s="163" t="s">
        <v>2132</v>
      </c>
    </row>
    <row r="203" spans="1:10" x14ac:dyDescent="0.2">
      <c r="A203" s="163">
        <v>21519</v>
      </c>
      <c r="B203" s="163" t="s">
        <v>2063</v>
      </c>
      <c r="C203" s="163" t="s">
        <v>2133</v>
      </c>
      <c r="D203" s="164">
        <v>45672</v>
      </c>
      <c r="E203" s="164">
        <v>45807</v>
      </c>
      <c r="F203" s="163" t="s">
        <v>1881</v>
      </c>
      <c r="G203" s="163" t="s">
        <v>1882</v>
      </c>
      <c r="H203" s="165">
        <v>0</v>
      </c>
      <c r="I203" s="164">
        <v>46066</v>
      </c>
      <c r="J203" s="163" t="s">
        <v>2134</v>
      </c>
    </row>
    <row r="204" spans="1:10" x14ac:dyDescent="0.2">
      <c r="A204" s="163">
        <v>21518</v>
      </c>
      <c r="B204" s="163" t="s">
        <v>1895</v>
      </c>
      <c r="C204" s="163" t="s">
        <v>2135</v>
      </c>
      <c r="D204" s="164">
        <v>45901</v>
      </c>
      <c r="E204" s="164">
        <v>46295</v>
      </c>
      <c r="F204" s="163" t="s">
        <v>1881</v>
      </c>
      <c r="G204" s="163" t="s">
        <v>1882</v>
      </c>
      <c r="H204" s="165">
        <v>29658.62</v>
      </c>
      <c r="I204" s="164">
        <v>46066</v>
      </c>
      <c r="J204" s="163" t="s">
        <v>841</v>
      </c>
    </row>
    <row r="205" spans="1:10" x14ac:dyDescent="0.2">
      <c r="A205" s="163">
        <v>21517</v>
      </c>
      <c r="B205" s="163" t="s">
        <v>2136</v>
      </c>
      <c r="C205" s="163" t="s">
        <v>1908</v>
      </c>
      <c r="D205" s="164">
        <v>44036</v>
      </c>
      <c r="E205" s="164">
        <v>46022</v>
      </c>
      <c r="F205" s="163" t="s">
        <v>1881</v>
      </c>
      <c r="G205" s="163" t="s">
        <v>1882</v>
      </c>
      <c r="H205" s="165">
        <v>2689</v>
      </c>
      <c r="I205" s="164">
        <v>46066</v>
      </c>
      <c r="J205" s="163" t="s">
        <v>2137</v>
      </c>
    </row>
    <row r="206" spans="1:10" x14ac:dyDescent="0.2">
      <c r="A206" s="163">
        <v>21516</v>
      </c>
      <c r="B206" s="163" t="s">
        <v>1889</v>
      </c>
      <c r="C206" s="163" t="s">
        <v>1968</v>
      </c>
      <c r="D206" s="164">
        <v>42302</v>
      </c>
      <c r="E206" s="164">
        <v>46320</v>
      </c>
      <c r="F206" s="163" t="s">
        <v>1881</v>
      </c>
      <c r="G206" s="163" t="s">
        <v>1882</v>
      </c>
      <c r="H206" s="165">
        <v>0</v>
      </c>
      <c r="I206" s="164">
        <v>46066</v>
      </c>
      <c r="J206" s="163" t="s">
        <v>2138</v>
      </c>
    </row>
    <row r="207" spans="1:10" x14ac:dyDescent="0.2">
      <c r="A207" s="163">
        <v>21515</v>
      </c>
      <c r="B207" s="163" t="s">
        <v>1889</v>
      </c>
      <c r="C207" s="163" t="s">
        <v>1968</v>
      </c>
      <c r="D207" s="164">
        <v>42302</v>
      </c>
      <c r="E207" s="164">
        <v>46320</v>
      </c>
      <c r="F207" s="163" t="s">
        <v>1881</v>
      </c>
      <c r="G207" s="163" t="s">
        <v>1882</v>
      </c>
      <c r="H207" s="165">
        <v>0</v>
      </c>
      <c r="I207" s="164">
        <v>46066</v>
      </c>
      <c r="J207" s="163" t="s">
        <v>2139</v>
      </c>
    </row>
    <row r="208" spans="1:10" x14ac:dyDescent="0.2">
      <c r="A208" s="163">
        <v>21514</v>
      </c>
      <c r="B208" s="163" t="s">
        <v>1892</v>
      </c>
      <c r="C208" s="163" t="s">
        <v>2140</v>
      </c>
      <c r="D208" s="164">
        <v>45632</v>
      </c>
      <c r="E208" s="164">
        <v>45874</v>
      </c>
      <c r="F208" s="163" t="s">
        <v>1881</v>
      </c>
      <c r="G208" s="163" t="s">
        <v>1882</v>
      </c>
      <c r="H208" s="165">
        <v>18177.66</v>
      </c>
      <c r="I208" s="164">
        <v>46066</v>
      </c>
      <c r="J208" s="163" t="s">
        <v>534</v>
      </c>
    </row>
    <row r="209" spans="1:10" x14ac:dyDescent="0.2">
      <c r="A209" s="163">
        <v>21513</v>
      </c>
      <c r="B209" s="163" t="s">
        <v>1879</v>
      </c>
      <c r="C209" s="163" t="s">
        <v>1985</v>
      </c>
      <c r="D209" s="164">
        <v>43891</v>
      </c>
      <c r="E209" s="164">
        <v>46660</v>
      </c>
      <c r="F209" s="163" t="s">
        <v>1881</v>
      </c>
      <c r="G209" s="163" t="s">
        <v>1882</v>
      </c>
      <c r="H209" s="165">
        <v>309889.15999999997</v>
      </c>
      <c r="I209" s="164">
        <v>46066</v>
      </c>
      <c r="J209" s="163" t="s">
        <v>753</v>
      </c>
    </row>
    <row r="210" spans="1:10" x14ac:dyDescent="0.2">
      <c r="A210" s="163">
        <v>21512</v>
      </c>
      <c r="B210" s="163" t="s">
        <v>1901</v>
      </c>
      <c r="C210" s="163" t="s">
        <v>2141</v>
      </c>
      <c r="D210" s="164">
        <v>44927</v>
      </c>
      <c r="E210" s="164">
        <v>46022</v>
      </c>
      <c r="F210" s="163" t="s">
        <v>1881</v>
      </c>
      <c r="G210" s="163" t="s">
        <v>1882</v>
      </c>
      <c r="H210" s="165">
        <v>0</v>
      </c>
      <c r="I210" s="164">
        <v>46066</v>
      </c>
      <c r="J210" s="163" t="s">
        <v>2142</v>
      </c>
    </row>
    <row r="211" spans="1:10" x14ac:dyDescent="0.2">
      <c r="A211" s="163">
        <v>21511</v>
      </c>
      <c r="B211" s="163" t="s">
        <v>2097</v>
      </c>
      <c r="C211" s="163" t="s">
        <v>1908</v>
      </c>
      <c r="D211" s="164">
        <v>44036</v>
      </c>
      <c r="E211" s="164">
        <v>46022</v>
      </c>
      <c r="F211" s="163" t="s">
        <v>1881</v>
      </c>
      <c r="G211" s="163" t="s">
        <v>1882</v>
      </c>
      <c r="H211" s="165">
        <v>1</v>
      </c>
      <c r="I211" s="164">
        <v>46066</v>
      </c>
      <c r="J211" s="163" t="s">
        <v>2143</v>
      </c>
    </row>
    <row r="212" spans="1:10" x14ac:dyDescent="0.2">
      <c r="A212" s="163">
        <v>21510</v>
      </c>
      <c r="B212" s="163" t="s">
        <v>1887</v>
      </c>
      <c r="C212" s="163" t="s">
        <v>2144</v>
      </c>
      <c r="D212" s="164">
        <v>45841</v>
      </c>
      <c r="E212" s="164">
        <v>46234</v>
      </c>
      <c r="F212" s="163" t="s">
        <v>1881</v>
      </c>
      <c r="G212" s="163" t="s">
        <v>1882</v>
      </c>
      <c r="H212" s="165">
        <v>164605.42000000001</v>
      </c>
      <c r="I212" s="164">
        <v>46066</v>
      </c>
      <c r="J212" s="163" t="s">
        <v>647</v>
      </c>
    </row>
    <row r="213" spans="1:10" x14ac:dyDescent="0.2">
      <c r="A213" s="163">
        <v>21509</v>
      </c>
      <c r="B213" s="163" t="s">
        <v>1895</v>
      </c>
      <c r="C213" s="163" t="s">
        <v>1055</v>
      </c>
      <c r="D213" s="164">
        <v>45658</v>
      </c>
      <c r="E213" s="164">
        <v>45659</v>
      </c>
      <c r="F213" s="163" t="s">
        <v>1881</v>
      </c>
      <c r="G213" s="163" t="s">
        <v>2043</v>
      </c>
      <c r="H213" s="165">
        <v>3860.16</v>
      </c>
      <c r="I213" s="164">
        <v>46066</v>
      </c>
      <c r="J213" s="163" t="s">
        <v>1091</v>
      </c>
    </row>
    <row r="214" spans="1:10" x14ac:dyDescent="0.2">
      <c r="A214" s="163">
        <v>21508</v>
      </c>
      <c r="B214" s="163" t="s">
        <v>2063</v>
      </c>
      <c r="C214" s="163" t="s">
        <v>1908</v>
      </c>
      <c r="D214" s="164">
        <v>44036</v>
      </c>
      <c r="E214" s="164">
        <v>46022</v>
      </c>
      <c r="F214" s="163" t="s">
        <v>1881</v>
      </c>
      <c r="G214" s="163" t="s">
        <v>1882</v>
      </c>
      <c r="H214" s="165">
        <v>0</v>
      </c>
      <c r="I214" s="164">
        <v>46066</v>
      </c>
      <c r="J214" s="163" t="s">
        <v>1093</v>
      </c>
    </row>
    <row r="215" spans="1:10" x14ac:dyDescent="0.2">
      <c r="A215" s="163">
        <v>21507</v>
      </c>
      <c r="B215" s="163" t="s">
        <v>1895</v>
      </c>
      <c r="C215" s="163" t="s">
        <v>777</v>
      </c>
      <c r="D215" s="164">
        <v>45658</v>
      </c>
      <c r="E215" s="164">
        <v>45659</v>
      </c>
      <c r="F215" s="163" t="s">
        <v>1881</v>
      </c>
      <c r="G215" s="163" t="s">
        <v>2043</v>
      </c>
      <c r="H215" s="165">
        <v>4222.57</v>
      </c>
      <c r="I215" s="164">
        <v>46066</v>
      </c>
      <c r="J215" s="163" t="s">
        <v>778</v>
      </c>
    </row>
    <row r="216" spans="1:10" x14ac:dyDescent="0.2">
      <c r="A216" s="163">
        <v>21506</v>
      </c>
      <c r="B216" s="163" t="s">
        <v>1889</v>
      </c>
      <c r="C216" s="163" t="s">
        <v>1054</v>
      </c>
      <c r="D216" s="164">
        <v>45658</v>
      </c>
      <c r="E216" s="164">
        <v>45659</v>
      </c>
      <c r="F216" s="163" t="s">
        <v>1881</v>
      </c>
      <c r="G216" s="163" t="s">
        <v>2043</v>
      </c>
      <c r="H216" s="165">
        <v>10691</v>
      </c>
      <c r="I216" s="164">
        <v>46066</v>
      </c>
      <c r="J216" s="163" t="s">
        <v>2145</v>
      </c>
    </row>
    <row r="217" spans="1:10" x14ac:dyDescent="0.2">
      <c r="A217" s="163">
        <v>21505</v>
      </c>
      <c r="B217" s="163" t="s">
        <v>2097</v>
      </c>
      <c r="C217" s="163" t="s">
        <v>2146</v>
      </c>
      <c r="D217" s="164">
        <v>45658</v>
      </c>
      <c r="E217" s="164">
        <v>45659</v>
      </c>
      <c r="F217" s="163" t="s">
        <v>1881</v>
      </c>
      <c r="G217" s="163" t="s">
        <v>1882</v>
      </c>
      <c r="H217" s="165">
        <v>1</v>
      </c>
      <c r="I217" s="164">
        <v>46066</v>
      </c>
      <c r="J217" s="163" t="s">
        <v>2147</v>
      </c>
    </row>
    <row r="218" spans="1:10" x14ac:dyDescent="0.2">
      <c r="A218" s="163">
        <v>21504</v>
      </c>
      <c r="B218" s="163" t="s">
        <v>2148</v>
      </c>
      <c r="C218" s="163" t="s">
        <v>1908</v>
      </c>
      <c r="D218" s="164">
        <v>44036</v>
      </c>
      <c r="E218" s="164">
        <v>46022</v>
      </c>
      <c r="F218" s="163" t="s">
        <v>1881</v>
      </c>
      <c r="G218" s="163" t="s">
        <v>1882</v>
      </c>
      <c r="H218" s="165">
        <v>0</v>
      </c>
      <c r="I218" s="164">
        <v>46066</v>
      </c>
      <c r="J218" s="163" t="s">
        <v>2149</v>
      </c>
    </row>
    <row r="219" spans="1:10" x14ac:dyDescent="0.2">
      <c r="A219" s="163">
        <v>21503</v>
      </c>
      <c r="B219" s="163" t="s">
        <v>1895</v>
      </c>
      <c r="C219" s="163" t="s">
        <v>765</v>
      </c>
      <c r="D219" s="164">
        <v>45658</v>
      </c>
      <c r="E219" s="164">
        <v>45659</v>
      </c>
      <c r="F219" s="163" t="s">
        <v>1881</v>
      </c>
      <c r="G219" s="163" t="s">
        <v>2043</v>
      </c>
      <c r="H219" s="165">
        <v>23548.23</v>
      </c>
      <c r="I219" s="164">
        <v>46066</v>
      </c>
      <c r="J219" s="163" t="s">
        <v>2150</v>
      </c>
    </row>
    <row r="220" spans="1:10" x14ac:dyDescent="0.2">
      <c r="A220" s="163">
        <v>21502</v>
      </c>
      <c r="B220" s="163" t="s">
        <v>1895</v>
      </c>
      <c r="C220" s="163" t="s">
        <v>997</v>
      </c>
      <c r="D220" s="164">
        <v>45658</v>
      </c>
      <c r="E220" s="164">
        <v>45659</v>
      </c>
      <c r="F220" s="163" t="s">
        <v>1881</v>
      </c>
      <c r="G220" s="163" t="s">
        <v>2043</v>
      </c>
      <c r="H220" s="165">
        <v>2.69</v>
      </c>
      <c r="I220" s="164">
        <v>46066</v>
      </c>
      <c r="J220" s="163" t="s">
        <v>998</v>
      </c>
    </row>
    <row r="221" spans="1:10" x14ac:dyDescent="0.2">
      <c r="A221" s="163">
        <v>21501</v>
      </c>
      <c r="B221" s="163" t="s">
        <v>2151</v>
      </c>
      <c r="C221" s="163" t="s">
        <v>902</v>
      </c>
      <c r="D221" s="164">
        <v>45658</v>
      </c>
      <c r="E221" s="164">
        <v>45659</v>
      </c>
      <c r="F221" s="163" t="s">
        <v>1881</v>
      </c>
      <c r="G221" s="163" t="s">
        <v>2043</v>
      </c>
      <c r="H221" s="165">
        <v>3238.55</v>
      </c>
      <c r="I221" s="164">
        <v>46066</v>
      </c>
      <c r="J221" s="163" t="s">
        <v>999</v>
      </c>
    </row>
    <row r="222" spans="1:10" x14ac:dyDescent="0.2">
      <c r="A222" s="163">
        <v>21500</v>
      </c>
      <c r="B222" s="163" t="s">
        <v>1895</v>
      </c>
      <c r="C222" s="163" t="s">
        <v>1010</v>
      </c>
      <c r="D222" s="164">
        <v>45658</v>
      </c>
      <c r="E222" s="164">
        <v>45659</v>
      </c>
      <c r="F222" s="163" t="s">
        <v>1881</v>
      </c>
      <c r="G222" s="163" t="s">
        <v>2043</v>
      </c>
      <c r="H222" s="165">
        <v>13672.92</v>
      </c>
      <c r="I222" s="164">
        <v>46066</v>
      </c>
      <c r="J222" s="163" t="s">
        <v>1011</v>
      </c>
    </row>
    <row r="223" spans="1:10" x14ac:dyDescent="0.2">
      <c r="A223" s="163">
        <v>21499</v>
      </c>
      <c r="B223" s="163" t="s">
        <v>2152</v>
      </c>
      <c r="C223" s="163" t="s">
        <v>2153</v>
      </c>
      <c r="D223" s="164">
        <v>45323</v>
      </c>
      <c r="E223" s="164">
        <v>47483</v>
      </c>
      <c r="F223" s="163" t="s">
        <v>1881</v>
      </c>
      <c r="G223" s="163" t="s">
        <v>1882</v>
      </c>
      <c r="H223" s="165">
        <v>0</v>
      </c>
      <c r="I223" s="164">
        <v>46066</v>
      </c>
      <c r="J223" s="163" t="s">
        <v>2154</v>
      </c>
    </row>
    <row r="224" spans="1:10" x14ac:dyDescent="0.2">
      <c r="A224" s="163">
        <v>21498</v>
      </c>
      <c r="B224" s="163" t="s">
        <v>1905</v>
      </c>
      <c r="C224" s="163" t="s">
        <v>1906</v>
      </c>
      <c r="D224" s="164">
        <v>43944</v>
      </c>
      <c r="E224" s="164">
        <v>46568</v>
      </c>
      <c r="F224" s="163" t="s">
        <v>1881</v>
      </c>
      <c r="G224" s="163" t="s">
        <v>1882</v>
      </c>
      <c r="H224" s="165">
        <v>33571.800000000003</v>
      </c>
      <c r="I224" s="164">
        <v>46066</v>
      </c>
      <c r="J224" s="163" t="s">
        <v>648</v>
      </c>
    </row>
    <row r="225" spans="1:10" x14ac:dyDescent="0.2">
      <c r="A225" s="163">
        <v>21497</v>
      </c>
      <c r="B225" s="163" t="s">
        <v>1901</v>
      </c>
      <c r="C225" s="163" t="s">
        <v>1493</v>
      </c>
      <c r="D225" s="164">
        <v>45658</v>
      </c>
      <c r="E225" s="164">
        <v>45659</v>
      </c>
      <c r="F225" s="163" t="s">
        <v>1881</v>
      </c>
      <c r="G225" s="163" t="s">
        <v>1882</v>
      </c>
      <c r="H225" s="165">
        <v>8445.9500000000007</v>
      </c>
      <c r="I225" s="164">
        <v>46066</v>
      </c>
      <c r="J225" s="163" t="s">
        <v>2155</v>
      </c>
    </row>
    <row r="226" spans="1:10" x14ac:dyDescent="0.2">
      <c r="A226" s="163">
        <v>21496</v>
      </c>
      <c r="B226" s="163" t="s">
        <v>1918</v>
      </c>
      <c r="C226" s="163" t="s">
        <v>788</v>
      </c>
      <c r="D226" s="164">
        <v>45658</v>
      </c>
      <c r="E226" s="164">
        <v>45659</v>
      </c>
      <c r="F226" s="163" t="s">
        <v>1881</v>
      </c>
      <c r="G226" s="163" t="s">
        <v>2043</v>
      </c>
      <c r="H226" s="165">
        <v>68008.149999999994</v>
      </c>
      <c r="I226" s="164">
        <v>46066</v>
      </c>
      <c r="J226" s="163" t="s">
        <v>2156</v>
      </c>
    </row>
    <row r="227" spans="1:10" x14ac:dyDescent="0.2">
      <c r="A227" s="163">
        <v>21495</v>
      </c>
      <c r="B227" s="163" t="s">
        <v>1888</v>
      </c>
      <c r="C227" s="163" t="s">
        <v>2005</v>
      </c>
      <c r="D227" s="164">
        <v>42668</v>
      </c>
      <c r="E227" s="164">
        <v>45596</v>
      </c>
      <c r="F227" s="163" t="s">
        <v>1881</v>
      </c>
      <c r="G227" s="163" t="s">
        <v>1882</v>
      </c>
      <c r="H227" s="165">
        <v>0</v>
      </c>
      <c r="I227" s="164">
        <v>46066</v>
      </c>
      <c r="J227" s="163" t="s">
        <v>2157</v>
      </c>
    </row>
    <row r="228" spans="1:10" x14ac:dyDescent="0.2">
      <c r="A228" s="163">
        <v>21494</v>
      </c>
      <c r="B228" s="163" t="s">
        <v>2097</v>
      </c>
      <c r="C228" s="163" t="s">
        <v>2098</v>
      </c>
      <c r="D228" s="164">
        <v>45614</v>
      </c>
      <c r="E228" s="164">
        <v>46203</v>
      </c>
      <c r="F228" s="163" t="s">
        <v>1881</v>
      </c>
      <c r="G228" s="163" t="s">
        <v>1882</v>
      </c>
      <c r="H228" s="165">
        <v>28573.45</v>
      </c>
      <c r="I228" s="164">
        <v>46066</v>
      </c>
      <c r="J228" s="163" t="s">
        <v>664</v>
      </c>
    </row>
    <row r="229" spans="1:10" x14ac:dyDescent="0.2">
      <c r="A229" s="163">
        <v>21493</v>
      </c>
      <c r="B229" s="163" t="s">
        <v>1889</v>
      </c>
      <c r="C229" s="163" t="s">
        <v>1106</v>
      </c>
      <c r="D229" s="164">
        <v>45658</v>
      </c>
      <c r="E229" s="164">
        <v>45659</v>
      </c>
      <c r="F229" s="163" t="s">
        <v>1881</v>
      </c>
      <c r="G229" s="163" t="s">
        <v>1882</v>
      </c>
      <c r="H229" s="165">
        <v>144028.5</v>
      </c>
      <c r="I229" s="164">
        <v>46066</v>
      </c>
      <c r="J229" s="163" t="s">
        <v>1107</v>
      </c>
    </row>
    <row r="230" spans="1:10" x14ac:dyDescent="0.2">
      <c r="A230" s="163">
        <v>21492</v>
      </c>
      <c r="B230" s="163" t="s">
        <v>1918</v>
      </c>
      <c r="C230" s="163" t="s">
        <v>1862</v>
      </c>
      <c r="D230" s="164">
        <v>45658</v>
      </c>
      <c r="E230" s="164">
        <v>45659</v>
      </c>
      <c r="F230" s="163" t="s">
        <v>1881</v>
      </c>
      <c r="G230" s="163" t="s">
        <v>2043</v>
      </c>
      <c r="H230" s="165">
        <v>67238</v>
      </c>
      <c r="I230" s="164">
        <v>46066</v>
      </c>
      <c r="J230" s="163" t="s">
        <v>2158</v>
      </c>
    </row>
    <row r="231" spans="1:10" x14ac:dyDescent="0.2">
      <c r="A231" s="163">
        <v>21491</v>
      </c>
      <c r="B231" s="163" t="s">
        <v>1905</v>
      </c>
      <c r="C231" s="163" t="s">
        <v>1906</v>
      </c>
      <c r="D231" s="164">
        <v>43944</v>
      </c>
      <c r="E231" s="164">
        <v>46568</v>
      </c>
      <c r="F231" s="163" t="s">
        <v>1881</v>
      </c>
      <c r="G231" s="163" t="s">
        <v>1882</v>
      </c>
      <c r="H231" s="165">
        <v>25867.45</v>
      </c>
      <c r="I231" s="164">
        <v>46066</v>
      </c>
      <c r="J231" s="163" t="s">
        <v>800</v>
      </c>
    </row>
    <row r="232" spans="1:10" x14ac:dyDescent="0.2">
      <c r="A232" s="163">
        <v>21490</v>
      </c>
      <c r="B232" s="163" t="s">
        <v>1893</v>
      </c>
      <c r="C232" s="163" t="s">
        <v>2159</v>
      </c>
      <c r="D232" s="164">
        <v>42368</v>
      </c>
      <c r="E232" s="164">
        <v>46203</v>
      </c>
      <c r="F232" s="163" t="s">
        <v>1881</v>
      </c>
      <c r="G232" s="163" t="s">
        <v>1882</v>
      </c>
      <c r="H232" s="165">
        <v>3198.15</v>
      </c>
      <c r="I232" s="164">
        <v>46066</v>
      </c>
      <c r="J232" s="163" t="s">
        <v>2160</v>
      </c>
    </row>
    <row r="233" spans="1:10" x14ac:dyDescent="0.2">
      <c r="A233" s="163">
        <v>21489</v>
      </c>
      <c r="B233" s="163" t="s">
        <v>1888</v>
      </c>
      <c r="C233" s="163" t="s">
        <v>2005</v>
      </c>
      <c r="D233" s="164">
        <v>42668</v>
      </c>
      <c r="E233" s="164">
        <v>45596</v>
      </c>
      <c r="F233" s="163" t="s">
        <v>1881</v>
      </c>
      <c r="G233" s="163" t="s">
        <v>1882</v>
      </c>
      <c r="H233" s="165">
        <v>0</v>
      </c>
      <c r="I233" s="164">
        <v>46066</v>
      </c>
      <c r="J233" s="163" t="s">
        <v>2161</v>
      </c>
    </row>
    <row r="234" spans="1:10" x14ac:dyDescent="0.2">
      <c r="A234" s="163">
        <v>21488</v>
      </c>
      <c r="B234" s="163" t="s">
        <v>1892</v>
      </c>
      <c r="C234" s="163" t="s">
        <v>2162</v>
      </c>
      <c r="D234" s="164">
        <v>45369</v>
      </c>
      <c r="E234" s="164">
        <v>45565</v>
      </c>
      <c r="F234" s="163" t="s">
        <v>1881</v>
      </c>
      <c r="G234" s="163" t="s">
        <v>1882</v>
      </c>
      <c r="H234" s="165">
        <v>10952.88</v>
      </c>
      <c r="I234" s="164">
        <v>46066</v>
      </c>
      <c r="J234" s="163" t="s">
        <v>2163</v>
      </c>
    </row>
    <row r="235" spans="1:10" x14ac:dyDescent="0.2">
      <c r="A235" s="163">
        <v>21487</v>
      </c>
      <c r="B235" s="163" t="s">
        <v>2107</v>
      </c>
      <c r="C235" s="163" t="s">
        <v>1908</v>
      </c>
      <c r="D235" s="164">
        <v>44036</v>
      </c>
      <c r="E235" s="164">
        <v>46022</v>
      </c>
      <c r="F235" s="163" t="s">
        <v>1881</v>
      </c>
      <c r="G235" s="163" t="s">
        <v>1882</v>
      </c>
      <c r="H235" s="165">
        <v>0</v>
      </c>
      <c r="I235" s="164">
        <v>46066</v>
      </c>
      <c r="J235" s="163" t="s">
        <v>2164</v>
      </c>
    </row>
    <row r="236" spans="1:10" x14ac:dyDescent="0.2">
      <c r="A236" s="163">
        <v>21486</v>
      </c>
      <c r="B236" s="163" t="s">
        <v>1895</v>
      </c>
      <c r="C236" s="163" t="s">
        <v>2135</v>
      </c>
      <c r="D236" s="164">
        <v>45901</v>
      </c>
      <c r="E236" s="164">
        <v>46295</v>
      </c>
      <c r="F236" s="163" t="s">
        <v>1881</v>
      </c>
      <c r="G236" s="163" t="s">
        <v>1882</v>
      </c>
      <c r="H236" s="165">
        <v>27648.02</v>
      </c>
      <c r="I236" s="164">
        <v>46066</v>
      </c>
      <c r="J236" s="163" t="s">
        <v>824</v>
      </c>
    </row>
    <row r="237" spans="1:10" x14ac:dyDescent="0.2">
      <c r="A237" s="163">
        <v>21485</v>
      </c>
      <c r="B237" s="163" t="s">
        <v>1879</v>
      </c>
      <c r="C237" s="163" t="s">
        <v>1985</v>
      </c>
      <c r="D237" s="164">
        <v>43891</v>
      </c>
      <c r="E237" s="164">
        <v>46660</v>
      </c>
      <c r="F237" s="163" t="s">
        <v>1881</v>
      </c>
      <c r="G237" s="163" t="s">
        <v>1882</v>
      </c>
      <c r="H237" s="165">
        <v>0</v>
      </c>
      <c r="I237" s="164">
        <v>46066</v>
      </c>
      <c r="J237" s="163" t="s">
        <v>2165</v>
      </c>
    </row>
    <row r="238" spans="1:10" x14ac:dyDescent="0.2">
      <c r="A238" s="163">
        <v>21484</v>
      </c>
      <c r="B238" s="163" t="s">
        <v>2166</v>
      </c>
      <c r="C238" s="163" t="s">
        <v>2167</v>
      </c>
      <c r="D238" s="164">
        <v>45770</v>
      </c>
      <c r="E238" s="164">
        <v>47596</v>
      </c>
      <c r="F238" s="163" t="s">
        <v>1881</v>
      </c>
      <c r="G238" s="163" t="s">
        <v>1882</v>
      </c>
      <c r="H238" s="165">
        <v>4859.2299999999996</v>
      </c>
      <c r="I238" s="164">
        <v>46066</v>
      </c>
      <c r="J238" s="163" t="s">
        <v>2168</v>
      </c>
    </row>
    <row r="239" spans="1:10" x14ac:dyDescent="0.2">
      <c r="A239" s="163">
        <v>21483</v>
      </c>
      <c r="B239" s="163" t="s">
        <v>2001</v>
      </c>
      <c r="C239" s="163" t="s">
        <v>2086</v>
      </c>
      <c r="D239" s="164">
        <v>45849</v>
      </c>
      <c r="E239" s="164">
        <v>46022</v>
      </c>
      <c r="F239" s="163" t="s">
        <v>1881</v>
      </c>
      <c r="G239" s="163" t="s">
        <v>2043</v>
      </c>
      <c r="H239" s="165">
        <v>2850</v>
      </c>
      <c r="I239" s="164">
        <v>46066</v>
      </c>
      <c r="J239" s="163" t="s">
        <v>744</v>
      </c>
    </row>
    <row r="240" spans="1:10" x14ac:dyDescent="0.2">
      <c r="A240" s="163">
        <v>21482</v>
      </c>
      <c r="B240" s="163" t="s">
        <v>2169</v>
      </c>
      <c r="C240" s="163" t="s">
        <v>1908</v>
      </c>
      <c r="D240" s="164">
        <v>44036</v>
      </c>
      <c r="E240" s="164">
        <v>46022</v>
      </c>
      <c r="F240" s="163" t="s">
        <v>1881</v>
      </c>
      <c r="G240" s="163" t="s">
        <v>1882</v>
      </c>
      <c r="H240" s="165">
        <v>0</v>
      </c>
      <c r="I240" s="164">
        <v>46066</v>
      </c>
      <c r="J240" s="163" t="s">
        <v>2170</v>
      </c>
    </row>
    <row r="241" spans="1:10" x14ac:dyDescent="0.2">
      <c r="A241" s="163">
        <v>21481</v>
      </c>
      <c r="B241" s="163" t="s">
        <v>1895</v>
      </c>
      <c r="C241" s="163" t="s">
        <v>1996</v>
      </c>
      <c r="D241" s="164">
        <v>42339</v>
      </c>
      <c r="E241" s="164">
        <v>45504</v>
      </c>
      <c r="F241" s="163" t="s">
        <v>1881</v>
      </c>
      <c r="G241" s="163" t="s">
        <v>1882</v>
      </c>
      <c r="H241" s="165">
        <v>0</v>
      </c>
      <c r="I241" s="164">
        <v>46066</v>
      </c>
      <c r="J241" s="163" t="s">
        <v>2171</v>
      </c>
    </row>
    <row r="242" spans="1:10" x14ac:dyDescent="0.2">
      <c r="A242" s="163">
        <v>21480</v>
      </c>
      <c r="B242" s="163" t="s">
        <v>1890</v>
      </c>
      <c r="C242" s="163" t="s">
        <v>2072</v>
      </c>
      <c r="D242" s="164">
        <v>45782</v>
      </c>
      <c r="E242" s="164">
        <v>46142</v>
      </c>
      <c r="F242" s="163" t="s">
        <v>1881</v>
      </c>
      <c r="G242" s="163" t="s">
        <v>1882</v>
      </c>
      <c r="H242" s="165">
        <v>0</v>
      </c>
      <c r="I242" s="164">
        <v>46066</v>
      </c>
      <c r="J242" s="163" t="s">
        <v>2172</v>
      </c>
    </row>
    <row r="243" spans="1:10" x14ac:dyDescent="0.2">
      <c r="A243" s="163">
        <v>21479</v>
      </c>
      <c r="B243" s="163" t="s">
        <v>2001</v>
      </c>
      <c r="C243" s="163" t="s">
        <v>2173</v>
      </c>
      <c r="D243" s="164">
        <v>45658</v>
      </c>
      <c r="E243" s="164">
        <v>45659</v>
      </c>
      <c r="F243" s="163" t="s">
        <v>1881</v>
      </c>
      <c r="G243" s="163" t="s">
        <v>1882</v>
      </c>
      <c r="H243" s="165">
        <v>0</v>
      </c>
      <c r="I243" s="164">
        <v>46066</v>
      </c>
      <c r="J243" s="163" t="s">
        <v>2174</v>
      </c>
    </row>
    <row r="244" spans="1:10" x14ac:dyDescent="0.2">
      <c r="A244" s="163">
        <v>21478</v>
      </c>
      <c r="B244" s="163" t="s">
        <v>1905</v>
      </c>
      <c r="C244" s="163" t="s">
        <v>1906</v>
      </c>
      <c r="D244" s="164">
        <v>43944</v>
      </c>
      <c r="E244" s="164">
        <v>46568</v>
      </c>
      <c r="F244" s="163" t="s">
        <v>1881</v>
      </c>
      <c r="G244" s="163" t="s">
        <v>1882</v>
      </c>
      <c r="H244" s="165">
        <v>33563</v>
      </c>
      <c r="I244" s="164">
        <v>46066</v>
      </c>
      <c r="J244" s="163" t="s">
        <v>2175</v>
      </c>
    </row>
    <row r="245" spans="1:10" x14ac:dyDescent="0.2">
      <c r="A245" s="163">
        <v>21477</v>
      </c>
      <c r="B245" s="163" t="s">
        <v>1886</v>
      </c>
      <c r="C245" s="163" t="s">
        <v>1979</v>
      </c>
      <c r="D245" s="164">
        <v>45257</v>
      </c>
      <c r="E245" s="164">
        <v>46349</v>
      </c>
      <c r="F245" s="163" t="s">
        <v>1881</v>
      </c>
      <c r="G245" s="163" t="s">
        <v>1882</v>
      </c>
      <c r="H245" s="165">
        <v>2525</v>
      </c>
      <c r="I245" s="164">
        <v>46066</v>
      </c>
      <c r="J245" s="163" t="s">
        <v>2176</v>
      </c>
    </row>
    <row r="246" spans="1:10" x14ac:dyDescent="0.2">
      <c r="A246" s="163">
        <v>21476</v>
      </c>
      <c r="B246" s="163" t="s">
        <v>1895</v>
      </c>
      <c r="C246" s="163" t="s">
        <v>484</v>
      </c>
      <c r="D246" s="164">
        <v>45658</v>
      </c>
      <c r="E246" s="164">
        <v>45659</v>
      </c>
      <c r="F246" s="163" t="s">
        <v>1881</v>
      </c>
      <c r="G246" s="163" t="s">
        <v>1882</v>
      </c>
      <c r="H246" s="165">
        <v>0</v>
      </c>
      <c r="I246" s="164">
        <v>46066</v>
      </c>
      <c r="J246" s="163" t="s">
        <v>2177</v>
      </c>
    </row>
    <row r="247" spans="1:10" x14ac:dyDescent="0.2">
      <c r="A247" s="163">
        <v>21475</v>
      </c>
      <c r="B247" s="163" t="s">
        <v>2178</v>
      </c>
      <c r="C247" s="163" t="s">
        <v>1908</v>
      </c>
      <c r="D247" s="164">
        <v>44036</v>
      </c>
      <c r="E247" s="164">
        <v>46022</v>
      </c>
      <c r="F247" s="163" t="s">
        <v>1881</v>
      </c>
      <c r="G247" s="163" t="s">
        <v>1882</v>
      </c>
      <c r="H247" s="165">
        <v>0</v>
      </c>
      <c r="I247" s="164">
        <v>46066</v>
      </c>
      <c r="J247" s="163" t="s">
        <v>2179</v>
      </c>
    </row>
    <row r="248" spans="1:10" x14ac:dyDescent="0.2">
      <c r="A248" s="163">
        <v>21474</v>
      </c>
      <c r="B248" s="163" t="s">
        <v>1889</v>
      </c>
      <c r="C248" s="163" t="s">
        <v>2180</v>
      </c>
      <c r="D248" s="164">
        <v>45658</v>
      </c>
      <c r="E248" s="164">
        <v>45659</v>
      </c>
      <c r="F248" s="163" t="s">
        <v>1881</v>
      </c>
      <c r="G248" s="163" t="s">
        <v>2043</v>
      </c>
      <c r="H248" s="165">
        <v>2405</v>
      </c>
      <c r="I248" s="164">
        <v>46066</v>
      </c>
      <c r="J248" s="163" t="s">
        <v>2181</v>
      </c>
    </row>
    <row r="249" spans="1:10" x14ac:dyDescent="0.2">
      <c r="A249" s="163">
        <v>21473</v>
      </c>
      <c r="B249" s="163" t="s">
        <v>1887</v>
      </c>
      <c r="C249" s="163" t="s">
        <v>1008</v>
      </c>
      <c r="D249" s="164">
        <v>45658</v>
      </c>
      <c r="E249" s="164">
        <v>45659</v>
      </c>
      <c r="F249" s="163" t="s">
        <v>1881</v>
      </c>
      <c r="G249" s="163" t="s">
        <v>1882</v>
      </c>
      <c r="H249" s="165">
        <v>49946.32</v>
      </c>
      <c r="I249" s="164">
        <v>46066</v>
      </c>
      <c r="J249" s="163" t="s">
        <v>2182</v>
      </c>
    </row>
    <row r="250" spans="1:10" x14ac:dyDescent="0.2">
      <c r="A250" s="163">
        <v>21472</v>
      </c>
      <c r="B250" s="163" t="s">
        <v>1892</v>
      </c>
      <c r="C250" s="163" t="s">
        <v>2183</v>
      </c>
      <c r="D250" s="164">
        <v>45169</v>
      </c>
      <c r="E250" s="164">
        <v>45470</v>
      </c>
      <c r="F250" s="163" t="s">
        <v>1881</v>
      </c>
      <c r="G250" s="163" t="s">
        <v>1882</v>
      </c>
      <c r="H250" s="165">
        <v>0</v>
      </c>
      <c r="I250" s="164">
        <v>46066</v>
      </c>
      <c r="J250" s="163" t="s">
        <v>2184</v>
      </c>
    </row>
    <row r="251" spans="1:10" x14ac:dyDescent="0.2">
      <c r="A251" s="163">
        <v>21471</v>
      </c>
      <c r="B251" s="163" t="s">
        <v>1905</v>
      </c>
      <c r="C251" s="163" t="s">
        <v>1906</v>
      </c>
      <c r="D251" s="164">
        <v>43944</v>
      </c>
      <c r="E251" s="164">
        <v>46568</v>
      </c>
      <c r="F251" s="163" t="s">
        <v>1881</v>
      </c>
      <c r="G251" s="163" t="s">
        <v>1882</v>
      </c>
      <c r="H251" s="165">
        <v>24001.3</v>
      </c>
      <c r="I251" s="164">
        <v>46066</v>
      </c>
      <c r="J251" s="163" t="s">
        <v>970</v>
      </c>
    </row>
    <row r="252" spans="1:10" x14ac:dyDescent="0.2">
      <c r="A252" s="163">
        <v>21470</v>
      </c>
      <c r="B252" s="163" t="s">
        <v>1895</v>
      </c>
      <c r="C252" s="163" t="s">
        <v>1262</v>
      </c>
      <c r="D252" s="164">
        <v>45658</v>
      </c>
      <c r="E252" s="164">
        <v>45659</v>
      </c>
      <c r="F252" s="163" t="s">
        <v>1881</v>
      </c>
      <c r="G252" s="163" t="s">
        <v>2043</v>
      </c>
      <c r="H252" s="165">
        <v>8438.14</v>
      </c>
      <c r="I252" s="164">
        <v>46066</v>
      </c>
      <c r="J252" s="163" t="s">
        <v>2185</v>
      </c>
    </row>
    <row r="253" spans="1:10" x14ac:dyDescent="0.2">
      <c r="A253" s="163">
        <v>21469</v>
      </c>
      <c r="B253" s="163" t="s">
        <v>1905</v>
      </c>
      <c r="C253" s="163" t="s">
        <v>1906</v>
      </c>
      <c r="D253" s="164">
        <v>43944</v>
      </c>
      <c r="E253" s="164">
        <v>46568</v>
      </c>
      <c r="F253" s="163" t="s">
        <v>1881</v>
      </c>
      <c r="G253" s="163" t="s">
        <v>1882</v>
      </c>
      <c r="H253" s="165">
        <v>21181.66</v>
      </c>
      <c r="I253" s="164">
        <v>46066</v>
      </c>
      <c r="J253" s="163" t="s">
        <v>2186</v>
      </c>
    </row>
    <row r="254" spans="1:10" x14ac:dyDescent="0.2">
      <c r="A254" s="163">
        <v>21468</v>
      </c>
      <c r="B254" s="163" t="s">
        <v>1901</v>
      </c>
      <c r="C254" s="163" t="s">
        <v>2187</v>
      </c>
      <c r="D254" s="164">
        <v>45658</v>
      </c>
      <c r="E254" s="164">
        <v>45659</v>
      </c>
      <c r="F254" s="163" t="s">
        <v>1881</v>
      </c>
      <c r="G254" s="163" t="s">
        <v>1882</v>
      </c>
      <c r="H254" s="165">
        <v>0</v>
      </c>
      <c r="I254" s="164">
        <v>46066</v>
      </c>
      <c r="J254" s="163" t="s">
        <v>2188</v>
      </c>
    </row>
    <row r="255" spans="1:10" x14ac:dyDescent="0.2">
      <c r="A255" s="163">
        <v>21467</v>
      </c>
      <c r="B255" s="163" t="s">
        <v>1886</v>
      </c>
      <c r="C255" s="163" t="s">
        <v>1979</v>
      </c>
      <c r="D255" s="164">
        <v>45257</v>
      </c>
      <c r="E255" s="164">
        <v>46349</v>
      </c>
      <c r="F255" s="163" t="s">
        <v>1881</v>
      </c>
      <c r="G255" s="163" t="s">
        <v>1882</v>
      </c>
      <c r="H255" s="165">
        <v>651</v>
      </c>
      <c r="I255" s="164">
        <v>46066</v>
      </c>
      <c r="J255" s="163" t="s">
        <v>2189</v>
      </c>
    </row>
    <row r="256" spans="1:10" x14ac:dyDescent="0.2">
      <c r="A256" s="163">
        <v>21466</v>
      </c>
      <c r="B256" s="163" t="s">
        <v>1901</v>
      </c>
      <c r="C256" s="163" t="s">
        <v>2190</v>
      </c>
      <c r="D256" s="164">
        <v>45658</v>
      </c>
      <c r="E256" s="164">
        <v>45659</v>
      </c>
      <c r="F256" s="163" t="s">
        <v>1881</v>
      </c>
      <c r="G256" s="163" t="s">
        <v>1882</v>
      </c>
      <c r="H256" s="165">
        <v>0</v>
      </c>
      <c r="I256" s="164">
        <v>46066</v>
      </c>
      <c r="J256" s="163" t="s">
        <v>2191</v>
      </c>
    </row>
    <row r="257" spans="1:10" x14ac:dyDescent="0.2">
      <c r="A257" s="163">
        <v>21465</v>
      </c>
      <c r="B257" s="163" t="s">
        <v>2192</v>
      </c>
      <c r="C257" s="163" t="s">
        <v>2193</v>
      </c>
      <c r="D257" s="164">
        <v>45761</v>
      </c>
      <c r="E257" s="164">
        <v>45986</v>
      </c>
      <c r="F257" s="163" t="s">
        <v>1881</v>
      </c>
      <c r="G257" s="163" t="s">
        <v>1882</v>
      </c>
      <c r="H257" s="165">
        <v>26219.5</v>
      </c>
      <c r="I257" s="164">
        <v>46066</v>
      </c>
      <c r="J257" s="163" t="s">
        <v>2194</v>
      </c>
    </row>
    <row r="258" spans="1:10" x14ac:dyDescent="0.2">
      <c r="A258" s="163">
        <v>21464</v>
      </c>
      <c r="B258" s="163" t="s">
        <v>1901</v>
      </c>
      <c r="C258" s="163" t="s">
        <v>2195</v>
      </c>
      <c r="D258" s="164">
        <v>45658</v>
      </c>
      <c r="E258" s="164">
        <v>45659</v>
      </c>
      <c r="F258" s="163" t="s">
        <v>1881</v>
      </c>
      <c r="G258" s="163" t="s">
        <v>1882</v>
      </c>
      <c r="H258" s="165">
        <v>0</v>
      </c>
      <c r="I258" s="164">
        <v>46066</v>
      </c>
      <c r="J258" s="163" t="s">
        <v>2196</v>
      </c>
    </row>
    <row r="259" spans="1:10" x14ac:dyDescent="0.2">
      <c r="A259" s="163">
        <v>21463</v>
      </c>
      <c r="B259" s="163" t="s">
        <v>2197</v>
      </c>
      <c r="C259" s="163" t="s">
        <v>99</v>
      </c>
      <c r="D259" s="164">
        <v>45658</v>
      </c>
      <c r="E259" s="164">
        <v>45659</v>
      </c>
      <c r="F259" s="163" t="s">
        <v>1881</v>
      </c>
      <c r="G259" s="163" t="s">
        <v>2043</v>
      </c>
      <c r="H259" s="165">
        <v>2634</v>
      </c>
      <c r="I259" s="164">
        <v>46066</v>
      </c>
      <c r="J259" s="163" t="s">
        <v>2198</v>
      </c>
    </row>
    <row r="260" spans="1:10" x14ac:dyDescent="0.2">
      <c r="A260" s="163">
        <v>21462</v>
      </c>
      <c r="B260" s="163" t="s">
        <v>1895</v>
      </c>
      <c r="C260" s="163" t="s">
        <v>644</v>
      </c>
      <c r="D260" s="164">
        <v>45658</v>
      </c>
      <c r="E260" s="164">
        <v>45659</v>
      </c>
      <c r="F260" s="163" t="s">
        <v>1881</v>
      </c>
      <c r="G260" s="163" t="s">
        <v>2043</v>
      </c>
      <c r="H260" s="165">
        <v>3550.07</v>
      </c>
      <c r="I260" s="164">
        <v>46066</v>
      </c>
      <c r="J260" s="163" t="s">
        <v>645</v>
      </c>
    </row>
    <row r="261" spans="1:10" x14ac:dyDescent="0.2">
      <c r="A261" s="163">
        <v>21461</v>
      </c>
      <c r="B261" s="163" t="s">
        <v>1886</v>
      </c>
      <c r="C261" s="163" t="s">
        <v>1979</v>
      </c>
      <c r="D261" s="164">
        <v>45257</v>
      </c>
      <c r="E261" s="164">
        <v>46349</v>
      </c>
      <c r="F261" s="163" t="s">
        <v>1881</v>
      </c>
      <c r="G261" s="163" t="s">
        <v>1882</v>
      </c>
      <c r="H261" s="165">
        <v>0</v>
      </c>
      <c r="I261" s="164">
        <v>46066</v>
      </c>
      <c r="J261" s="163" t="s">
        <v>2199</v>
      </c>
    </row>
    <row r="262" spans="1:10" x14ac:dyDescent="0.2">
      <c r="A262" s="163">
        <v>21460</v>
      </c>
      <c r="B262" s="163" t="s">
        <v>1895</v>
      </c>
      <c r="C262" s="163" t="s">
        <v>821</v>
      </c>
      <c r="D262" s="164">
        <v>45658</v>
      </c>
      <c r="E262" s="164">
        <v>45659</v>
      </c>
      <c r="F262" s="163" t="s">
        <v>1881</v>
      </c>
      <c r="G262" s="163" t="s">
        <v>1882</v>
      </c>
      <c r="H262" s="165">
        <v>3351.66</v>
      </c>
      <c r="I262" s="164">
        <v>46066</v>
      </c>
      <c r="J262" s="163" t="s">
        <v>822</v>
      </c>
    </row>
    <row r="263" spans="1:10" x14ac:dyDescent="0.2">
      <c r="A263" s="163">
        <v>21459</v>
      </c>
      <c r="B263" s="163" t="s">
        <v>1895</v>
      </c>
      <c r="C263" s="163" t="s">
        <v>1258</v>
      </c>
      <c r="D263" s="164">
        <v>45658</v>
      </c>
      <c r="E263" s="164">
        <v>45659</v>
      </c>
      <c r="F263" s="163" t="s">
        <v>1881</v>
      </c>
      <c r="G263" s="163" t="s">
        <v>2043</v>
      </c>
      <c r="H263" s="165">
        <v>4406.99</v>
      </c>
      <c r="I263" s="164">
        <v>46066</v>
      </c>
      <c r="J263" s="163" t="s">
        <v>2200</v>
      </c>
    </row>
    <row r="264" spans="1:10" x14ac:dyDescent="0.2">
      <c r="A264" s="163">
        <v>21458</v>
      </c>
      <c r="B264" s="163" t="s">
        <v>1905</v>
      </c>
      <c r="C264" s="163" t="s">
        <v>1906</v>
      </c>
      <c r="D264" s="164">
        <v>43944</v>
      </c>
      <c r="E264" s="164">
        <v>46568</v>
      </c>
      <c r="F264" s="163" t="s">
        <v>1881</v>
      </c>
      <c r="G264" s="163" t="s">
        <v>1882</v>
      </c>
      <c r="H264" s="165">
        <v>25618.05</v>
      </c>
      <c r="I264" s="164">
        <v>46066</v>
      </c>
      <c r="J264" s="163" t="s">
        <v>682</v>
      </c>
    </row>
    <row r="265" spans="1:10" x14ac:dyDescent="0.2">
      <c r="A265" s="163">
        <v>21457</v>
      </c>
      <c r="B265" s="163" t="s">
        <v>2007</v>
      </c>
      <c r="C265" s="163" t="s">
        <v>2008</v>
      </c>
      <c r="D265" s="164">
        <v>42461</v>
      </c>
      <c r="E265" s="164">
        <v>46087</v>
      </c>
      <c r="F265" s="163" t="s">
        <v>1881</v>
      </c>
      <c r="G265" s="163" t="s">
        <v>1882</v>
      </c>
      <c r="H265" s="165">
        <v>0</v>
      </c>
      <c r="I265" s="164">
        <v>46066</v>
      </c>
      <c r="J265" s="163" t="s">
        <v>2201</v>
      </c>
    </row>
    <row r="266" spans="1:10" x14ac:dyDescent="0.2">
      <c r="A266" s="163">
        <v>21456</v>
      </c>
      <c r="B266" s="163" t="s">
        <v>1886</v>
      </c>
      <c r="C266" s="163" t="s">
        <v>1979</v>
      </c>
      <c r="D266" s="164">
        <v>45257</v>
      </c>
      <c r="E266" s="164">
        <v>46349</v>
      </c>
      <c r="F266" s="163" t="s">
        <v>1881</v>
      </c>
      <c r="G266" s="163" t="s">
        <v>1882</v>
      </c>
      <c r="H266" s="165">
        <v>3075</v>
      </c>
      <c r="I266" s="164">
        <v>46066</v>
      </c>
      <c r="J266" s="163" t="s">
        <v>2202</v>
      </c>
    </row>
    <row r="267" spans="1:10" x14ac:dyDescent="0.2">
      <c r="A267" s="163">
        <v>21455</v>
      </c>
      <c r="B267" s="163" t="s">
        <v>1895</v>
      </c>
      <c r="C267" s="163" t="s">
        <v>618</v>
      </c>
      <c r="D267" s="164">
        <v>45658</v>
      </c>
      <c r="E267" s="164">
        <v>45659</v>
      </c>
      <c r="F267" s="163" t="s">
        <v>1881</v>
      </c>
      <c r="G267" s="163" t="s">
        <v>2043</v>
      </c>
      <c r="H267" s="165">
        <v>43075.65</v>
      </c>
      <c r="I267" s="164">
        <v>46066</v>
      </c>
      <c r="J267" s="163" t="s">
        <v>2203</v>
      </c>
    </row>
    <row r="268" spans="1:10" x14ac:dyDescent="0.2">
      <c r="A268" s="163">
        <v>21454</v>
      </c>
      <c r="B268" s="163" t="s">
        <v>1901</v>
      </c>
      <c r="C268" s="163" t="s">
        <v>798</v>
      </c>
      <c r="D268" s="164">
        <v>45658</v>
      </c>
      <c r="E268" s="164">
        <v>45659</v>
      </c>
      <c r="F268" s="163" t="s">
        <v>1881</v>
      </c>
      <c r="G268" s="163" t="s">
        <v>1882</v>
      </c>
      <c r="H268" s="165">
        <v>1858.91</v>
      </c>
      <c r="I268" s="164">
        <v>46066</v>
      </c>
      <c r="J268" s="163" t="s">
        <v>2204</v>
      </c>
    </row>
    <row r="269" spans="1:10" x14ac:dyDescent="0.2">
      <c r="A269" s="163">
        <v>21453</v>
      </c>
      <c r="B269" s="163" t="s">
        <v>2205</v>
      </c>
      <c r="C269" s="163" t="s">
        <v>2206</v>
      </c>
      <c r="D269" s="164">
        <v>43466</v>
      </c>
      <c r="E269" s="164">
        <v>46752</v>
      </c>
      <c r="F269" s="163" t="s">
        <v>1881</v>
      </c>
      <c r="G269" s="163" t="s">
        <v>1882</v>
      </c>
      <c r="H269" s="165">
        <v>6904.1</v>
      </c>
      <c r="I269" s="164">
        <v>46066</v>
      </c>
      <c r="J269" s="163" t="s">
        <v>1131</v>
      </c>
    </row>
    <row r="270" spans="1:10" x14ac:dyDescent="0.2">
      <c r="A270" s="163">
        <v>21452</v>
      </c>
      <c r="B270" s="163" t="s">
        <v>1918</v>
      </c>
      <c r="C270" s="163" t="s">
        <v>2207</v>
      </c>
      <c r="D270" s="164">
        <v>45658</v>
      </c>
      <c r="E270" s="164">
        <v>45659</v>
      </c>
      <c r="F270" s="163" t="s">
        <v>1881</v>
      </c>
      <c r="G270" s="163" t="s">
        <v>1882</v>
      </c>
      <c r="H270" s="165">
        <v>0</v>
      </c>
      <c r="I270" s="164">
        <v>46066</v>
      </c>
      <c r="J270" s="163" t="s">
        <v>2208</v>
      </c>
    </row>
    <row r="271" spans="1:10" x14ac:dyDescent="0.2">
      <c r="A271" s="163">
        <v>21451</v>
      </c>
      <c r="B271" s="163" t="s">
        <v>2015</v>
      </c>
      <c r="C271" s="163" t="s">
        <v>583</v>
      </c>
      <c r="D271" s="164">
        <v>45658</v>
      </c>
      <c r="E271" s="164">
        <v>45659</v>
      </c>
      <c r="F271" s="163" t="s">
        <v>1881</v>
      </c>
      <c r="G271" s="163" t="s">
        <v>1882</v>
      </c>
      <c r="H271" s="165">
        <v>0</v>
      </c>
      <c r="I271" s="164">
        <v>46066</v>
      </c>
      <c r="J271" s="163" t="s">
        <v>2209</v>
      </c>
    </row>
    <row r="272" spans="1:10" x14ac:dyDescent="0.2">
      <c r="A272" s="163">
        <v>21450</v>
      </c>
      <c r="B272" s="163" t="s">
        <v>1890</v>
      </c>
      <c r="C272" s="163" t="s">
        <v>2072</v>
      </c>
      <c r="D272" s="164">
        <v>45782</v>
      </c>
      <c r="E272" s="164">
        <v>46142</v>
      </c>
      <c r="F272" s="163" t="s">
        <v>1881</v>
      </c>
      <c r="G272" s="163" t="s">
        <v>1882</v>
      </c>
      <c r="H272" s="165">
        <v>1762.35</v>
      </c>
      <c r="I272" s="164">
        <v>46066</v>
      </c>
      <c r="J272" s="163" t="s">
        <v>2210</v>
      </c>
    </row>
    <row r="273" spans="1:10" x14ac:dyDescent="0.2">
      <c r="A273" s="163">
        <v>21449</v>
      </c>
      <c r="B273" s="163" t="s">
        <v>2015</v>
      </c>
      <c r="C273" s="163" t="s">
        <v>2211</v>
      </c>
      <c r="D273" s="164">
        <v>45658</v>
      </c>
      <c r="E273" s="164">
        <v>45659</v>
      </c>
      <c r="F273" s="163" t="s">
        <v>1881</v>
      </c>
      <c r="G273" s="163" t="s">
        <v>1882</v>
      </c>
      <c r="H273" s="165">
        <v>0</v>
      </c>
      <c r="I273" s="164">
        <v>46066</v>
      </c>
      <c r="J273" s="163" t="s">
        <v>2212</v>
      </c>
    </row>
    <row r="274" spans="1:10" x14ac:dyDescent="0.2">
      <c r="A274" s="163">
        <v>21448</v>
      </c>
      <c r="B274" s="163" t="s">
        <v>1905</v>
      </c>
      <c r="C274" s="163" t="s">
        <v>1906</v>
      </c>
      <c r="D274" s="164">
        <v>43944</v>
      </c>
      <c r="E274" s="164">
        <v>46568</v>
      </c>
      <c r="F274" s="163" t="s">
        <v>1881</v>
      </c>
      <c r="G274" s="163" t="s">
        <v>1882</v>
      </c>
      <c r="H274" s="165">
        <v>0</v>
      </c>
      <c r="I274" s="164">
        <v>46066</v>
      </c>
      <c r="J274" s="163" t="s">
        <v>2213</v>
      </c>
    </row>
    <row r="275" spans="1:10" x14ac:dyDescent="0.2">
      <c r="A275" s="163">
        <v>21447</v>
      </c>
      <c r="B275" s="163" t="s">
        <v>1887</v>
      </c>
      <c r="C275" s="163" t="s">
        <v>1978</v>
      </c>
      <c r="D275" s="164">
        <v>44995</v>
      </c>
      <c r="E275" s="164">
        <v>46090</v>
      </c>
      <c r="F275" s="163" t="s">
        <v>1881</v>
      </c>
      <c r="G275" s="163" t="s">
        <v>1882</v>
      </c>
      <c r="H275" s="165">
        <v>30007.95</v>
      </c>
      <c r="I275" s="164">
        <v>46066</v>
      </c>
      <c r="J275" s="163" t="s">
        <v>2214</v>
      </c>
    </row>
    <row r="276" spans="1:10" x14ac:dyDescent="0.2">
      <c r="A276" s="163">
        <v>21446</v>
      </c>
      <c r="B276" s="163" t="s">
        <v>1886</v>
      </c>
      <c r="C276" s="163" t="s">
        <v>1979</v>
      </c>
      <c r="D276" s="164">
        <v>45257</v>
      </c>
      <c r="E276" s="164">
        <v>46349</v>
      </c>
      <c r="F276" s="163" t="s">
        <v>1881</v>
      </c>
      <c r="G276" s="163" t="s">
        <v>1882</v>
      </c>
      <c r="H276" s="165">
        <v>0</v>
      </c>
      <c r="I276" s="164">
        <v>46066</v>
      </c>
      <c r="J276" s="163" t="s">
        <v>2215</v>
      </c>
    </row>
    <row r="277" spans="1:10" x14ac:dyDescent="0.2">
      <c r="A277" s="163">
        <v>21445</v>
      </c>
      <c r="B277" s="163" t="s">
        <v>2216</v>
      </c>
      <c r="C277" s="163" t="s">
        <v>2217</v>
      </c>
      <c r="D277" s="164">
        <v>45658</v>
      </c>
      <c r="E277" s="164">
        <v>45659</v>
      </c>
      <c r="F277" s="163" t="s">
        <v>1881</v>
      </c>
      <c r="G277" s="163" t="s">
        <v>1882</v>
      </c>
      <c r="H277" s="165">
        <v>0</v>
      </c>
      <c r="I277" s="164">
        <v>46066</v>
      </c>
      <c r="J277" s="163" t="s">
        <v>2218</v>
      </c>
    </row>
    <row r="278" spans="1:10" x14ac:dyDescent="0.2">
      <c r="A278" s="163">
        <v>21444</v>
      </c>
      <c r="B278" s="163" t="s">
        <v>1889</v>
      </c>
      <c r="C278" s="163" t="s">
        <v>1968</v>
      </c>
      <c r="D278" s="164">
        <v>42302</v>
      </c>
      <c r="E278" s="164">
        <v>46320</v>
      </c>
      <c r="F278" s="163" t="s">
        <v>1881</v>
      </c>
      <c r="G278" s="163" t="s">
        <v>2043</v>
      </c>
      <c r="H278" s="165">
        <v>47076</v>
      </c>
      <c r="I278" s="164">
        <v>46066</v>
      </c>
      <c r="J278" s="163" t="s">
        <v>2219</v>
      </c>
    </row>
    <row r="279" spans="1:10" x14ac:dyDescent="0.2">
      <c r="A279" s="163">
        <v>21443</v>
      </c>
      <c r="B279" s="163" t="s">
        <v>1885</v>
      </c>
      <c r="C279" s="163" t="s">
        <v>2029</v>
      </c>
      <c r="D279" s="164">
        <v>45436</v>
      </c>
      <c r="E279" s="164">
        <v>45657</v>
      </c>
      <c r="F279" s="163" t="s">
        <v>1881</v>
      </c>
      <c r="G279" s="163" t="s">
        <v>1882</v>
      </c>
      <c r="H279" s="165">
        <v>0</v>
      </c>
      <c r="I279" s="164">
        <v>46066</v>
      </c>
      <c r="J279" s="163" t="s">
        <v>2220</v>
      </c>
    </row>
    <row r="280" spans="1:10" x14ac:dyDescent="0.2">
      <c r="A280" s="163">
        <v>21442</v>
      </c>
      <c r="B280" s="163" t="s">
        <v>1887</v>
      </c>
      <c r="C280" s="163" t="s">
        <v>1978</v>
      </c>
      <c r="D280" s="164">
        <v>44995</v>
      </c>
      <c r="E280" s="164">
        <v>46090</v>
      </c>
      <c r="F280" s="163" t="s">
        <v>1881</v>
      </c>
      <c r="G280" s="163" t="s">
        <v>1882</v>
      </c>
      <c r="H280" s="165">
        <v>0</v>
      </c>
      <c r="I280" s="164">
        <v>46066</v>
      </c>
      <c r="J280" s="163" t="s">
        <v>2221</v>
      </c>
    </row>
    <row r="281" spans="1:10" x14ac:dyDescent="0.2">
      <c r="A281" s="163">
        <v>21441</v>
      </c>
      <c r="B281" s="163" t="s">
        <v>2222</v>
      </c>
      <c r="C281" s="163" t="s">
        <v>2223</v>
      </c>
      <c r="D281" s="164">
        <v>45658</v>
      </c>
      <c r="E281" s="164">
        <v>45659</v>
      </c>
      <c r="F281" s="163" t="s">
        <v>1881</v>
      </c>
      <c r="G281" s="163" t="s">
        <v>1882</v>
      </c>
      <c r="H281" s="165">
        <v>0</v>
      </c>
      <c r="I281" s="164">
        <v>46066</v>
      </c>
      <c r="J281" s="163" t="s">
        <v>2224</v>
      </c>
    </row>
    <row r="282" spans="1:10" x14ac:dyDescent="0.2">
      <c r="A282" s="163">
        <v>21440</v>
      </c>
      <c r="B282" s="163" t="s">
        <v>1890</v>
      </c>
      <c r="C282" s="163" t="s">
        <v>2072</v>
      </c>
      <c r="D282" s="164">
        <v>45782</v>
      </c>
      <c r="E282" s="164">
        <v>46142</v>
      </c>
      <c r="F282" s="163" t="s">
        <v>1881</v>
      </c>
      <c r="G282" s="163" t="s">
        <v>1882</v>
      </c>
      <c r="H282" s="165">
        <v>1310</v>
      </c>
      <c r="I282" s="164">
        <v>46066</v>
      </c>
      <c r="J282" s="163" t="s">
        <v>931</v>
      </c>
    </row>
    <row r="283" spans="1:10" x14ac:dyDescent="0.2">
      <c r="A283" s="163">
        <v>21439</v>
      </c>
      <c r="B283" s="163" t="s">
        <v>1886</v>
      </c>
      <c r="C283" s="163" t="s">
        <v>1979</v>
      </c>
      <c r="D283" s="164">
        <v>45257</v>
      </c>
      <c r="E283" s="164">
        <v>46349</v>
      </c>
      <c r="F283" s="163" t="s">
        <v>1881</v>
      </c>
      <c r="G283" s="163" t="s">
        <v>1882</v>
      </c>
      <c r="H283" s="165">
        <v>0</v>
      </c>
      <c r="I283" s="164">
        <v>46066</v>
      </c>
      <c r="J283" s="163" t="s">
        <v>2225</v>
      </c>
    </row>
    <row r="284" spans="1:10" x14ac:dyDescent="0.2">
      <c r="A284" s="163">
        <v>21438</v>
      </c>
      <c r="B284" s="163" t="s">
        <v>2169</v>
      </c>
      <c r="C284" s="163" t="s">
        <v>1908</v>
      </c>
      <c r="D284" s="164">
        <v>44036</v>
      </c>
      <c r="E284" s="164">
        <v>46022</v>
      </c>
      <c r="F284" s="163" t="s">
        <v>1881</v>
      </c>
      <c r="G284" s="163" t="s">
        <v>1882</v>
      </c>
      <c r="H284" s="165">
        <v>0</v>
      </c>
      <c r="I284" s="164">
        <v>46066</v>
      </c>
      <c r="J284" s="163" t="s">
        <v>2226</v>
      </c>
    </row>
    <row r="285" spans="1:10" x14ac:dyDescent="0.2">
      <c r="A285" s="163">
        <v>21437</v>
      </c>
      <c r="B285" s="163" t="s">
        <v>2152</v>
      </c>
      <c r="C285" s="163" t="s">
        <v>2227</v>
      </c>
      <c r="D285" s="164">
        <v>45293</v>
      </c>
      <c r="E285" s="164">
        <v>45382</v>
      </c>
      <c r="F285" s="163" t="s">
        <v>1881</v>
      </c>
      <c r="G285" s="163" t="s">
        <v>1882</v>
      </c>
      <c r="H285" s="165">
        <v>0</v>
      </c>
      <c r="I285" s="164">
        <v>46066</v>
      </c>
      <c r="J285" s="163" t="s">
        <v>2228</v>
      </c>
    </row>
    <row r="286" spans="1:10" x14ac:dyDescent="0.2">
      <c r="A286" s="163">
        <v>21436</v>
      </c>
      <c r="B286" s="163" t="s">
        <v>1886</v>
      </c>
      <c r="C286" s="163" t="s">
        <v>1979</v>
      </c>
      <c r="D286" s="164">
        <v>45257</v>
      </c>
      <c r="E286" s="164">
        <v>46349</v>
      </c>
      <c r="F286" s="163" t="s">
        <v>1881</v>
      </c>
      <c r="G286" s="163" t="s">
        <v>1882</v>
      </c>
      <c r="H286" s="165">
        <v>0</v>
      </c>
      <c r="I286" s="164">
        <v>46066</v>
      </c>
      <c r="J286" s="163" t="s">
        <v>2229</v>
      </c>
    </row>
    <row r="287" spans="1:10" x14ac:dyDescent="0.2">
      <c r="A287" s="163">
        <v>21435</v>
      </c>
      <c r="B287" s="163" t="s">
        <v>1879</v>
      </c>
      <c r="C287" s="163" t="s">
        <v>1985</v>
      </c>
      <c r="D287" s="164">
        <v>43891</v>
      </c>
      <c r="E287" s="164">
        <v>46660</v>
      </c>
      <c r="F287" s="163" t="s">
        <v>1881</v>
      </c>
      <c r="G287" s="163" t="s">
        <v>1882</v>
      </c>
      <c r="H287" s="165">
        <v>0</v>
      </c>
      <c r="I287" s="164">
        <v>46066</v>
      </c>
      <c r="J287" s="163" t="s">
        <v>2230</v>
      </c>
    </row>
    <row r="288" spans="1:10" x14ac:dyDescent="0.2">
      <c r="A288" s="163">
        <v>21434</v>
      </c>
      <c r="B288" s="163" t="s">
        <v>2231</v>
      </c>
      <c r="C288" s="163" t="s">
        <v>2232</v>
      </c>
      <c r="D288" s="164">
        <v>45243</v>
      </c>
      <c r="E288" s="164">
        <v>45351</v>
      </c>
      <c r="F288" s="163" t="s">
        <v>1881</v>
      </c>
      <c r="G288" s="163" t="s">
        <v>1882</v>
      </c>
      <c r="H288" s="165">
        <v>0</v>
      </c>
      <c r="I288" s="164">
        <v>46066</v>
      </c>
      <c r="J288" s="163" t="s">
        <v>2233</v>
      </c>
    </row>
    <row r="289" spans="1:10" x14ac:dyDescent="0.2">
      <c r="A289" s="163">
        <v>21433</v>
      </c>
      <c r="B289" s="163" t="s">
        <v>1910</v>
      </c>
      <c r="C289" s="163" t="s">
        <v>2234</v>
      </c>
      <c r="D289" s="164">
        <v>45828</v>
      </c>
      <c r="E289" s="164">
        <v>45873</v>
      </c>
      <c r="F289" s="163" t="s">
        <v>1881</v>
      </c>
      <c r="G289" s="163" t="s">
        <v>1882</v>
      </c>
      <c r="H289" s="165">
        <v>39251.050000000003</v>
      </c>
      <c r="I289" s="164">
        <v>46066</v>
      </c>
      <c r="J289" s="163" t="s">
        <v>2235</v>
      </c>
    </row>
    <row r="290" spans="1:10" x14ac:dyDescent="0.2">
      <c r="A290" s="163">
        <v>21432</v>
      </c>
      <c r="B290" s="163" t="s">
        <v>1895</v>
      </c>
      <c r="C290" s="163" t="s">
        <v>811</v>
      </c>
      <c r="D290" s="164">
        <v>45658</v>
      </c>
      <c r="E290" s="164">
        <v>45659</v>
      </c>
      <c r="F290" s="163" t="s">
        <v>1881</v>
      </c>
      <c r="G290" s="163" t="s">
        <v>2043</v>
      </c>
      <c r="H290" s="165">
        <v>33133.089999999997</v>
      </c>
      <c r="I290" s="164">
        <v>46066</v>
      </c>
      <c r="J290" s="163" t="s">
        <v>812</v>
      </c>
    </row>
    <row r="291" spans="1:10" x14ac:dyDescent="0.2">
      <c r="A291" s="163">
        <v>21431</v>
      </c>
      <c r="B291" s="163" t="s">
        <v>2236</v>
      </c>
      <c r="C291" s="163" t="s">
        <v>2237</v>
      </c>
      <c r="D291" s="164">
        <v>45583</v>
      </c>
      <c r="E291" s="164">
        <v>46022</v>
      </c>
      <c r="F291" s="163" t="s">
        <v>1881</v>
      </c>
      <c r="G291" s="163" t="s">
        <v>1882</v>
      </c>
      <c r="H291" s="165">
        <v>3074.1</v>
      </c>
      <c r="I291" s="164">
        <v>46066</v>
      </c>
      <c r="J291" s="163" t="s">
        <v>2238</v>
      </c>
    </row>
    <row r="292" spans="1:10" x14ac:dyDescent="0.2">
      <c r="A292" s="163">
        <v>21430</v>
      </c>
      <c r="B292" s="163" t="s">
        <v>1886</v>
      </c>
      <c r="C292" s="163" t="s">
        <v>1979</v>
      </c>
      <c r="D292" s="164">
        <v>45257</v>
      </c>
      <c r="E292" s="164">
        <v>46349</v>
      </c>
      <c r="F292" s="163" t="s">
        <v>1881</v>
      </c>
      <c r="G292" s="163" t="s">
        <v>1882</v>
      </c>
      <c r="H292" s="165">
        <v>0</v>
      </c>
      <c r="I292" s="164">
        <v>46066</v>
      </c>
      <c r="J292" s="163" t="s">
        <v>2239</v>
      </c>
    </row>
    <row r="293" spans="1:10" x14ac:dyDescent="0.2">
      <c r="A293" s="163">
        <v>21429</v>
      </c>
      <c r="B293" s="163" t="s">
        <v>1887</v>
      </c>
      <c r="C293" s="163" t="s">
        <v>1978</v>
      </c>
      <c r="D293" s="164">
        <v>44995</v>
      </c>
      <c r="E293" s="164">
        <v>46090</v>
      </c>
      <c r="F293" s="163" t="s">
        <v>1881</v>
      </c>
      <c r="G293" s="163" t="s">
        <v>1882</v>
      </c>
      <c r="H293" s="165">
        <v>53073.37</v>
      </c>
      <c r="I293" s="164">
        <v>46066</v>
      </c>
      <c r="J293" s="163" t="s">
        <v>2240</v>
      </c>
    </row>
    <row r="294" spans="1:10" x14ac:dyDescent="0.2">
      <c r="A294" s="163">
        <v>21428</v>
      </c>
      <c r="B294" s="163" t="s">
        <v>1879</v>
      </c>
      <c r="C294" s="163" t="s">
        <v>1985</v>
      </c>
      <c r="D294" s="164">
        <v>43891</v>
      </c>
      <c r="E294" s="164">
        <v>46660</v>
      </c>
      <c r="F294" s="163" t="s">
        <v>1881</v>
      </c>
      <c r="G294" s="163" t="s">
        <v>1882</v>
      </c>
      <c r="H294" s="165">
        <v>0</v>
      </c>
      <c r="I294" s="164">
        <v>46066</v>
      </c>
      <c r="J294" s="163" t="s">
        <v>2241</v>
      </c>
    </row>
    <row r="295" spans="1:10" x14ac:dyDescent="0.2">
      <c r="A295" s="163">
        <v>21427</v>
      </c>
      <c r="B295" s="163" t="s">
        <v>1891</v>
      </c>
      <c r="C295" s="163" t="s">
        <v>2242</v>
      </c>
      <c r="D295" s="164">
        <v>45257</v>
      </c>
      <c r="E295" s="164">
        <v>45351</v>
      </c>
      <c r="F295" s="163" t="s">
        <v>1881</v>
      </c>
      <c r="G295" s="163" t="s">
        <v>1882</v>
      </c>
      <c r="H295" s="165">
        <v>0</v>
      </c>
      <c r="I295" s="164">
        <v>46066</v>
      </c>
      <c r="J295" s="163" t="s">
        <v>2243</v>
      </c>
    </row>
    <row r="296" spans="1:10" x14ac:dyDescent="0.2">
      <c r="A296" s="163">
        <v>21426</v>
      </c>
      <c r="B296" s="163" t="s">
        <v>1886</v>
      </c>
      <c r="C296" s="163" t="s">
        <v>1979</v>
      </c>
      <c r="D296" s="164">
        <v>45257</v>
      </c>
      <c r="E296" s="164">
        <v>46349</v>
      </c>
      <c r="F296" s="163" t="s">
        <v>1881</v>
      </c>
      <c r="G296" s="163" t="s">
        <v>1882</v>
      </c>
      <c r="H296" s="165">
        <v>0</v>
      </c>
      <c r="I296" s="164">
        <v>46066</v>
      </c>
      <c r="J296" s="163" t="s">
        <v>2244</v>
      </c>
    </row>
    <row r="297" spans="1:10" x14ac:dyDescent="0.2">
      <c r="A297" s="163">
        <v>21425</v>
      </c>
      <c r="B297" s="163" t="s">
        <v>1887</v>
      </c>
      <c r="C297" s="163" t="s">
        <v>1978</v>
      </c>
      <c r="D297" s="164">
        <v>44995</v>
      </c>
      <c r="E297" s="164">
        <v>46090</v>
      </c>
      <c r="F297" s="163" t="s">
        <v>1881</v>
      </c>
      <c r="G297" s="163" t="s">
        <v>1882</v>
      </c>
      <c r="H297" s="165">
        <v>0</v>
      </c>
      <c r="I297" s="164">
        <v>46066</v>
      </c>
      <c r="J297" s="163" t="s">
        <v>2245</v>
      </c>
    </row>
    <row r="298" spans="1:10" x14ac:dyDescent="0.2">
      <c r="A298" s="163">
        <v>21424</v>
      </c>
      <c r="B298" s="163" t="s">
        <v>1927</v>
      </c>
      <c r="C298" s="163" t="s">
        <v>677</v>
      </c>
      <c r="D298" s="164">
        <v>45658</v>
      </c>
      <c r="E298" s="164">
        <v>45659</v>
      </c>
      <c r="F298" s="163" t="s">
        <v>1881</v>
      </c>
      <c r="G298" s="163" t="s">
        <v>1882</v>
      </c>
      <c r="H298" s="165">
        <v>101</v>
      </c>
      <c r="I298" s="164">
        <v>46066</v>
      </c>
      <c r="J298" s="163" t="s">
        <v>678</v>
      </c>
    </row>
    <row r="299" spans="1:10" x14ac:dyDescent="0.2">
      <c r="A299" s="163">
        <v>21423</v>
      </c>
      <c r="B299" s="163" t="s">
        <v>2112</v>
      </c>
      <c r="C299" s="163" t="s">
        <v>1908</v>
      </c>
      <c r="D299" s="164">
        <v>44036</v>
      </c>
      <c r="E299" s="164">
        <v>46022</v>
      </c>
      <c r="F299" s="163" t="s">
        <v>1881</v>
      </c>
      <c r="G299" s="163" t="s">
        <v>1882</v>
      </c>
      <c r="H299" s="165">
        <v>0</v>
      </c>
      <c r="I299" s="164">
        <v>46066</v>
      </c>
      <c r="J299" s="163" t="s">
        <v>2246</v>
      </c>
    </row>
    <row r="300" spans="1:10" x14ac:dyDescent="0.2">
      <c r="A300" s="163">
        <v>21422</v>
      </c>
      <c r="B300" s="163" t="s">
        <v>1901</v>
      </c>
      <c r="C300" s="163" t="s">
        <v>1509</v>
      </c>
      <c r="D300" s="164">
        <v>45658</v>
      </c>
      <c r="E300" s="164">
        <v>45659</v>
      </c>
      <c r="F300" s="163" t="s">
        <v>1881</v>
      </c>
      <c r="G300" s="163" t="s">
        <v>2043</v>
      </c>
      <c r="H300" s="165">
        <v>5584.38</v>
      </c>
      <c r="I300" s="164">
        <v>46066</v>
      </c>
      <c r="J300" s="163" t="s">
        <v>2247</v>
      </c>
    </row>
    <row r="301" spans="1:10" x14ac:dyDescent="0.2">
      <c r="A301" s="163">
        <v>21421</v>
      </c>
      <c r="B301" s="163" t="s">
        <v>2248</v>
      </c>
      <c r="C301" s="163" t="s">
        <v>2249</v>
      </c>
      <c r="D301" s="164">
        <v>45558</v>
      </c>
      <c r="E301" s="164">
        <v>45691</v>
      </c>
      <c r="F301" s="163" t="s">
        <v>1881</v>
      </c>
      <c r="G301" s="163" t="s">
        <v>1882</v>
      </c>
      <c r="H301" s="165">
        <v>11940.72</v>
      </c>
      <c r="I301" s="164">
        <v>46066</v>
      </c>
      <c r="J301" s="163" t="s">
        <v>2250</v>
      </c>
    </row>
    <row r="302" spans="1:10" x14ac:dyDescent="0.2">
      <c r="A302" s="163">
        <v>21420</v>
      </c>
      <c r="B302" s="163" t="s">
        <v>1886</v>
      </c>
      <c r="C302" s="163" t="s">
        <v>1979</v>
      </c>
      <c r="D302" s="164">
        <v>45257</v>
      </c>
      <c r="E302" s="164">
        <v>46349</v>
      </c>
      <c r="F302" s="163" t="s">
        <v>1881</v>
      </c>
      <c r="G302" s="163" t="s">
        <v>1882</v>
      </c>
      <c r="H302" s="165">
        <v>0</v>
      </c>
      <c r="I302" s="164">
        <v>46066</v>
      </c>
      <c r="J302" s="163" t="s">
        <v>2251</v>
      </c>
    </row>
    <row r="303" spans="1:10" x14ac:dyDescent="0.2">
      <c r="A303" s="163">
        <v>21419</v>
      </c>
      <c r="B303" s="163" t="s">
        <v>1887</v>
      </c>
      <c r="C303" s="163" t="s">
        <v>2252</v>
      </c>
      <c r="D303" s="164">
        <v>45658</v>
      </c>
      <c r="E303" s="164">
        <v>45659</v>
      </c>
      <c r="F303" s="163" t="s">
        <v>1881</v>
      </c>
      <c r="G303" s="163" t="s">
        <v>1882</v>
      </c>
      <c r="H303" s="165">
        <v>0</v>
      </c>
      <c r="I303" s="164">
        <v>46066</v>
      </c>
      <c r="J303" s="163" t="s">
        <v>2252</v>
      </c>
    </row>
    <row r="304" spans="1:10" x14ac:dyDescent="0.2">
      <c r="A304" s="163">
        <v>21418</v>
      </c>
      <c r="B304" s="163" t="s">
        <v>1886</v>
      </c>
      <c r="C304" s="163" t="s">
        <v>1979</v>
      </c>
      <c r="D304" s="164">
        <v>45257</v>
      </c>
      <c r="E304" s="164">
        <v>46349</v>
      </c>
      <c r="F304" s="163" t="s">
        <v>1881</v>
      </c>
      <c r="G304" s="163" t="s">
        <v>1882</v>
      </c>
      <c r="H304" s="165">
        <v>0</v>
      </c>
      <c r="I304" s="164">
        <v>46066</v>
      </c>
      <c r="J304" s="163" t="s">
        <v>2253</v>
      </c>
    </row>
    <row r="305" spans="1:10" x14ac:dyDescent="0.2">
      <c r="A305" s="163">
        <v>21417</v>
      </c>
      <c r="B305" s="163" t="s">
        <v>1888</v>
      </c>
      <c r="C305" s="163" t="s">
        <v>2005</v>
      </c>
      <c r="D305" s="164">
        <v>42668</v>
      </c>
      <c r="E305" s="164">
        <v>45596</v>
      </c>
      <c r="F305" s="163" t="s">
        <v>1881</v>
      </c>
      <c r="G305" s="163" t="s">
        <v>1882</v>
      </c>
      <c r="H305" s="165">
        <v>0</v>
      </c>
      <c r="I305" s="164">
        <v>46066</v>
      </c>
      <c r="J305" s="163" t="s">
        <v>2254</v>
      </c>
    </row>
    <row r="306" spans="1:10" x14ac:dyDescent="0.2">
      <c r="A306" s="163">
        <v>21416</v>
      </c>
      <c r="B306" s="163" t="s">
        <v>1886</v>
      </c>
      <c r="C306" s="163" t="s">
        <v>1979</v>
      </c>
      <c r="D306" s="164">
        <v>45257</v>
      </c>
      <c r="E306" s="164">
        <v>46349</v>
      </c>
      <c r="F306" s="163" t="s">
        <v>1881</v>
      </c>
      <c r="G306" s="163" t="s">
        <v>1882</v>
      </c>
      <c r="H306" s="165">
        <v>0</v>
      </c>
      <c r="I306" s="164">
        <v>46066</v>
      </c>
      <c r="J306" s="163" t="s">
        <v>2255</v>
      </c>
    </row>
    <row r="307" spans="1:10" x14ac:dyDescent="0.2">
      <c r="A307" s="163">
        <v>21415</v>
      </c>
      <c r="B307" s="163" t="s">
        <v>2256</v>
      </c>
      <c r="C307" s="163" t="s">
        <v>2257</v>
      </c>
      <c r="D307" s="164">
        <v>45852</v>
      </c>
      <c r="E307" s="164">
        <v>46266</v>
      </c>
      <c r="F307" s="163" t="s">
        <v>1881</v>
      </c>
      <c r="G307" s="163" t="s">
        <v>1882</v>
      </c>
      <c r="H307" s="165">
        <v>103</v>
      </c>
      <c r="I307" s="164">
        <v>46066</v>
      </c>
      <c r="J307" s="163" t="s">
        <v>1014</v>
      </c>
    </row>
    <row r="308" spans="1:10" x14ac:dyDescent="0.2">
      <c r="A308" s="163">
        <v>21414</v>
      </c>
      <c r="B308" s="163" t="s">
        <v>2258</v>
      </c>
      <c r="C308" s="163" t="s">
        <v>2259</v>
      </c>
      <c r="D308" s="164">
        <v>45658</v>
      </c>
      <c r="E308" s="164">
        <v>45659</v>
      </c>
      <c r="F308" s="163" t="s">
        <v>1881</v>
      </c>
      <c r="G308" s="163" t="s">
        <v>1882</v>
      </c>
      <c r="H308" s="165">
        <v>0</v>
      </c>
      <c r="I308" s="164">
        <v>46066</v>
      </c>
      <c r="J308" s="163" t="s">
        <v>2260</v>
      </c>
    </row>
    <row r="309" spans="1:10" x14ac:dyDescent="0.2">
      <c r="A309" s="163">
        <v>21413</v>
      </c>
      <c r="B309" s="163" t="s">
        <v>1889</v>
      </c>
      <c r="C309" s="163" t="s">
        <v>1968</v>
      </c>
      <c r="D309" s="164">
        <v>42302</v>
      </c>
      <c r="E309" s="164">
        <v>46320</v>
      </c>
      <c r="F309" s="163" t="s">
        <v>1881</v>
      </c>
      <c r="G309" s="163" t="s">
        <v>1882</v>
      </c>
      <c r="H309" s="165">
        <v>0</v>
      </c>
      <c r="I309" s="164">
        <v>46066</v>
      </c>
      <c r="J309" s="163" t="s">
        <v>2261</v>
      </c>
    </row>
    <row r="310" spans="1:10" x14ac:dyDescent="0.2">
      <c r="A310" s="163">
        <v>21412</v>
      </c>
      <c r="B310" s="163" t="s">
        <v>2256</v>
      </c>
      <c r="C310" s="163" t="s">
        <v>2262</v>
      </c>
      <c r="D310" s="164">
        <v>45209</v>
      </c>
      <c r="E310" s="164">
        <v>46142</v>
      </c>
      <c r="F310" s="163" t="s">
        <v>1881</v>
      </c>
      <c r="G310" s="163" t="s">
        <v>1882</v>
      </c>
      <c r="H310" s="165">
        <v>8102</v>
      </c>
      <c r="I310" s="164">
        <v>46066</v>
      </c>
      <c r="J310" s="163" t="s">
        <v>2263</v>
      </c>
    </row>
    <row r="311" spans="1:10" x14ac:dyDescent="0.2">
      <c r="A311" s="163">
        <v>21411</v>
      </c>
      <c r="B311" s="163" t="s">
        <v>1886</v>
      </c>
      <c r="C311" s="163" t="s">
        <v>1979</v>
      </c>
      <c r="D311" s="164">
        <v>45257</v>
      </c>
      <c r="E311" s="164">
        <v>46349</v>
      </c>
      <c r="F311" s="163" t="s">
        <v>1881</v>
      </c>
      <c r="G311" s="163" t="s">
        <v>1882</v>
      </c>
      <c r="H311" s="165">
        <v>0</v>
      </c>
      <c r="I311" s="164">
        <v>46066</v>
      </c>
      <c r="J311" s="163" t="s">
        <v>2264</v>
      </c>
    </row>
    <row r="312" spans="1:10" x14ac:dyDescent="0.2">
      <c r="A312" s="163">
        <v>21410</v>
      </c>
      <c r="B312" s="163" t="s">
        <v>1907</v>
      </c>
      <c r="C312" s="163" t="s">
        <v>1908</v>
      </c>
      <c r="D312" s="164">
        <v>44036</v>
      </c>
      <c r="E312" s="164">
        <v>46022</v>
      </c>
      <c r="F312" s="163" t="s">
        <v>1881</v>
      </c>
      <c r="G312" s="163" t="s">
        <v>1882</v>
      </c>
      <c r="H312" s="165">
        <v>0</v>
      </c>
      <c r="I312" s="164">
        <v>46066</v>
      </c>
      <c r="J312" s="163" t="s">
        <v>2265</v>
      </c>
    </row>
    <row r="313" spans="1:10" x14ac:dyDescent="0.2">
      <c r="A313" s="163">
        <v>21409</v>
      </c>
      <c r="B313" s="163" t="s">
        <v>2107</v>
      </c>
      <c r="C313" s="163" t="s">
        <v>2266</v>
      </c>
      <c r="D313" s="164">
        <v>44477</v>
      </c>
      <c r="E313" s="164">
        <v>46302</v>
      </c>
      <c r="F313" s="163" t="s">
        <v>1881</v>
      </c>
      <c r="G313" s="163" t="s">
        <v>1882</v>
      </c>
      <c r="H313" s="165">
        <v>0</v>
      </c>
      <c r="I313" s="164">
        <v>46066</v>
      </c>
      <c r="J313" s="163" t="s">
        <v>2267</v>
      </c>
    </row>
    <row r="314" spans="1:10" x14ac:dyDescent="0.2">
      <c r="A314" s="163">
        <v>21408</v>
      </c>
      <c r="B314" s="163" t="s">
        <v>1886</v>
      </c>
      <c r="C314" s="163" t="s">
        <v>1979</v>
      </c>
      <c r="D314" s="164">
        <v>45257</v>
      </c>
      <c r="E314" s="164">
        <v>46349</v>
      </c>
      <c r="F314" s="163" t="s">
        <v>1881</v>
      </c>
      <c r="G314" s="163" t="s">
        <v>1882</v>
      </c>
      <c r="H314" s="165">
        <v>0</v>
      </c>
      <c r="I314" s="164">
        <v>46066</v>
      </c>
      <c r="J314" s="163" t="s">
        <v>2268</v>
      </c>
    </row>
    <row r="315" spans="1:10" x14ac:dyDescent="0.2">
      <c r="A315" s="163">
        <v>21407</v>
      </c>
      <c r="B315" s="163" t="s">
        <v>2256</v>
      </c>
      <c r="C315" s="163" t="s">
        <v>2257</v>
      </c>
      <c r="D315" s="164">
        <v>45852</v>
      </c>
      <c r="E315" s="164">
        <v>46266</v>
      </c>
      <c r="F315" s="163" t="s">
        <v>1881</v>
      </c>
      <c r="G315" s="163" t="s">
        <v>1882</v>
      </c>
      <c r="H315" s="165">
        <v>34503</v>
      </c>
      <c r="I315" s="164">
        <v>46066</v>
      </c>
      <c r="J315" s="163" t="s">
        <v>735</v>
      </c>
    </row>
    <row r="316" spans="1:10" x14ac:dyDescent="0.2">
      <c r="A316" s="163">
        <v>21406</v>
      </c>
      <c r="B316" s="163" t="s">
        <v>2269</v>
      </c>
      <c r="C316" s="163" t="s">
        <v>2270</v>
      </c>
      <c r="D316" s="164">
        <v>45923</v>
      </c>
      <c r="E316" s="164">
        <v>46295</v>
      </c>
      <c r="F316" s="163" t="s">
        <v>1881</v>
      </c>
      <c r="G316" s="163" t="s">
        <v>1882</v>
      </c>
      <c r="H316" s="165">
        <v>21940.75</v>
      </c>
      <c r="I316" s="164">
        <v>46066</v>
      </c>
      <c r="J316" s="163" t="s">
        <v>2271</v>
      </c>
    </row>
    <row r="317" spans="1:10" x14ac:dyDescent="0.2">
      <c r="A317" s="163">
        <v>21405</v>
      </c>
      <c r="B317" s="163" t="s">
        <v>1905</v>
      </c>
      <c r="C317" s="163" t="s">
        <v>1906</v>
      </c>
      <c r="D317" s="164">
        <v>43944</v>
      </c>
      <c r="E317" s="164">
        <v>46568</v>
      </c>
      <c r="F317" s="163" t="s">
        <v>1881</v>
      </c>
      <c r="G317" s="163" t="s">
        <v>1882</v>
      </c>
      <c r="H317" s="165">
        <v>0</v>
      </c>
      <c r="I317" s="164">
        <v>46066</v>
      </c>
      <c r="J317" s="163" t="s">
        <v>2272</v>
      </c>
    </row>
    <row r="318" spans="1:10" x14ac:dyDescent="0.2">
      <c r="A318" s="163">
        <v>21404</v>
      </c>
      <c r="B318" s="163" t="s">
        <v>1895</v>
      </c>
      <c r="C318" s="163" t="s">
        <v>463</v>
      </c>
      <c r="D318" s="164">
        <v>45658</v>
      </c>
      <c r="E318" s="164">
        <v>45659</v>
      </c>
      <c r="F318" s="163" t="s">
        <v>1881</v>
      </c>
      <c r="G318" s="163" t="s">
        <v>1882</v>
      </c>
      <c r="H318" s="165">
        <v>0</v>
      </c>
      <c r="I318" s="164">
        <v>46066</v>
      </c>
      <c r="J318" s="163" t="s">
        <v>2273</v>
      </c>
    </row>
    <row r="319" spans="1:10" x14ac:dyDescent="0.2">
      <c r="A319" s="163">
        <v>21403</v>
      </c>
      <c r="B319" s="163" t="s">
        <v>1887</v>
      </c>
      <c r="C319" s="163" t="s">
        <v>1978</v>
      </c>
      <c r="D319" s="164">
        <v>44995</v>
      </c>
      <c r="E319" s="164">
        <v>46090</v>
      </c>
      <c r="F319" s="163" t="s">
        <v>1881</v>
      </c>
      <c r="G319" s="163" t="s">
        <v>1882</v>
      </c>
      <c r="H319" s="165">
        <v>0</v>
      </c>
      <c r="I319" s="164">
        <v>46066</v>
      </c>
      <c r="J319" s="163" t="s">
        <v>2274</v>
      </c>
    </row>
    <row r="320" spans="1:10" x14ac:dyDescent="0.2">
      <c r="A320" s="163">
        <v>21402</v>
      </c>
      <c r="B320" s="163" t="s">
        <v>2256</v>
      </c>
      <c r="C320" s="163" t="s">
        <v>2275</v>
      </c>
      <c r="D320" s="164">
        <v>45987</v>
      </c>
      <c r="E320" s="164">
        <v>46203</v>
      </c>
      <c r="F320" s="163" t="s">
        <v>1881</v>
      </c>
      <c r="G320" s="163" t="s">
        <v>1882</v>
      </c>
      <c r="H320" s="165">
        <v>1</v>
      </c>
      <c r="I320" s="164">
        <v>46066</v>
      </c>
      <c r="J320" s="163" t="s">
        <v>2276</v>
      </c>
    </row>
    <row r="321" spans="1:10" x14ac:dyDescent="0.2">
      <c r="A321" s="163">
        <v>21401</v>
      </c>
      <c r="B321" s="163" t="s">
        <v>1895</v>
      </c>
      <c r="C321" s="163" t="s">
        <v>461</v>
      </c>
      <c r="D321" s="164">
        <v>45658</v>
      </c>
      <c r="E321" s="164">
        <v>45659</v>
      </c>
      <c r="F321" s="163" t="s">
        <v>1881</v>
      </c>
      <c r="G321" s="163" t="s">
        <v>1882</v>
      </c>
      <c r="H321" s="165">
        <v>0</v>
      </c>
      <c r="I321" s="164">
        <v>46066</v>
      </c>
      <c r="J321" s="163" t="s">
        <v>2277</v>
      </c>
    </row>
    <row r="322" spans="1:10" x14ac:dyDescent="0.2">
      <c r="A322" s="163">
        <v>21400</v>
      </c>
      <c r="B322" s="163" t="s">
        <v>1888</v>
      </c>
      <c r="C322" s="163" t="s">
        <v>2005</v>
      </c>
      <c r="D322" s="164">
        <v>42668</v>
      </c>
      <c r="E322" s="164">
        <v>45596</v>
      </c>
      <c r="F322" s="163" t="s">
        <v>1881</v>
      </c>
      <c r="G322" s="163" t="s">
        <v>1882</v>
      </c>
      <c r="H322" s="165">
        <v>0</v>
      </c>
      <c r="I322" s="164">
        <v>46066</v>
      </c>
      <c r="J322" s="163" t="s">
        <v>2278</v>
      </c>
    </row>
    <row r="323" spans="1:10" x14ac:dyDescent="0.2">
      <c r="A323" s="163">
        <v>21399</v>
      </c>
      <c r="B323" s="163" t="s">
        <v>1901</v>
      </c>
      <c r="C323" s="163" t="s">
        <v>1507</v>
      </c>
      <c r="D323" s="164">
        <v>45658</v>
      </c>
      <c r="E323" s="164">
        <v>45659</v>
      </c>
      <c r="F323" s="163" t="s">
        <v>1881</v>
      </c>
      <c r="G323" s="163" t="s">
        <v>2043</v>
      </c>
      <c r="H323" s="165">
        <v>5954.78</v>
      </c>
      <c r="I323" s="164">
        <v>46066</v>
      </c>
      <c r="J323" s="163" t="s">
        <v>2279</v>
      </c>
    </row>
    <row r="324" spans="1:10" x14ac:dyDescent="0.2">
      <c r="A324" s="163">
        <v>21398</v>
      </c>
      <c r="B324" s="163" t="s">
        <v>2015</v>
      </c>
      <c r="C324" s="163" t="s">
        <v>62</v>
      </c>
      <c r="D324" s="164">
        <v>45658</v>
      </c>
      <c r="E324" s="164">
        <v>45659</v>
      </c>
      <c r="F324" s="163" t="s">
        <v>1881</v>
      </c>
      <c r="G324" s="163" t="s">
        <v>1882</v>
      </c>
      <c r="H324" s="165">
        <v>27204</v>
      </c>
      <c r="I324" s="164">
        <v>46066</v>
      </c>
      <c r="J324" s="163" t="s">
        <v>665</v>
      </c>
    </row>
    <row r="325" spans="1:10" x14ac:dyDescent="0.2">
      <c r="A325" s="163">
        <v>21397</v>
      </c>
      <c r="B325" s="163" t="s">
        <v>1895</v>
      </c>
      <c r="C325" s="163" t="s">
        <v>512</v>
      </c>
      <c r="D325" s="164">
        <v>45658</v>
      </c>
      <c r="E325" s="164">
        <v>45659</v>
      </c>
      <c r="F325" s="163" t="s">
        <v>1881</v>
      </c>
      <c r="G325" s="163" t="s">
        <v>1882</v>
      </c>
      <c r="H325" s="165">
        <v>0</v>
      </c>
      <c r="I325" s="164">
        <v>46066</v>
      </c>
      <c r="J325" s="163" t="s">
        <v>2280</v>
      </c>
    </row>
    <row r="326" spans="1:10" x14ac:dyDescent="0.2">
      <c r="A326" s="163">
        <v>21396</v>
      </c>
      <c r="B326" s="163" t="s">
        <v>2007</v>
      </c>
      <c r="C326" s="163" t="s">
        <v>2008</v>
      </c>
      <c r="D326" s="164">
        <v>42461</v>
      </c>
      <c r="E326" s="164">
        <v>46087</v>
      </c>
      <c r="F326" s="163" t="s">
        <v>1881</v>
      </c>
      <c r="G326" s="163" t="s">
        <v>1882</v>
      </c>
      <c r="H326" s="165">
        <v>0</v>
      </c>
      <c r="I326" s="164">
        <v>46066</v>
      </c>
      <c r="J326" s="163" t="s">
        <v>2281</v>
      </c>
    </row>
    <row r="327" spans="1:10" x14ac:dyDescent="0.2">
      <c r="A327" s="163">
        <v>21395</v>
      </c>
      <c r="B327" s="163" t="s">
        <v>2015</v>
      </c>
      <c r="C327" s="163" t="s">
        <v>815</v>
      </c>
      <c r="D327" s="164">
        <v>45658</v>
      </c>
      <c r="E327" s="164">
        <v>45659</v>
      </c>
      <c r="F327" s="163" t="s">
        <v>1881</v>
      </c>
      <c r="G327" s="163" t="s">
        <v>1882</v>
      </c>
      <c r="H327" s="165">
        <v>203</v>
      </c>
      <c r="I327" s="164">
        <v>46066</v>
      </c>
      <c r="J327" s="163" t="s">
        <v>2282</v>
      </c>
    </row>
    <row r="328" spans="1:10" x14ac:dyDescent="0.2">
      <c r="A328" s="163">
        <v>21394</v>
      </c>
      <c r="B328" s="163" t="s">
        <v>1889</v>
      </c>
      <c r="C328" s="163" t="s">
        <v>767</v>
      </c>
      <c r="D328" s="164">
        <v>45658</v>
      </c>
      <c r="E328" s="164">
        <v>45659</v>
      </c>
      <c r="F328" s="163" t="s">
        <v>1881</v>
      </c>
      <c r="G328" s="163" t="s">
        <v>2043</v>
      </c>
      <c r="H328" s="165">
        <v>6141.2</v>
      </c>
      <c r="I328" s="164">
        <v>46066</v>
      </c>
      <c r="J328" s="163" t="s">
        <v>2283</v>
      </c>
    </row>
    <row r="329" spans="1:10" x14ac:dyDescent="0.2">
      <c r="A329" s="163">
        <v>21393</v>
      </c>
      <c r="B329" s="163" t="s">
        <v>1889</v>
      </c>
      <c r="C329" s="163" t="s">
        <v>511</v>
      </c>
      <c r="D329" s="164">
        <v>45658</v>
      </c>
      <c r="E329" s="164">
        <v>45659</v>
      </c>
      <c r="F329" s="163" t="s">
        <v>1881</v>
      </c>
      <c r="G329" s="163" t="s">
        <v>1882</v>
      </c>
      <c r="H329" s="165">
        <v>0</v>
      </c>
      <c r="I329" s="164">
        <v>46066</v>
      </c>
      <c r="J329" s="163" t="s">
        <v>2284</v>
      </c>
    </row>
    <row r="330" spans="1:10" x14ac:dyDescent="0.2">
      <c r="A330" s="163">
        <v>21392</v>
      </c>
      <c r="B330" s="163" t="s">
        <v>2010</v>
      </c>
      <c r="C330" s="163" t="s">
        <v>2285</v>
      </c>
      <c r="D330" s="164">
        <v>45131</v>
      </c>
      <c r="E330" s="164">
        <v>45443</v>
      </c>
      <c r="F330" s="163" t="s">
        <v>1881</v>
      </c>
      <c r="G330" s="163" t="s">
        <v>1882</v>
      </c>
      <c r="H330" s="165">
        <v>0</v>
      </c>
      <c r="I330" s="164">
        <v>46066</v>
      </c>
      <c r="J330" s="163" t="s">
        <v>2286</v>
      </c>
    </row>
    <row r="331" spans="1:10" x14ac:dyDescent="0.2">
      <c r="A331" s="163">
        <v>21391</v>
      </c>
      <c r="B331" s="163" t="s">
        <v>1918</v>
      </c>
      <c r="C331" s="163" t="s">
        <v>1026</v>
      </c>
      <c r="D331" s="164">
        <v>45658</v>
      </c>
      <c r="E331" s="164">
        <v>45659</v>
      </c>
      <c r="F331" s="163" t="s">
        <v>1881</v>
      </c>
      <c r="G331" s="163" t="s">
        <v>1882</v>
      </c>
      <c r="H331" s="165">
        <v>1</v>
      </c>
      <c r="I331" s="164">
        <v>46066</v>
      </c>
      <c r="J331" s="163" t="s">
        <v>2287</v>
      </c>
    </row>
    <row r="332" spans="1:10" x14ac:dyDescent="0.2">
      <c r="A332" s="163">
        <v>21390</v>
      </c>
      <c r="B332" s="163" t="s">
        <v>1915</v>
      </c>
      <c r="C332" s="163" t="s">
        <v>144</v>
      </c>
      <c r="D332" s="164">
        <v>45658</v>
      </c>
      <c r="E332" s="164">
        <v>45659</v>
      </c>
      <c r="F332" s="163" t="s">
        <v>1881</v>
      </c>
      <c r="G332" s="163" t="s">
        <v>1882</v>
      </c>
      <c r="H332" s="165">
        <v>0</v>
      </c>
      <c r="I332" s="164">
        <v>46066</v>
      </c>
      <c r="J332" s="163" t="s">
        <v>2288</v>
      </c>
    </row>
    <row r="333" spans="1:10" x14ac:dyDescent="0.2">
      <c r="A333" s="163">
        <v>21389</v>
      </c>
      <c r="B333" s="163" t="s">
        <v>1887</v>
      </c>
      <c r="C333" s="163" t="s">
        <v>1978</v>
      </c>
      <c r="D333" s="164">
        <v>44995</v>
      </c>
      <c r="E333" s="164">
        <v>46090</v>
      </c>
      <c r="F333" s="163" t="s">
        <v>1881</v>
      </c>
      <c r="G333" s="163" t="s">
        <v>1882</v>
      </c>
      <c r="H333" s="165">
        <v>0</v>
      </c>
      <c r="I333" s="164">
        <v>46066</v>
      </c>
      <c r="J333" s="163" t="s">
        <v>2289</v>
      </c>
    </row>
    <row r="334" spans="1:10" x14ac:dyDescent="0.2">
      <c r="A334" s="163">
        <v>21388</v>
      </c>
      <c r="B334" s="163" t="s">
        <v>1905</v>
      </c>
      <c r="C334" s="163" t="s">
        <v>1906</v>
      </c>
      <c r="D334" s="164">
        <v>43944</v>
      </c>
      <c r="E334" s="164">
        <v>46568</v>
      </c>
      <c r="F334" s="163" t="s">
        <v>1881</v>
      </c>
      <c r="G334" s="163" t="s">
        <v>1882</v>
      </c>
      <c r="H334" s="165">
        <v>5833.77</v>
      </c>
      <c r="I334" s="164">
        <v>46066</v>
      </c>
      <c r="J334" s="163" t="s">
        <v>2290</v>
      </c>
    </row>
    <row r="335" spans="1:10" x14ac:dyDescent="0.2">
      <c r="A335" s="163">
        <v>21387</v>
      </c>
      <c r="B335" s="163" t="s">
        <v>2015</v>
      </c>
      <c r="C335" s="163" t="s">
        <v>813</v>
      </c>
      <c r="D335" s="164">
        <v>45658</v>
      </c>
      <c r="E335" s="164">
        <v>45659</v>
      </c>
      <c r="F335" s="163" t="s">
        <v>1881</v>
      </c>
      <c r="G335" s="163" t="s">
        <v>1882</v>
      </c>
      <c r="H335" s="165">
        <v>100</v>
      </c>
      <c r="I335" s="164">
        <v>46066</v>
      </c>
      <c r="J335" s="163" t="s">
        <v>814</v>
      </c>
    </row>
    <row r="336" spans="1:10" x14ac:dyDescent="0.2">
      <c r="A336" s="163">
        <v>21386</v>
      </c>
      <c r="B336" s="163" t="s">
        <v>1895</v>
      </c>
      <c r="C336" s="163" t="s">
        <v>510</v>
      </c>
      <c r="D336" s="164">
        <v>45658</v>
      </c>
      <c r="E336" s="164">
        <v>45659</v>
      </c>
      <c r="F336" s="163" t="s">
        <v>1881</v>
      </c>
      <c r="G336" s="163" t="s">
        <v>1882</v>
      </c>
      <c r="H336" s="165">
        <v>0</v>
      </c>
      <c r="I336" s="164">
        <v>46066</v>
      </c>
      <c r="J336" s="163" t="s">
        <v>2291</v>
      </c>
    </row>
    <row r="337" spans="1:10" x14ac:dyDescent="0.2">
      <c r="A337" s="163">
        <v>21385</v>
      </c>
      <c r="B337" s="163" t="s">
        <v>1918</v>
      </c>
      <c r="C337" s="163" t="s">
        <v>2292</v>
      </c>
      <c r="D337" s="164">
        <v>45658</v>
      </c>
      <c r="E337" s="164">
        <v>45659</v>
      </c>
      <c r="F337" s="163" t="s">
        <v>1881</v>
      </c>
      <c r="G337" s="163" t="s">
        <v>1882</v>
      </c>
      <c r="H337" s="165">
        <v>0</v>
      </c>
      <c r="I337" s="164">
        <v>46066</v>
      </c>
      <c r="J337" s="163" t="s">
        <v>2293</v>
      </c>
    </row>
    <row r="338" spans="1:10" x14ac:dyDescent="0.2">
      <c r="A338" s="163">
        <v>21384</v>
      </c>
      <c r="B338" s="163" t="s">
        <v>1888</v>
      </c>
      <c r="C338" s="163" t="s">
        <v>2005</v>
      </c>
      <c r="D338" s="164">
        <v>42668</v>
      </c>
      <c r="E338" s="164">
        <v>45596</v>
      </c>
      <c r="F338" s="163" t="s">
        <v>1881</v>
      </c>
      <c r="G338" s="163" t="s">
        <v>1882</v>
      </c>
      <c r="H338" s="165">
        <v>0</v>
      </c>
      <c r="I338" s="164">
        <v>46066</v>
      </c>
      <c r="J338" s="163" t="s">
        <v>2294</v>
      </c>
    </row>
    <row r="339" spans="1:10" x14ac:dyDescent="0.2">
      <c r="A339" s="163">
        <v>21383</v>
      </c>
      <c r="B339" s="163" t="s">
        <v>1895</v>
      </c>
      <c r="C339" s="163" t="s">
        <v>795</v>
      </c>
      <c r="D339" s="164">
        <v>45658</v>
      </c>
      <c r="E339" s="164">
        <v>45659</v>
      </c>
      <c r="F339" s="163" t="s">
        <v>1881</v>
      </c>
      <c r="G339" s="163" t="s">
        <v>2043</v>
      </c>
      <c r="H339" s="165">
        <v>8796</v>
      </c>
      <c r="I339" s="164">
        <v>46066</v>
      </c>
      <c r="J339" s="163" t="s">
        <v>2295</v>
      </c>
    </row>
    <row r="340" spans="1:10" x14ac:dyDescent="0.2">
      <c r="A340" s="163">
        <v>21382</v>
      </c>
      <c r="B340" s="163" t="s">
        <v>1918</v>
      </c>
      <c r="C340" s="163" t="s">
        <v>135</v>
      </c>
      <c r="D340" s="164">
        <v>45658</v>
      </c>
      <c r="E340" s="164">
        <v>45659</v>
      </c>
      <c r="F340" s="163" t="s">
        <v>1881</v>
      </c>
      <c r="G340" s="163" t="s">
        <v>1882</v>
      </c>
      <c r="H340" s="165">
        <v>0</v>
      </c>
      <c r="I340" s="164">
        <v>46066</v>
      </c>
      <c r="J340" s="163" t="s">
        <v>2296</v>
      </c>
    </row>
    <row r="341" spans="1:10" x14ac:dyDescent="0.2">
      <c r="A341" s="163">
        <v>21381</v>
      </c>
      <c r="B341" s="163" t="s">
        <v>1885</v>
      </c>
      <c r="C341" s="163" t="s">
        <v>2029</v>
      </c>
      <c r="D341" s="164">
        <v>45436</v>
      </c>
      <c r="E341" s="164">
        <v>45657</v>
      </c>
      <c r="F341" s="163" t="s">
        <v>1881</v>
      </c>
      <c r="G341" s="163" t="s">
        <v>1882</v>
      </c>
      <c r="H341" s="165">
        <v>10175.65</v>
      </c>
      <c r="I341" s="164">
        <v>46066</v>
      </c>
      <c r="J341" s="163" t="s">
        <v>2297</v>
      </c>
    </row>
    <row r="342" spans="1:10" x14ac:dyDescent="0.2">
      <c r="A342" s="163">
        <v>21380</v>
      </c>
      <c r="B342" s="163" t="s">
        <v>1887</v>
      </c>
      <c r="C342" s="163" t="s">
        <v>1978</v>
      </c>
      <c r="D342" s="164">
        <v>44995</v>
      </c>
      <c r="E342" s="164">
        <v>46090</v>
      </c>
      <c r="F342" s="163" t="s">
        <v>1881</v>
      </c>
      <c r="G342" s="163" t="s">
        <v>1882</v>
      </c>
      <c r="H342" s="165">
        <v>0</v>
      </c>
      <c r="I342" s="164">
        <v>46066</v>
      </c>
      <c r="J342" s="163" t="s">
        <v>2298</v>
      </c>
    </row>
    <row r="343" spans="1:10" x14ac:dyDescent="0.2">
      <c r="A343" s="163">
        <v>21379</v>
      </c>
      <c r="B343" s="163" t="s">
        <v>2015</v>
      </c>
      <c r="C343" s="163" t="s">
        <v>2299</v>
      </c>
      <c r="D343" s="164">
        <v>45658</v>
      </c>
      <c r="E343" s="164">
        <v>45659</v>
      </c>
      <c r="F343" s="163" t="s">
        <v>1881</v>
      </c>
      <c r="G343" s="163" t="s">
        <v>1882</v>
      </c>
      <c r="H343" s="165">
        <v>0</v>
      </c>
      <c r="I343" s="164">
        <v>46066</v>
      </c>
      <c r="J343" s="163" t="s">
        <v>2300</v>
      </c>
    </row>
    <row r="344" spans="1:10" x14ac:dyDescent="0.2">
      <c r="A344" s="163">
        <v>21378</v>
      </c>
      <c r="B344" s="163" t="s">
        <v>2301</v>
      </c>
      <c r="C344" s="163" t="s">
        <v>2302</v>
      </c>
      <c r="D344" s="164">
        <v>44734</v>
      </c>
      <c r="E344" s="164">
        <v>45322</v>
      </c>
      <c r="F344" s="163" t="s">
        <v>1881</v>
      </c>
      <c r="G344" s="163" t="s">
        <v>1882</v>
      </c>
      <c r="H344" s="165">
        <v>0</v>
      </c>
      <c r="I344" s="164">
        <v>46066</v>
      </c>
      <c r="J344" s="163" t="s">
        <v>2303</v>
      </c>
    </row>
    <row r="345" spans="1:10" x14ac:dyDescent="0.2">
      <c r="A345" s="163">
        <v>21377</v>
      </c>
      <c r="B345" s="163" t="s">
        <v>1888</v>
      </c>
      <c r="C345" s="163" t="s">
        <v>2005</v>
      </c>
      <c r="D345" s="164">
        <v>42668</v>
      </c>
      <c r="E345" s="164">
        <v>45596</v>
      </c>
      <c r="F345" s="163" t="s">
        <v>1881</v>
      </c>
      <c r="G345" s="163" t="s">
        <v>1882</v>
      </c>
      <c r="H345" s="165">
        <v>0</v>
      </c>
      <c r="I345" s="164">
        <v>46066</v>
      </c>
      <c r="J345" s="163" t="s">
        <v>2304</v>
      </c>
    </row>
    <row r="346" spans="1:10" x14ac:dyDescent="0.2">
      <c r="A346" s="163">
        <v>21376</v>
      </c>
      <c r="B346" s="163" t="s">
        <v>2305</v>
      </c>
      <c r="C346" s="163" t="s">
        <v>2306</v>
      </c>
      <c r="D346" s="164">
        <v>45463</v>
      </c>
      <c r="E346" s="164">
        <v>46022</v>
      </c>
      <c r="F346" s="163" t="s">
        <v>1881</v>
      </c>
      <c r="G346" s="163" t="s">
        <v>1882</v>
      </c>
      <c r="H346" s="165">
        <v>0</v>
      </c>
      <c r="I346" s="164">
        <v>46066</v>
      </c>
      <c r="J346" s="163" t="s">
        <v>2307</v>
      </c>
    </row>
    <row r="347" spans="1:10" x14ac:dyDescent="0.2">
      <c r="A347" s="163">
        <v>21375</v>
      </c>
      <c r="B347" s="163" t="s">
        <v>2308</v>
      </c>
      <c r="C347" s="163" t="s">
        <v>1908</v>
      </c>
      <c r="D347" s="164">
        <v>44036</v>
      </c>
      <c r="E347" s="164">
        <v>46022</v>
      </c>
      <c r="F347" s="163" t="s">
        <v>1881</v>
      </c>
      <c r="G347" s="163" t="s">
        <v>2043</v>
      </c>
      <c r="H347" s="165">
        <v>3297.3</v>
      </c>
      <c r="I347" s="164">
        <v>46066</v>
      </c>
      <c r="J347" s="163" t="s">
        <v>2309</v>
      </c>
    </row>
    <row r="348" spans="1:10" x14ac:dyDescent="0.2">
      <c r="A348" s="163">
        <v>21374</v>
      </c>
      <c r="B348" s="163" t="s">
        <v>2310</v>
      </c>
      <c r="C348" s="163" t="s">
        <v>2311</v>
      </c>
      <c r="D348" s="164">
        <v>45481</v>
      </c>
      <c r="E348" s="164">
        <v>45793</v>
      </c>
      <c r="F348" s="163" t="s">
        <v>1881</v>
      </c>
      <c r="G348" s="163" t="s">
        <v>1882</v>
      </c>
      <c r="H348" s="165">
        <v>0</v>
      </c>
      <c r="I348" s="164">
        <v>46066</v>
      </c>
      <c r="J348" s="163" t="s">
        <v>2312</v>
      </c>
    </row>
    <row r="349" spans="1:10" x14ac:dyDescent="0.2">
      <c r="A349" s="163">
        <v>21373</v>
      </c>
      <c r="B349" s="163" t="s">
        <v>1895</v>
      </c>
      <c r="C349" s="163" t="s">
        <v>585</v>
      </c>
      <c r="D349" s="164">
        <v>45658</v>
      </c>
      <c r="E349" s="164">
        <v>45659</v>
      </c>
      <c r="F349" s="163" t="s">
        <v>1881</v>
      </c>
      <c r="G349" s="163" t="s">
        <v>2043</v>
      </c>
      <c r="H349" s="165">
        <v>3945.87</v>
      </c>
      <c r="I349" s="164">
        <v>46066</v>
      </c>
      <c r="J349" s="163" t="s">
        <v>2313</v>
      </c>
    </row>
    <row r="350" spans="1:10" x14ac:dyDescent="0.2">
      <c r="A350" s="163">
        <v>21372</v>
      </c>
      <c r="B350" s="163" t="s">
        <v>1887</v>
      </c>
      <c r="C350" s="163" t="s">
        <v>1978</v>
      </c>
      <c r="D350" s="164">
        <v>44995</v>
      </c>
      <c r="E350" s="164">
        <v>46090</v>
      </c>
      <c r="F350" s="163" t="s">
        <v>1881</v>
      </c>
      <c r="G350" s="163" t="s">
        <v>1882</v>
      </c>
      <c r="H350" s="165">
        <v>0</v>
      </c>
      <c r="I350" s="164">
        <v>46066</v>
      </c>
      <c r="J350" s="163" t="s">
        <v>2314</v>
      </c>
    </row>
    <row r="351" spans="1:10" x14ac:dyDescent="0.2">
      <c r="A351" s="163">
        <v>21371</v>
      </c>
      <c r="B351" s="163" t="s">
        <v>2315</v>
      </c>
      <c r="C351" s="163" t="s">
        <v>2316</v>
      </c>
      <c r="D351" s="164">
        <v>45658</v>
      </c>
      <c r="E351" s="164">
        <v>45659</v>
      </c>
      <c r="F351" s="163" t="s">
        <v>1881</v>
      </c>
      <c r="G351" s="163" t="s">
        <v>1882</v>
      </c>
      <c r="H351" s="165">
        <v>0</v>
      </c>
      <c r="I351" s="164">
        <v>46066</v>
      </c>
      <c r="J351" s="163" t="s">
        <v>2317</v>
      </c>
    </row>
    <row r="352" spans="1:10" x14ac:dyDescent="0.2">
      <c r="A352" s="163">
        <v>21370</v>
      </c>
      <c r="B352" s="163" t="s">
        <v>1895</v>
      </c>
      <c r="C352" s="163" t="s">
        <v>912</v>
      </c>
      <c r="D352" s="164">
        <v>45658</v>
      </c>
      <c r="E352" s="164">
        <v>45659</v>
      </c>
      <c r="F352" s="163" t="s">
        <v>1881</v>
      </c>
      <c r="G352" s="163" t="s">
        <v>2043</v>
      </c>
      <c r="H352" s="165">
        <v>10544.93</v>
      </c>
      <c r="I352" s="164">
        <v>46066</v>
      </c>
      <c r="J352" s="163" t="s">
        <v>2318</v>
      </c>
    </row>
    <row r="353" spans="1:10" x14ac:dyDescent="0.2">
      <c r="A353" s="163">
        <v>21369</v>
      </c>
      <c r="B353" s="163" t="s">
        <v>2015</v>
      </c>
      <c r="C353" s="163" t="s">
        <v>607</v>
      </c>
      <c r="D353" s="164">
        <v>45658</v>
      </c>
      <c r="E353" s="164">
        <v>45659</v>
      </c>
      <c r="F353" s="163" t="s">
        <v>1881</v>
      </c>
      <c r="G353" s="163" t="s">
        <v>1882</v>
      </c>
      <c r="H353" s="165">
        <v>0</v>
      </c>
      <c r="I353" s="164">
        <v>46066</v>
      </c>
      <c r="J353" s="163" t="s">
        <v>2319</v>
      </c>
    </row>
    <row r="354" spans="1:10" x14ac:dyDescent="0.2">
      <c r="A354" s="163">
        <v>21368</v>
      </c>
      <c r="B354" s="163" t="s">
        <v>1901</v>
      </c>
      <c r="C354" s="163" t="s">
        <v>2320</v>
      </c>
      <c r="D354" s="164">
        <v>44713</v>
      </c>
      <c r="E354" s="164">
        <v>44903</v>
      </c>
      <c r="F354" s="163" t="s">
        <v>1881</v>
      </c>
      <c r="G354" s="163" t="s">
        <v>1882</v>
      </c>
      <c r="H354" s="165">
        <v>0</v>
      </c>
      <c r="I354" s="164">
        <v>46066</v>
      </c>
      <c r="J354" s="163" t="s">
        <v>2321</v>
      </c>
    </row>
    <row r="355" spans="1:10" x14ac:dyDescent="0.2">
      <c r="A355" s="163">
        <v>21367</v>
      </c>
      <c r="B355" s="163" t="s">
        <v>2063</v>
      </c>
      <c r="C355" s="163" t="s">
        <v>1908</v>
      </c>
      <c r="D355" s="164">
        <v>44036</v>
      </c>
      <c r="E355" s="164">
        <v>46022</v>
      </c>
      <c r="F355" s="163" t="s">
        <v>1881</v>
      </c>
      <c r="G355" s="163" t="s">
        <v>1882</v>
      </c>
      <c r="H355" s="165">
        <v>0</v>
      </c>
      <c r="I355" s="164">
        <v>46066</v>
      </c>
      <c r="J355" s="163" t="s">
        <v>2322</v>
      </c>
    </row>
    <row r="356" spans="1:10" x14ac:dyDescent="0.2">
      <c r="A356" s="163">
        <v>21366</v>
      </c>
      <c r="B356" s="163" t="s">
        <v>2107</v>
      </c>
      <c r="C356" s="163" t="s">
        <v>2266</v>
      </c>
      <c r="D356" s="164">
        <v>44477</v>
      </c>
      <c r="E356" s="164">
        <v>46302</v>
      </c>
      <c r="F356" s="163" t="s">
        <v>1881</v>
      </c>
      <c r="G356" s="163" t="s">
        <v>1882</v>
      </c>
      <c r="H356" s="165">
        <v>0</v>
      </c>
      <c r="I356" s="164">
        <v>46066</v>
      </c>
      <c r="J356" s="163" t="s">
        <v>2323</v>
      </c>
    </row>
    <row r="357" spans="1:10" x14ac:dyDescent="0.2">
      <c r="A357" s="163">
        <v>21365</v>
      </c>
      <c r="B357" s="163" t="s">
        <v>1915</v>
      </c>
      <c r="C357" s="163" t="s">
        <v>2324</v>
      </c>
      <c r="D357" s="164">
        <v>45658</v>
      </c>
      <c r="E357" s="164">
        <v>45659</v>
      </c>
      <c r="F357" s="163" t="s">
        <v>1881</v>
      </c>
      <c r="G357" s="163" t="s">
        <v>1882</v>
      </c>
      <c r="H357" s="165">
        <v>0</v>
      </c>
      <c r="I357" s="164">
        <v>46066</v>
      </c>
      <c r="J357" s="163" t="s">
        <v>2325</v>
      </c>
    </row>
    <row r="358" spans="1:10" x14ac:dyDescent="0.2">
      <c r="A358" s="163">
        <v>21364</v>
      </c>
      <c r="B358" s="163" t="s">
        <v>2326</v>
      </c>
      <c r="C358" s="163" t="s">
        <v>2327</v>
      </c>
      <c r="D358" s="164">
        <v>45883</v>
      </c>
      <c r="E358" s="164">
        <v>46022</v>
      </c>
      <c r="F358" s="163" t="s">
        <v>1881</v>
      </c>
      <c r="G358" s="163" t="s">
        <v>2043</v>
      </c>
      <c r="H358" s="165">
        <v>63155</v>
      </c>
      <c r="I358" s="164">
        <v>46066</v>
      </c>
      <c r="J358" s="163" t="s">
        <v>2328</v>
      </c>
    </row>
    <row r="359" spans="1:10" x14ac:dyDescent="0.2">
      <c r="A359" s="163">
        <v>21363</v>
      </c>
      <c r="B359" s="163" t="s">
        <v>2310</v>
      </c>
      <c r="C359" s="163" t="s">
        <v>2329</v>
      </c>
      <c r="D359" s="164">
        <v>45505</v>
      </c>
      <c r="E359" s="164">
        <v>45657</v>
      </c>
      <c r="F359" s="163" t="s">
        <v>1881</v>
      </c>
      <c r="G359" s="163" t="s">
        <v>1882</v>
      </c>
      <c r="H359" s="165">
        <v>0</v>
      </c>
      <c r="I359" s="164">
        <v>46066</v>
      </c>
      <c r="J359" s="163" t="s">
        <v>2330</v>
      </c>
    </row>
    <row r="360" spans="1:10" x14ac:dyDescent="0.2">
      <c r="A360" s="163">
        <v>21362</v>
      </c>
      <c r="B360" s="163" t="s">
        <v>1887</v>
      </c>
      <c r="C360" s="163" t="s">
        <v>1978</v>
      </c>
      <c r="D360" s="164">
        <v>44995</v>
      </c>
      <c r="E360" s="164">
        <v>46090</v>
      </c>
      <c r="F360" s="163" t="s">
        <v>1881</v>
      </c>
      <c r="G360" s="163" t="s">
        <v>1882</v>
      </c>
      <c r="H360" s="165">
        <v>0</v>
      </c>
      <c r="I360" s="164">
        <v>46066</v>
      </c>
      <c r="J360" s="163" t="s">
        <v>2331</v>
      </c>
    </row>
    <row r="361" spans="1:10" x14ac:dyDescent="0.2">
      <c r="A361" s="163">
        <v>21361</v>
      </c>
      <c r="B361" s="163" t="s">
        <v>2169</v>
      </c>
      <c r="C361" s="163" t="s">
        <v>1908</v>
      </c>
      <c r="D361" s="164">
        <v>44036</v>
      </c>
      <c r="E361" s="164">
        <v>46022</v>
      </c>
      <c r="F361" s="163" t="s">
        <v>1881</v>
      </c>
      <c r="G361" s="163" t="s">
        <v>1882</v>
      </c>
      <c r="H361" s="165">
        <v>0</v>
      </c>
      <c r="I361" s="164">
        <v>46066</v>
      </c>
      <c r="J361" s="163" t="s">
        <v>2332</v>
      </c>
    </row>
    <row r="362" spans="1:10" x14ac:dyDescent="0.2">
      <c r="A362" s="163">
        <v>21360</v>
      </c>
      <c r="B362" s="163" t="s">
        <v>1889</v>
      </c>
      <c r="C362" s="163" t="s">
        <v>1968</v>
      </c>
      <c r="D362" s="164">
        <v>42302</v>
      </c>
      <c r="E362" s="164">
        <v>46320</v>
      </c>
      <c r="F362" s="163" t="s">
        <v>1881</v>
      </c>
      <c r="G362" s="163" t="s">
        <v>1882</v>
      </c>
      <c r="H362" s="165">
        <v>1</v>
      </c>
      <c r="I362" s="164">
        <v>46066</v>
      </c>
      <c r="J362" s="163" t="s">
        <v>2333</v>
      </c>
    </row>
    <row r="363" spans="1:10" x14ac:dyDescent="0.2">
      <c r="A363" s="163">
        <v>21359</v>
      </c>
      <c r="B363" s="163" t="s">
        <v>1895</v>
      </c>
      <c r="C363" s="163" t="s">
        <v>459</v>
      </c>
      <c r="D363" s="164">
        <v>45658</v>
      </c>
      <c r="E363" s="164">
        <v>45659</v>
      </c>
      <c r="F363" s="163" t="s">
        <v>1881</v>
      </c>
      <c r="G363" s="163" t="s">
        <v>1882</v>
      </c>
      <c r="H363" s="165">
        <v>0</v>
      </c>
      <c r="I363" s="164">
        <v>46066</v>
      </c>
      <c r="J363" s="163" t="s">
        <v>2334</v>
      </c>
    </row>
    <row r="364" spans="1:10" x14ac:dyDescent="0.2">
      <c r="A364" s="163">
        <v>21358</v>
      </c>
      <c r="B364" s="163" t="s">
        <v>2015</v>
      </c>
      <c r="C364" s="163" t="s">
        <v>2335</v>
      </c>
      <c r="D364" s="164">
        <v>45658</v>
      </c>
      <c r="E364" s="164">
        <v>45659</v>
      </c>
      <c r="F364" s="163" t="s">
        <v>1881</v>
      </c>
      <c r="G364" s="163" t="s">
        <v>1882</v>
      </c>
      <c r="H364" s="165">
        <v>0</v>
      </c>
      <c r="I364" s="164">
        <v>46066</v>
      </c>
      <c r="J364" s="163" t="s">
        <v>2336</v>
      </c>
    </row>
    <row r="365" spans="1:10" x14ac:dyDescent="0.2">
      <c r="A365" s="163">
        <v>21357</v>
      </c>
      <c r="B365" s="163" t="s">
        <v>1905</v>
      </c>
      <c r="C365" s="163" t="s">
        <v>1906</v>
      </c>
      <c r="D365" s="164">
        <v>43944</v>
      </c>
      <c r="E365" s="164">
        <v>46568</v>
      </c>
      <c r="F365" s="163" t="s">
        <v>1881</v>
      </c>
      <c r="G365" s="163" t="s">
        <v>1882</v>
      </c>
      <c r="H365" s="165">
        <v>0</v>
      </c>
      <c r="I365" s="164">
        <v>46066</v>
      </c>
      <c r="J365" s="163" t="s">
        <v>2337</v>
      </c>
    </row>
    <row r="366" spans="1:10" x14ac:dyDescent="0.2">
      <c r="A366" s="163">
        <v>21356</v>
      </c>
      <c r="B366" s="163" t="s">
        <v>2152</v>
      </c>
      <c r="C366" s="163" t="s">
        <v>2153</v>
      </c>
      <c r="D366" s="164">
        <v>45323</v>
      </c>
      <c r="E366" s="164">
        <v>47483</v>
      </c>
      <c r="F366" s="163" t="s">
        <v>1881</v>
      </c>
      <c r="G366" s="163" t="s">
        <v>1882</v>
      </c>
      <c r="H366" s="165">
        <v>0</v>
      </c>
      <c r="I366" s="164">
        <v>46066</v>
      </c>
      <c r="J366" s="163" t="s">
        <v>2338</v>
      </c>
    </row>
    <row r="367" spans="1:10" x14ac:dyDescent="0.2">
      <c r="A367" s="163">
        <v>21355</v>
      </c>
      <c r="B367" s="163" t="s">
        <v>2305</v>
      </c>
      <c r="C367" s="163" t="s">
        <v>2306</v>
      </c>
      <c r="D367" s="164">
        <v>45463</v>
      </c>
      <c r="E367" s="164">
        <v>46022</v>
      </c>
      <c r="F367" s="163" t="s">
        <v>1881</v>
      </c>
      <c r="G367" s="163" t="s">
        <v>1882</v>
      </c>
      <c r="H367" s="165">
        <v>0</v>
      </c>
      <c r="I367" s="164">
        <v>46066</v>
      </c>
      <c r="J367" s="163" t="s">
        <v>2339</v>
      </c>
    </row>
    <row r="368" spans="1:10" x14ac:dyDescent="0.2">
      <c r="A368" s="163">
        <v>21354</v>
      </c>
      <c r="B368" s="163" t="s">
        <v>2119</v>
      </c>
      <c r="C368" s="163" t="s">
        <v>2120</v>
      </c>
      <c r="D368" s="164">
        <v>45194</v>
      </c>
      <c r="E368" s="164">
        <v>45657</v>
      </c>
      <c r="F368" s="163" t="s">
        <v>1881</v>
      </c>
      <c r="G368" s="163" t="s">
        <v>1882</v>
      </c>
      <c r="H368" s="165">
        <v>0</v>
      </c>
      <c r="I368" s="164">
        <v>46066</v>
      </c>
      <c r="J368" s="163" t="s">
        <v>2340</v>
      </c>
    </row>
    <row r="369" spans="1:10" x14ac:dyDescent="0.2">
      <c r="A369" s="163">
        <v>21353</v>
      </c>
      <c r="B369" s="163" t="s">
        <v>2310</v>
      </c>
      <c r="C369" s="163" t="s">
        <v>2341</v>
      </c>
      <c r="D369" s="164">
        <v>45397</v>
      </c>
      <c r="E369" s="164">
        <v>45596</v>
      </c>
      <c r="F369" s="163" t="s">
        <v>1881</v>
      </c>
      <c r="G369" s="163" t="s">
        <v>1882</v>
      </c>
      <c r="H369" s="165">
        <v>0</v>
      </c>
      <c r="I369" s="164">
        <v>46066</v>
      </c>
      <c r="J369" s="163" t="s">
        <v>2342</v>
      </c>
    </row>
    <row r="370" spans="1:10" x14ac:dyDescent="0.2">
      <c r="A370" s="163">
        <v>21352</v>
      </c>
      <c r="B370" s="163" t="s">
        <v>1887</v>
      </c>
      <c r="C370" s="163" t="s">
        <v>1978</v>
      </c>
      <c r="D370" s="164">
        <v>44995</v>
      </c>
      <c r="E370" s="164">
        <v>46090</v>
      </c>
      <c r="F370" s="163" t="s">
        <v>1881</v>
      </c>
      <c r="G370" s="163" t="s">
        <v>1882</v>
      </c>
      <c r="H370" s="165">
        <v>0</v>
      </c>
      <c r="I370" s="164">
        <v>46066</v>
      </c>
      <c r="J370" s="163" t="s">
        <v>2343</v>
      </c>
    </row>
    <row r="371" spans="1:10" x14ac:dyDescent="0.2">
      <c r="A371" s="163">
        <v>21351</v>
      </c>
      <c r="B371" s="163" t="s">
        <v>1887</v>
      </c>
      <c r="C371" s="163" t="s">
        <v>1978</v>
      </c>
      <c r="D371" s="164">
        <v>44995</v>
      </c>
      <c r="E371" s="164">
        <v>46090</v>
      </c>
      <c r="F371" s="163" t="s">
        <v>1881</v>
      </c>
      <c r="G371" s="163" t="s">
        <v>1882</v>
      </c>
      <c r="H371" s="165">
        <v>0</v>
      </c>
      <c r="I371" s="164">
        <v>46066</v>
      </c>
      <c r="J371" s="163" t="s">
        <v>2344</v>
      </c>
    </row>
    <row r="372" spans="1:10" x14ac:dyDescent="0.2">
      <c r="A372" s="163">
        <v>21350</v>
      </c>
      <c r="B372" s="163" t="s">
        <v>1895</v>
      </c>
      <c r="C372" s="163" t="s">
        <v>636</v>
      </c>
      <c r="D372" s="164">
        <v>45658</v>
      </c>
      <c r="E372" s="164">
        <v>45659</v>
      </c>
      <c r="F372" s="163" t="s">
        <v>1881</v>
      </c>
      <c r="G372" s="163" t="s">
        <v>1882</v>
      </c>
      <c r="H372" s="165">
        <v>0</v>
      </c>
      <c r="I372" s="164">
        <v>46066</v>
      </c>
      <c r="J372" s="163" t="s">
        <v>2345</v>
      </c>
    </row>
    <row r="373" spans="1:10" x14ac:dyDescent="0.2">
      <c r="A373" s="163">
        <v>21349</v>
      </c>
      <c r="B373" s="163" t="s">
        <v>2015</v>
      </c>
      <c r="C373" s="163" t="s">
        <v>2346</v>
      </c>
      <c r="D373" s="164">
        <v>45658</v>
      </c>
      <c r="E373" s="164">
        <v>45659</v>
      </c>
      <c r="F373" s="163" t="s">
        <v>1881</v>
      </c>
      <c r="G373" s="163" t="s">
        <v>1882</v>
      </c>
      <c r="H373" s="165">
        <v>0</v>
      </c>
      <c r="I373" s="164">
        <v>46066</v>
      </c>
      <c r="J373" s="163" t="s">
        <v>2347</v>
      </c>
    </row>
    <row r="374" spans="1:10" x14ac:dyDescent="0.2">
      <c r="A374" s="163">
        <v>21348</v>
      </c>
      <c r="B374" s="163" t="s">
        <v>1889</v>
      </c>
      <c r="C374" s="163" t="s">
        <v>1968</v>
      </c>
      <c r="D374" s="164">
        <v>42302</v>
      </c>
      <c r="E374" s="164">
        <v>46320</v>
      </c>
      <c r="F374" s="163" t="s">
        <v>1881</v>
      </c>
      <c r="G374" s="163" t="s">
        <v>1882</v>
      </c>
      <c r="H374" s="165">
        <v>0</v>
      </c>
      <c r="I374" s="164">
        <v>46066</v>
      </c>
      <c r="J374" s="163" t="s">
        <v>2348</v>
      </c>
    </row>
    <row r="375" spans="1:10" x14ac:dyDescent="0.2">
      <c r="A375" s="163">
        <v>21347</v>
      </c>
      <c r="B375" s="163" t="s">
        <v>1915</v>
      </c>
      <c r="C375" s="163" t="s">
        <v>402</v>
      </c>
      <c r="D375" s="164">
        <v>45658</v>
      </c>
      <c r="E375" s="164">
        <v>45659</v>
      </c>
      <c r="F375" s="163" t="s">
        <v>1881</v>
      </c>
      <c r="G375" s="163" t="s">
        <v>1882</v>
      </c>
      <c r="H375" s="165">
        <v>0</v>
      </c>
      <c r="I375" s="164">
        <v>46066</v>
      </c>
      <c r="J375" s="163" t="s">
        <v>2349</v>
      </c>
    </row>
    <row r="376" spans="1:10" x14ac:dyDescent="0.2">
      <c r="A376" s="163">
        <v>21346</v>
      </c>
      <c r="B376" s="163" t="s">
        <v>1901</v>
      </c>
      <c r="C376" s="163" t="s">
        <v>2350</v>
      </c>
      <c r="D376" s="164">
        <v>44562</v>
      </c>
      <c r="E376" s="164">
        <v>45657</v>
      </c>
      <c r="F376" s="163" t="s">
        <v>1881</v>
      </c>
      <c r="G376" s="163" t="s">
        <v>1882</v>
      </c>
      <c r="H376" s="165">
        <v>0</v>
      </c>
      <c r="I376" s="164">
        <v>46066</v>
      </c>
      <c r="J376" s="163" t="s">
        <v>2351</v>
      </c>
    </row>
    <row r="377" spans="1:10" x14ac:dyDescent="0.2">
      <c r="A377" s="163">
        <v>21345</v>
      </c>
      <c r="B377" s="163" t="s">
        <v>2107</v>
      </c>
      <c r="C377" s="163" t="s">
        <v>2266</v>
      </c>
      <c r="D377" s="164">
        <v>44477</v>
      </c>
      <c r="E377" s="164">
        <v>46302</v>
      </c>
      <c r="F377" s="163" t="s">
        <v>1881</v>
      </c>
      <c r="G377" s="163" t="s">
        <v>1882</v>
      </c>
      <c r="H377" s="165">
        <v>0</v>
      </c>
      <c r="I377" s="164">
        <v>46066</v>
      </c>
      <c r="J377" s="163" t="s">
        <v>2352</v>
      </c>
    </row>
    <row r="378" spans="1:10" x14ac:dyDescent="0.2">
      <c r="A378" s="163">
        <v>21344</v>
      </c>
      <c r="B378" s="163" t="s">
        <v>2010</v>
      </c>
      <c r="C378" s="163" t="s">
        <v>2285</v>
      </c>
      <c r="D378" s="164">
        <v>45131</v>
      </c>
      <c r="E378" s="164">
        <v>45443</v>
      </c>
      <c r="F378" s="163" t="s">
        <v>1881</v>
      </c>
      <c r="G378" s="163" t="s">
        <v>1882</v>
      </c>
      <c r="H378" s="165">
        <v>0</v>
      </c>
      <c r="I378" s="164">
        <v>46066</v>
      </c>
      <c r="J378" s="163" t="s">
        <v>2353</v>
      </c>
    </row>
    <row r="379" spans="1:10" x14ac:dyDescent="0.2">
      <c r="A379" s="163">
        <v>21343</v>
      </c>
      <c r="B379" s="163" t="s">
        <v>1895</v>
      </c>
      <c r="C379" s="163" t="s">
        <v>578</v>
      </c>
      <c r="D379" s="164">
        <v>45658</v>
      </c>
      <c r="E379" s="164">
        <v>45659</v>
      </c>
      <c r="F379" s="163" t="s">
        <v>1881</v>
      </c>
      <c r="G379" s="163" t="s">
        <v>2043</v>
      </c>
      <c r="H379" s="165">
        <v>132845.15</v>
      </c>
      <c r="I379" s="164">
        <v>46066</v>
      </c>
      <c r="J379" s="163" t="s">
        <v>2354</v>
      </c>
    </row>
    <row r="380" spans="1:10" x14ac:dyDescent="0.2">
      <c r="A380" s="163">
        <v>21342</v>
      </c>
      <c r="B380" s="163" t="s">
        <v>2310</v>
      </c>
      <c r="C380" s="163" t="s">
        <v>2341</v>
      </c>
      <c r="D380" s="164">
        <v>45397</v>
      </c>
      <c r="E380" s="164">
        <v>45596</v>
      </c>
      <c r="F380" s="163" t="s">
        <v>1881</v>
      </c>
      <c r="G380" s="163" t="s">
        <v>1882</v>
      </c>
      <c r="H380" s="165">
        <v>0</v>
      </c>
      <c r="I380" s="164">
        <v>46066</v>
      </c>
      <c r="J380" s="163" t="s">
        <v>2355</v>
      </c>
    </row>
    <row r="381" spans="1:10" x14ac:dyDescent="0.2">
      <c r="A381" s="163">
        <v>21341</v>
      </c>
      <c r="B381" s="163" t="s">
        <v>2356</v>
      </c>
      <c r="C381" s="163" t="s">
        <v>2357</v>
      </c>
      <c r="D381" s="164">
        <v>44894</v>
      </c>
      <c r="E381" s="164">
        <v>45657</v>
      </c>
      <c r="F381" s="163" t="s">
        <v>1881</v>
      </c>
      <c r="G381" s="163" t="s">
        <v>1882</v>
      </c>
      <c r="H381" s="165">
        <v>0</v>
      </c>
      <c r="I381" s="164">
        <v>46066</v>
      </c>
      <c r="J381" s="163" t="s">
        <v>2358</v>
      </c>
    </row>
    <row r="382" spans="1:10" x14ac:dyDescent="0.2">
      <c r="A382" s="163">
        <v>21340</v>
      </c>
      <c r="B382" s="163" t="s">
        <v>1975</v>
      </c>
      <c r="C382" s="163" t="s">
        <v>1976</v>
      </c>
      <c r="D382" s="164">
        <v>45090</v>
      </c>
      <c r="E382" s="164">
        <v>45820</v>
      </c>
      <c r="F382" s="163" t="s">
        <v>1881</v>
      </c>
      <c r="G382" s="163" t="s">
        <v>1882</v>
      </c>
      <c r="H382" s="165">
        <v>0</v>
      </c>
      <c r="I382" s="164">
        <v>46066</v>
      </c>
      <c r="J382" s="163" t="s">
        <v>2359</v>
      </c>
    </row>
    <row r="383" spans="1:10" x14ac:dyDescent="0.2">
      <c r="A383" s="163">
        <v>21339</v>
      </c>
      <c r="B383" s="163" t="s">
        <v>2015</v>
      </c>
      <c r="C383" s="163" t="s">
        <v>480</v>
      </c>
      <c r="D383" s="164">
        <v>45658</v>
      </c>
      <c r="E383" s="164">
        <v>45659</v>
      </c>
      <c r="F383" s="163" t="s">
        <v>1881</v>
      </c>
      <c r="G383" s="163" t="s">
        <v>1882</v>
      </c>
      <c r="H383" s="165">
        <v>0</v>
      </c>
      <c r="I383" s="164">
        <v>46066</v>
      </c>
      <c r="J383" s="163" t="s">
        <v>2360</v>
      </c>
    </row>
    <row r="384" spans="1:10" x14ac:dyDescent="0.2">
      <c r="A384" s="163">
        <v>21338</v>
      </c>
      <c r="B384" s="163" t="s">
        <v>1895</v>
      </c>
      <c r="C384" s="163" t="s">
        <v>507</v>
      </c>
      <c r="D384" s="164">
        <v>45658</v>
      </c>
      <c r="E384" s="164">
        <v>45659</v>
      </c>
      <c r="F384" s="163" t="s">
        <v>1881</v>
      </c>
      <c r="G384" s="163" t="s">
        <v>1882</v>
      </c>
      <c r="H384" s="165">
        <v>0</v>
      </c>
      <c r="I384" s="164">
        <v>46066</v>
      </c>
      <c r="J384" s="163" t="s">
        <v>2361</v>
      </c>
    </row>
    <row r="385" spans="1:10" x14ac:dyDescent="0.2">
      <c r="A385" s="163">
        <v>21337</v>
      </c>
      <c r="B385" s="163" t="s">
        <v>1954</v>
      </c>
      <c r="C385" s="163" t="s">
        <v>2362</v>
      </c>
      <c r="D385" s="164">
        <v>45419</v>
      </c>
      <c r="E385" s="164">
        <v>45535</v>
      </c>
      <c r="F385" s="163" t="s">
        <v>1881</v>
      </c>
      <c r="G385" s="163" t="s">
        <v>1882</v>
      </c>
      <c r="H385" s="165">
        <v>0</v>
      </c>
      <c r="I385" s="164">
        <v>46066</v>
      </c>
      <c r="J385" s="163" t="s">
        <v>2363</v>
      </c>
    </row>
    <row r="386" spans="1:10" x14ac:dyDescent="0.2">
      <c r="A386" s="163">
        <v>21336</v>
      </c>
      <c r="B386" s="163" t="s">
        <v>2049</v>
      </c>
      <c r="C386" s="163" t="s">
        <v>1996</v>
      </c>
      <c r="D386" s="164">
        <v>42339</v>
      </c>
      <c r="E386" s="164">
        <v>45504</v>
      </c>
      <c r="F386" s="163" t="s">
        <v>1881</v>
      </c>
      <c r="G386" s="163" t="s">
        <v>1882</v>
      </c>
      <c r="H386" s="165">
        <v>0</v>
      </c>
      <c r="I386" s="164">
        <v>46066</v>
      </c>
      <c r="J386" s="163" t="s">
        <v>2364</v>
      </c>
    </row>
    <row r="387" spans="1:10" x14ac:dyDescent="0.2">
      <c r="A387" s="163">
        <v>21335</v>
      </c>
      <c r="B387" s="163" t="s">
        <v>1901</v>
      </c>
      <c r="C387" s="163" t="s">
        <v>2365</v>
      </c>
      <c r="D387" s="164">
        <v>44501</v>
      </c>
      <c r="E387" s="164">
        <v>44926</v>
      </c>
      <c r="F387" s="163" t="s">
        <v>1881</v>
      </c>
      <c r="G387" s="163" t="s">
        <v>1882</v>
      </c>
      <c r="H387" s="165">
        <v>0</v>
      </c>
      <c r="I387" s="164">
        <v>46066</v>
      </c>
      <c r="J387" s="163" t="s">
        <v>2366</v>
      </c>
    </row>
    <row r="388" spans="1:10" x14ac:dyDescent="0.2">
      <c r="A388" s="163">
        <v>21334</v>
      </c>
      <c r="B388" s="163" t="s">
        <v>2107</v>
      </c>
      <c r="C388" s="163" t="s">
        <v>2266</v>
      </c>
      <c r="D388" s="164">
        <v>44477</v>
      </c>
      <c r="E388" s="164">
        <v>46302</v>
      </c>
      <c r="F388" s="163" t="s">
        <v>1881</v>
      </c>
      <c r="G388" s="163" t="s">
        <v>1882</v>
      </c>
      <c r="H388" s="165">
        <v>0</v>
      </c>
      <c r="I388" s="164">
        <v>46066</v>
      </c>
      <c r="J388" s="163" t="s">
        <v>2367</v>
      </c>
    </row>
    <row r="389" spans="1:10" x14ac:dyDescent="0.2">
      <c r="A389" s="163">
        <v>21333</v>
      </c>
      <c r="B389" s="163" t="s">
        <v>1905</v>
      </c>
      <c r="C389" s="163" t="s">
        <v>1906</v>
      </c>
      <c r="D389" s="164">
        <v>43944</v>
      </c>
      <c r="E389" s="164">
        <v>46568</v>
      </c>
      <c r="F389" s="163" t="s">
        <v>1881</v>
      </c>
      <c r="G389" s="163" t="s">
        <v>1882</v>
      </c>
      <c r="H389" s="165">
        <v>0</v>
      </c>
      <c r="I389" s="164">
        <v>46066</v>
      </c>
      <c r="J389" s="163" t="s">
        <v>2368</v>
      </c>
    </row>
    <row r="390" spans="1:10" x14ac:dyDescent="0.2">
      <c r="A390" s="163">
        <v>21332</v>
      </c>
      <c r="B390" s="163" t="s">
        <v>2326</v>
      </c>
      <c r="C390" s="163" t="s">
        <v>2327</v>
      </c>
      <c r="D390" s="164">
        <v>45883</v>
      </c>
      <c r="E390" s="164">
        <v>46022</v>
      </c>
      <c r="F390" s="163" t="s">
        <v>1881</v>
      </c>
      <c r="G390" s="163" t="s">
        <v>2043</v>
      </c>
      <c r="H390" s="165">
        <v>45067</v>
      </c>
      <c r="I390" s="164">
        <v>46066</v>
      </c>
      <c r="J390" s="163" t="s">
        <v>2369</v>
      </c>
    </row>
    <row r="391" spans="1:10" x14ac:dyDescent="0.2">
      <c r="A391" s="163">
        <v>21331</v>
      </c>
      <c r="B391" s="163" t="s">
        <v>1895</v>
      </c>
      <c r="C391" s="163" t="s">
        <v>968</v>
      </c>
      <c r="D391" s="164">
        <v>45658</v>
      </c>
      <c r="E391" s="164">
        <v>45659</v>
      </c>
      <c r="F391" s="163" t="s">
        <v>1881</v>
      </c>
      <c r="G391" s="163" t="s">
        <v>2043</v>
      </c>
      <c r="H391" s="165">
        <v>10544.93</v>
      </c>
      <c r="I391" s="164">
        <v>46066</v>
      </c>
      <c r="J391" s="163" t="s">
        <v>2370</v>
      </c>
    </row>
    <row r="392" spans="1:10" x14ac:dyDescent="0.2">
      <c r="A392" s="163">
        <v>21330</v>
      </c>
      <c r="B392" s="163" t="s">
        <v>1895</v>
      </c>
      <c r="C392" s="163" t="s">
        <v>2128</v>
      </c>
      <c r="D392" s="164">
        <v>45399</v>
      </c>
      <c r="E392" s="164">
        <v>46447</v>
      </c>
      <c r="F392" s="163" t="s">
        <v>1881</v>
      </c>
      <c r="G392" s="163" t="s">
        <v>1882</v>
      </c>
      <c r="H392" s="165">
        <v>0</v>
      </c>
      <c r="I392" s="164">
        <v>46066</v>
      </c>
      <c r="J392" s="163" t="s">
        <v>2371</v>
      </c>
    </row>
    <row r="393" spans="1:10" x14ac:dyDescent="0.2">
      <c r="A393" s="163">
        <v>21329</v>
      </c>
      <c r="B393" s="163" t="s">
        <v>1889</v>
      </c>
      <c r="C393" s="163" t="s">
        <v>1968</v>
      </c>
      <c r="D393" s="164">
        <v>42302</v>
      </c>
      <c r="E393" s="164">
        <v>46320</v>
      </c>
      <c r="F393" s="163" t="s">
        <v>1881</v>
      </c>
      <c r="G393" s="163" t="s">
        <v>1882</v>
      </c>
      <c r="H393" s="165">
        <v>0</v>
      </c>
      <c r="I393" s="164">
        <v>46066</v>
      </c>
      <c r="J393" s="163" t="s">
        <v>2372</v>
      </c>
    </row>
    <row r="394" spans="1:10" x14ac:dyDescent="0.2">
      <c r="A394" s="163">
        <v>21328</v>
      </c>
      <c r="B394" s="163" t="s">
        <v>1887</v>
      </c>
      <c r="C394" s="163" t="s">
        <v>2373</v>
      </c>
      <c r="D394" s="164">
        <v>45658</v>
      </c>
      <c r="E394" s="164">
        <v>45659</v>
      </c>
      <c r="F394" s="163" t="s">
        <v>1881</v>
      </c>
      <c r="G394" s="163" t="s">
        <v>1882</v>
      </c>
      <c r="H394" s="165">
        <v>0</v>
      </c>
      <c r="I394" s="164">
        <v>46066</v>
      </c>
      <c r="J394" s="163" t="s">
        <v>2374</v>
      </c>
    </row>
    <row r="395" spans="1:10" x14ac:dyDescent="0.2">
      <c r="A395" s="163">
        <v>21327</v>
      </c>
      <c r="B395" s="163" t="s">
        <v>2015</v>
      </c>
      <c r="C395" s="163" t="s">
        <v>555</v>
      </c>
      <c r="D395" s="164">
        <v>45658</v>
      </c>
      <c r="E395" s="164">
        <v>45659</v>
      </c>
      <c r="F395" s="163" t="s">
        <v>1881</v>
      </c>
      <c r="G395" s="163" t="s">
        <v>1882</v>
      </c>
      <c r="H395" s="165">
        <v>0</v>
      </c>
      <c r="I395" s="164">
        <v>46066</v>
      </c>
      <c r="J395" s="163" t="s">
        <v>2375</v>
      </c>
    </row>
    <row r="396" spans="1:10" x14ac:dyDescent="0.2">
      <c r="A396" s="163">
        <v>21326</v>
      </c>
      <c r="B396" s="163" t="s">
        <v>1895</v>
      </c>
      <c r="C396" s="163" t="s">
        <v>506</v>
      </c>
      <c r="D396" s="164">
        <v>45658</v>
      </c>
      <c r="E396" s="164">
        <v>45659</v>
      </c>
      <c r="F396" s="163" t="s">
        <v>1881</v>
      </c>
      <c r="G396" s="163" t="s">
        <v>1882</v>
      </c>
      <c r="H396" s="165">
        <v>0</v>
      </c>
      <c r="I396" s="164">
        <v>46066</v>
      </c>
      <c r="J396" s="163" t="s">
        <v>2376</v>
      </c>
    </row>
    <row r="397" spans="1:10" x14ac:dyDescent="0.2">
      <c r="A397" s="163">
        <v>21325</v>
      </c>
      <c r="B397" s="163" t="s">
        <v>1879</v>
      </c>
      <c r="C397" s="163" t="s">
        <v>1985</v>
      </c>
      <c r="D397" s="164">
        <v>43891</v>
      </c>
      <c r="E397" s="164">
        <v>46660</v>
      </c>
      <c r="F397" s="163" t="s">
        <v>1881</v>
      </c>
      <c r="G397" s="163" t="s">
        <v>1882</v>
      </c>
      <c r="H397" s="165">
        <v>0</v>
      </c>
      <c r="I397" s="164">
        <v>46066</v>
      </c>
      <c r="J397" s="163" t="s">
        <v>2377</v>
      </c>
    </row>
    <row r="398" spans="1:10" x14ac:dyDescent="0.2">
      <c r="A398" s="163">
        <v>21324</v>
      </c>
      <c r="B398" s="163" t="s">
        <v>1895</v>
      </c>
      <c r="C398" s="163" t="s">
        <v>766</v>
      </c>
      <c r="D398" s="164">
        <v>45658</v>
      </c>
      <c r="E398" s="164">
        <v>45659</v>
      </c>
      <c r="F398" s="163" t="s">
        <v>1881</v>
      </c>
      <c r="G398" s="163" t="s">
        <v>2043</v>
      </c>
      <c r="H398" s="165">
        <v>7238.64</v>
      </c>
      <c r="I398" s="164">
        <v>46066</v>
      </c>
      <c r="J398" s="163" t="s">
        <v>2378</v>
      </c>
    </row>
    <row r="399" spans="1:10" x14ac:dyDescent="0.2">
      <c r="A399" s="163">
        <v>21323</v>
      </c>
      <c r="B399" s="163" t="s">
        <v>1895</v>
      </c>
      <c r="C399" s="163" t="s">
        <v>1996</v>
      </c>
      <c r="D399" s="164">
        <v>42339</v>
      </c>
      <c r="E399" s="164">
        <v>45504</v>
      </c>
      <c r="F399" s="163" t="s">
        <v>1881</v>
      </c>
      <c r="G399" s="163" t="s">
        <v>1882</v>
      </c>
      <c r="H399" s="165">
        <v>0</v>
      </c>
      <c r="I399" s="164">
        <v>46066</v>
      </c>
      <c r="J399" s="163" t="s">
        <v>2379</v>
      </c>
    </row>
    <row r="400" spans="1:10" x14ac:dyDescent="0.2">
      <c r="A400" s="163">
        <v>21322</v>
      </c>
      <c r="B400" s="163" t="s">
        <v>2380</v>
      </c>
      <c r="C400" s="163" t="s">
        <v>2381</v>
      </c>
      <c r="D400" s="164">
        <v>45429</v>
      </c>
      <c r="E400" s="164">
        <v>45657</v>
      </c>
      <c r="F400" s="163" t="s">
        <v>1881</v>
      </c>
      <c r="G400" s="163" t="s">
        <v>1882</v>
      </c>
      <c r="H400" s="165">
        <v>0</v>
      </c>
      <c r="I400" s="164">
        <v>46066</v>
      </c>
      <c r="J400" s="163" t="s">
        <v>2382</v>
      </c>
    </row>
    <row r="401" spans="1:10" x14ac:dyDescent="0.2">
      <c r="A401" s="163">
        <v>21321</v>
      </c>
      <c r="B401" s="163" t="s">
        <v>2107</v>
      </c>
      <c r="C401" s="163" t="s">
        <v>2266</v>
      </c>
      <c r="D401" s="164">
        <v>44477</v>
      </c>
      <c r="E401" s="164">
        <v>46302</v>
      </c>
      <c r="F401" s="163" t="s">
        <v>1881</v>
      </c>
      <c r="G401" s="163" t="s">
        <v>1882</v>
      </c>
      <c r="H401" s="165">
        <v>0</v>
      </c>
      <c r="I401" s="164">
        <v>46066</v>
      </c>
      <c r="J401" s="163" t="s">
        <v>2383</v>
      </c>
    </row>
    <row r="402" spans="1:10" x14ac:dyDescent="0.2">
      <c r="A402" s="163">
        <v>21320</v>
      </c>
      <c r="B402" s="163" t="s">
        <v>1901</v>
      </c>
      <c r="C402" s="163" t="s">
        <v>2365</v>
      </c>
      <c r="D402" s="164">
        <v>44501</v>
      </c>
      <c r="E402" s="164">
        <v>44926</v>
      </c>
      <c r="F402" s="163" t="s">
        <v>1881</v>
      </c>
      <c r="G402" s="163" t="s">
        <v>1882</v>
      </c>
      <c r="H402" s="165">
        <v>0</v>
      </c>
      <c r="I402" s="164">
        <v>46066</v>
      </c>
      <c r="J402" s="163" t="s">
        <v>2384</v>
      </c>
    </row>
    <row r="403" spans="1:10" x14ac:dyDescent="0.2">
      <c r="A403" s="163">
        <v>21319</v>
      </c>
      <c r="B403" s="163" t="s">
        <v>1905</v>
      </c>
      <c r="C403" s="163" t="s">
        <v>1906</v>
      </c>
      <c r="D403" s="164">
        <v>43944</v>
      </c>
      <c r="E403" s="164">
        <v>46568</v>
      </c>
      <c r="F403" s="163" t="s">
        <v>1881</v>
      </c>
      <c r="G403" s="163" t="s">
        <v>1882</v>
      </c>
      <c r="H403" s="165">
        <v>0</v>
      </c>
      <c r="I403" s="164">
        <v>46066</v>
      </c>
      <c r="J403" s="163" t="s">
        <v>2385</v>
      </c>
    </row>
    <row r="404" spans="1:10" x14ac:dyDescent="0.2">
      <c r="A404" s="163">
        <v>21318</v>
      </c>
      <c r="B404" s="163" t="s">
        <v>2192</v>
      </c>
      <c r="C404" s="163" t="s">
        <v>2193</v>
      </c>
      <c r="D404" s="164">
        <v>45761</v>
      </c>
      <c r="E404" s="164">
        <v>45986</v>
      </c>
      <c r="F404" s="163" t="s">
        <v>1881</v>
      </c>
      <c r="G404" s="163" t="s">
        <v>1882</v>
      </c>
      <c r="H404" s="165">
        <v>0</v>
      </c>
      <c r="I404" s="164">
        <v>46066</v>
      </c>
      <c r="J404" s="163" t="s">
        <v>2194</v>
      </c>
    </row>
    <row r="405" spans="1:10" x14ac:dyDescent="0.2">
      <c r="A405" s="163">
        <v>21317</v>
      </c>
      <c r="B405" s="163" t="s">
        <v>2380</v>
      </c>
      <c r="C405" s="163" t="s">
        <v>2386</v>
      </c>
      <c r="D405" s="164">
        <v>45390</v>
      </c>
      <c r="E405" s="164">
        <v>45504</v>
      </c>
      <c r="F405" s="163" t="s">
        <v>1881</v>
      </c>
      <c r="G405" s="163" t="s">
        <v>1882</v>
      </c>
      <c r="H405" s="165">
        <v>0</v>
      </c>
      <c r="I405" s="164">
        <v>46066</v>
      </c>
      <c r="J405" s="163" t="s">
        <v>2387</v>
      </c>
    </row>
    <row r="406" spans="1:10" x14ac:dyDescent="0.2">
      <c r="A406" s="163">
        <v>21316</v>
      </c>
      <c r="B406" s="163" t="s">
        <v>1895</v>
      </c>
      <c r="C406" s="163" t="s">
        <v>1996</v>
      </c>
      <c r="D406" s="164">
        <v>42339</v>
      </c>
      <c r="E406" s="164">
        <v>45504</v>
      </c>
      <c r="F406" s="163" t="s">
        <v>1881</v>
      </c>
      <c r="G406" s="163" t="s">
        <v>1882</v>
      </c>
      <c r="H406" s="165">
        <v>0</v>
      </c>
      <c r="I406" s="164">
        <v>46066</v>
      </c>
      <c r="J406" s="163" t="s">
        <v>2388</v>
      </c>
    </row>
    <row r="407" spans="1:10" x14ac:dyDescent="0.2">
      <c r="A407" s="163">
        <v>21315</v>
      </c>
      <c r="B407" s="163" t="s">
        <v>2389</v>
      </c>
      <c r="C407" s="163" t="s">
        <v>475</v>
      </c>
      <c r="D407" s="164">
        <v>45658</v>
      </c>
      <c r="E407" s="164">
        <v>45659</v>
      </c>
      <c r="F407" s="163" t="s">
        <v>1881</v>
      </c>
      <c r="G407" s="163" t="s">
        <v>1882</v>
      </c>
      <c r="H407" s="165">
        <v>0</v>
      </c>
      <c r="I407" s="164">
        <v>46066</v>
      </c>
      <c r="J407" s="163" t="s">
        <v>2390</v>
      </c>
    </row>
    <row r="408" spans="1:10" x14ac:dyDescent="0.2">
      <c r="A408" s="163">
        <v>21314</v>
      </c>
      <c r="B408" s="163" t="s">
        <v>1951</v>
      </c>
      <c r="C408" s="163" t="s">
        <v>1952</v>
      </c>
      <c r="D408" s="164">
        <v>45031</v>
      </c>
      <c r="E408" s="164">
        <v>45657</v>
      </c>
      <c r="F408" s="163" t="s">
        <v>1881</v>
      </c>
      <c r="G408" s="163" t="s">
        <v>1882</v>
      </c>
      <c r="H408" s="165">
        <v>0</v>
      </c>
      <c r="I408" s="164">
        <v>46066</v>
      </c>
      <c r="J408" s="163" t="s">
        <v>2391</v>
      </c>
    </row>
    <row r="409" spans="1:10" x14ac:dyDescent="0.2">
      <c r="A409" s="163">
        <v>21313</v>
      </c>
      <c r="B409" s="163" t="s">
        <v>1951</v>
      </c>
      <c r="C409" s="163" t="s">
        <v>1952</v>
      </c>
      <c r="D409" s="164">
        <v>45031</v>
      </c>
      <c r="E409" s="164">
        <v>45657</v>
      </c>
      <c r="F409" s="163" t="s">
        <v>1881</v>
      </c>
      <c r="G409" s="163" t="s">
        <v>1882</v>
      </c>
      <c r="H409" s="165">
        <v>14982.02</v>
      </c>
      <c r="I409" s="164">
        <v>46066</v>
      </c>
      <c r="J409" s="163" t="s">
        <v>1953</v>
      </c>
    </row>
    <row r="410" spans="1:10" x14ac:dyDescent="0.2">
      <c r="A410" s="163">
        <v>21312</v>
      </c>
      <c r="B410" s="163" t="s">
        <v>2301</v>
      </c>
      <c r="C410" s="163" t="s">
        <v>2392</v>
      </c>
      <c r="D410" s="164">
        <v>45658</v>
      </c>
      <c r="E410" s="164">
        <v>45659</v>
      </c>
      <c r="F410" s="163" t="s">
        <v>1881</v>
      </c>
      <c r="G410" s="163" t="s">
        <v>1882</v>
      </c>
      <c r="H410" s="165">
        <v>0</v>
      </c>
      <c r="I410" s="164">
        <v>46066</v>
      </c>
      <c r="J410" s="163" t="s">
        <v>2393</v>
      </c>
    </row>
    <row r="411" spans="1:10" x14ac:dyDescent="0.2">
      <c r="A411" s="163">
        <v>21311</v>
      </c>
      <c r="B411" s="163" t="s">
        <v>1901</v>
      </c>
      <c r="C411" s="163" t="s">
        <v>2394</v>
      </c>
      <c r="D411" s="164">
        <v>44904</v>
      </c>
      <c r="E411" s="164">
        <v>46000</v>
      </c>
      <c r="F411" s="163" t="s">
        <v>1881</v>
      </c>
      <c r="G411" s="163" t="s">
        <v>1882</v>
      </c>
      <c r="H411" s="165">
        <v>767995.69</v>
      </c>
      <c r="I411" s="164">
        <v>46066</v>
      </c>
      <c r="J411" s="163" t="s">
        <v>2395</v>
      </c>
    </row>
    <row r="412" spans="1:10" x14ac:dyDescent="0.2">
      <c r="A412" s="163">
        <v>21310</v>
      </c>
      <c r="B412" s="163" t="s">
        <v>1901</v>
      </c>
      <c r="C412" s="163" t="s">
        <v>2396</v>
      </c>
      <c r="D412" s="164">
        <v>44927</v>
      </c>
      <c r="E412" s="164">
        <v>46022</v>
      </c>
      <c r="F412" s="163" t="s">
        <v>1881</v>
      </c>
      <c r="G412" s="163" t="s">
        <v>1882</v>
      </c>
      <c r="H412" s="165">
        <v>1146504.5900000001</v>
      </c>
      <c r="I412" s="164">
        <v>46066</v>
      </c>
      <c r="J412" s="163" t="s">
        <v>2397</v>
      </c>
    </row>
    <row r="413" spans="1:10" x14ac:dyDescent="0.2">
      <c r="A413" s="163">
        <v>21309</v>
      </c>
      <c r="B413" s="163" t="s">
        <v>1901</v>
      </c>
      <c r="C413" s="163" t="s">
        <v>2141</v>
      </c>
      <c r="D413" s="164">
        <v>44927</v>
      </c>
      <c r="E413" s="164">
        <v>46022</v>
      </c>
      <c r="F413" s="163" t="s">
        <v>1881</v>
      </c>
      <c r="G413" s="163" t="s">
        <v>1882</v>
      </c>
      <c r="H413" s="165">
        <v>1248835.6000000001</v>
      </c>
      <c r="I413" s="164">
        <v>46066</v>
      </c>
      <c r="J413" s="163" t="s">
        <v>2398</v>
      </c>
    </row>
    <row r="414" spans="1:10" x14ac:dyDescent="0.2">
      <c r="A414" s="163">
        <v>21308</v>
      </c>
      <c r="B414" s="163" t="s">
        <v>1927</v>
      </c>
      <c r="C414" s="163" t="s">
        <v>1562</v>
      </c>
      <c r="D414" s="164">
        <v>45658</v>
      </c>
      <c r="E414" s="164">
        <v>45659</v>
      </c>
      <c r="F414" s="163" t="s">
        <v>1881</v>
      </c>
      <c r="G414" s="163" t="s">
        <v>1882</v>
      </c>
      <c r="H414" s="165">
        <v>1357</v>
      </c>
      <c r="I414" s="164">
        <v>46066</v>
      </c>
      <c r="J414" s="163" t="s">
        <v>2399</v>
      </c>
    </row>
    <row r="415" spans="1:10" x14ac:dyDescent="0.2">
      <c r="A415" s="163">
        <v>21307</v>
      </c>
      <c r="B415" s="163" t="s">
        <v>1987</v>
      </c>
      <c r="C415" s="163" t="s">
        <v>1988</v>
      </c>
      <c r="D415" s="164">
        <v>44736</v>
      </c>
      <c r="E415" s="164">
        <v>46387</v>
      </c>
      <c r="F415" s="163" t="s">
        <v>1881</v>
      </c>
      <c r="G415" s="163" t="s">
        <v>1882</v>
      </c>
      <c r="H415" s="165">
        <v>20834.8</v>
      </c>
      <c r="I415" s="164">
        <v>46066</v>
      </c>
      <c r="J415" s="163" t="s">
        <v>2400</v>
      </c>
    </row>
    <row r="416" spans="1:10" x14ac:dyDescent="0.2">
      <c r="A416" s="163">
        <v>21306</v>
      </c>
      <c r="B416" s="163" t="s">
        <v>2401</v>
      </c>
      <c r="C416" s="163" t="s">
        <v>941</v>
      </c>
      <c r="D416" s="164">
        <v>45658</v>
      </c>
      <c r="E416" s="164">
        <v>45659</v>
      </c>
      <c r="F416" s="163" t="s">
        <v>1881</v>
      </c>
      <c r="G416" s="163" t="s">
        <v>1882</v>
      </c>
      <c r="H416" s="165">
        <v>142</v>
      </c>
      <c r="I416" s="164">
        <v>46066</v>
      </c>
      <c r="J416" s="163" t="s">
        <v>942</v>
      </c>
    </row>
    <row r="417" spans="1:10" x14ac:dyDescent="0.2">
      <c r="A417" s="163">
        <v>21305</v>
      </c>
      <c r="B417" s="163" t="s">
        <v>2401</v>
      </c>
      <c r="C417" s="163" t="s">
        <v>2402</v>
      </c>
      <c r="D417" s="164">
        <v>45658</v>
      </c>
      <c r="E417" s="164">
        <v>45659</v>
      </c>
      <c r="F417" s="163" t="s">
        <v>1881</v>
      </c>
      <c r="G417" s="163" t="s">
        <v>1882</v>
      </c>
      <c r="H417" s="165">
        <v>0</v>
      </c>
      <c r="I417" s="164">
        <v>46066</v>
      </c>
      <c r="J417" s="163" t="s">
        <v>2403</v>
      </c>
    </row>
    <row r="418" spans="1:10" x14ac:dyDescent="0.2">
      <c r="A418" s="163">
        <v>21304</v>
      </c>
      <c r="B418" s="163" t="s">
        <v>2205</v>
      </c>
      <c r="C418" s="163" t="s">
        <v>2206</v>
      </c>
      <c r="D418" s="164">
        <v>43466</v>
      </c>
      <c r="E418" s="164">
        <v>46022</v>
      </c>
      <c r="F418" s="163" t="s">
        <v>1881</v>
      </c>
      <c r="G418" s="163" t="s">
        <v>1882</v>
      </c>
      <c r="H418" s="165">
        <v>7754.57</v>
      </c>
      <c r="I418" s="164">
        <v>46066</v>
      </c>
      <c r="J418" s="163" t="s">
        <v>2404</v>
      </c>
    </row>
    <row r="419" spans="1:10" x14ac:dyDescent="0.2">
      <c r="A419" s="163">
        <v>21303</v>
      </c>
      <c r="B419" s="163" t="s">
        <v>1897</v>
      </c>
      <c r="C419" s="163" t="s">
        <v>1932</v>
      </c>
      <c r="D419" s="164">
        <v>43784</v>
      </c>
      <c r="E419" s="164">
        <v>43830</v>
      </c>
      <c r="F419" s="163" t="s">
        <v>1881</v>
      </c>
      <c r="G419" s="163" t="s">
        <v>2043</v>
      </c>
      <c r="H419" s="165">
        <v>1808.5</v>
      </c>
      <c r="I419" s="164">
        <v>46066</v>
      </c>
      <c r="J419" s="163" t="s">
        <v>2405</v>
      </c>
    </row>
    <row r="420" spans="1:10" x14ac:dyDescent="0.2">
      <c r="A420" s="163">
        <v>21302</v>
      </c>
      <c r="B420" s="163" t="s">
        <v>1901</v>
      </c>
      <c r="C420" s="163" t="s">
        <v>2394</v>
      </c>
      <c r="D420" s="164">
        <v>44904</v>
      </c>
      <c r="E420" s="164">
        <v>46000</v>
      </c>
      <c r="F420" s="163" t="s">
        <v>1881</v>
      </c>
      <c r="G420" s="163" t="s">
        <v>1882</v>
      </c>
      <c r="H420" s="165">
        <v>767997.7</v>
      </c>
      <c r="I420" s="164">
        <v>46066</v>
      </c>
      <c r="J420" s="163" t="s">
        <v>2406</v>
      </c>
    </row>
    <row r="421" spans="1:10" x14ac:dyDescent="0.2">
      <c r="A421" s="163">
        <v>21301</v>
      </c>
      <c r="B421" s="163" t="s">
        <v>1901</v>
      </c>
      <c r="C421" s="163" t="s">
        <v>2407</v>
      </c>
      <c r="D421" s="164">
        <v>46023</v>
      </c>
      <c r="E421" s="164">
        <v>47119</v>
      </c>
      <c r="F421" s="163" t="s">
        <v>1881</v>
      </c>
      <c r="G421" s="163" t="s">
        <v>1882</v>
      </c>
      <c r="H421" s="165">
        <v>25847.599999999999</v>
      </c>
      <c r="I421" s="164">
        <v>46066</v>
      </c>
      <c r="J421" s="163" t="s">
        <v>1074</v>
      </c>
    </row>
    <row r="422" spans="1:10" x14ac:dyDescent="0.2">
      <c r="A422" s="163">
        <v>21300</v>
      </c>
      <c r="B422" s="163" t="s">
        <v>1901</v>
      </c>
      <c r="C422" s="163" t="s">
        <v>2408</v>
      </c>
      <c r="D422" s="164">
        <v>46023</v>
      </c>
      <c r="E422" s="164">
        <v>47119</v>
      </c>
      <c r="F422" s="163" t="s">
        <v>1881</v>
      </c>
      <c r="G422" s="163" t="s">
        <v>1882</v>
      </c>
      <c r="H422" s="165">
        <v>1042299.45</v>
      </c>
      <c r="I422" s="164">
        <v>46066</v>
      </c>
      <c r="J422" s="163" t="s">
        <v>995</v>
      </c>
    </row>
    <row r="423" spans="1:10" x14ac:dyDescent="0.2">
      <c r="A423" s="163">
        <v>21299</v>
      </c>
      <c r="B423" s="163" t="s">
        <v>1895</v>
      </c>
      <c r="C423" s="163" t="s">
        <v>460</v>
      </c>
      <c r="D423" s="164">
        <v>45658</v>
      </c>
      <c r="E423" s="164">
        <v>45659</v>
      </c>
      <c r="F423" s="163" t="s">
        <v>1881</v>
      </c>
      <c r="G423" s="163" t="s">
        <v>2043</v>
      </c>
      <c r="H423" s="165">
        <v>35716</v>
      </c>
      <c r="I423" s="164">
        <v>46066</v>
      </c>
      <c r="J423" s="163" t="s">
        <v>2409</v>
      </c>
    </row>
    <row r="424" spans="1:10" x14ac:dyDescent="0.2">
      <c r="A424" s="163">
        <v>21298</v>
      </c>
      <c r="B424" s="163" t="s">
        <v>1895</v>
      </c>
      <c r="C424" s="163" t="s">
        <v>509</v>
      </c>
      <c r="D424" s="164">
        <v>45658</v>
      </c>
      <c r="E424" s="164">
        <v>45659</v>
      </c>
      <c r="F424" s="163" t="s">
        <v>1881</v>
      </c>
      <c r="G424" s="163" t="s">
        <v>2043</v>
      </c>
      <c r="H424" s="165">
        <v>3945.87</v>
      </c>
      <c r="I424" s="164">
        <v>46066</v>
      </c>
      <c r="J424" s="163" t="s">
        <v>2410</v>
      </c>
    </row>
    <row r="425" spans="1:10" x14ac:dyDescent="0.2">
      <c r="A425" s="163">
        <v>21297</v>
      </c>
      <c r="B425" s="163" t="s">
        <v>1895</v>
      </c>
      <c r="C425" s="163" t="s">
        <v>458</v>
      </c>
      <c r="D425" s="164">
        <v>45658</v>
      </c>
      <c r="E425" s="164">
        <v>45659</v>
      </c>
      <c r="F425" s="163" t="s">
        <v>1881</v>
      </c>
      <c r="G425" s="163" t="s">
        <v>1882</v>
      </c>
      <c r="H425" s="165">
        <v>0</v>
      </c>
      <c r="I425" s="164">
        <v>46066</v>
      </c>
      <c r="J425" s="163" t="s">
        <v>2411</v>
      </c>
    </row>
    <row r="426" spans="1:10" x14ac:dyDescent="0.2">
      <c r="A426" s="163">
        <v>21296</v>
      </c>
      <c r="B426" s="163" t="s">
        <v>1895</v>
      </c>
      <c r="C426" s="163" t="s">
        <v>2412</v>
      </c>
      <c r="D426" s="164">
        <v>45658</v>
      </c>
      <c r="E426" s="164">
        <v>45659</v>
      </c>
      <c r="F426" s="163" t="s">
        <v>1881</v>
      </c>
      <c r="G426" s="163" t="s">
        <v>1882</v>
      </c>
      <c r="H426" s="165">
        <v>0</v>
      </c>
      <c r="I426" s="164">
        <v>46066</v>
      </c>
      <c r="J426" s="163" t="s">
        <v>2413</v>
      </c>
    </row>
    <row r="427" spans="1:10" x14ac:dyDescent="0.2">
      <c r="A427" s="163">
        <v>21295</v>
      </c>
      <c r="B427" s="163" t="s">
        <v>1895</v>
      </c>
      <c r="C427" s="163" t="s">
        <v>508</v>
      </c>
      <c r="D427" s="164">
        <v>45658</v>
      </c>
      <c r="E427" s="164">
        <v>45659</v>
      </c>
      <c r="F427" s="163" t="s">
        <v>1881</v>
      </c>
      <c r="G427" s="163" t="s">
        <v>1882</v>
      </c>
      <c r="H427" s="165">
        <v>0</v>
      </c>
      <c r="I427" s="164">
        <v>46066</v>
      </c>
      <c r="J427" s="163" t="s">
        <v>2414</v>
      </c>
    </row>
    <row r="428" spans="1:10" x14ac:dyDescent="0.2">
      <c r="A428" s="163">
        <v>21294</v>
      </c>
      <c r="B428" s="163" t="s">
        <v>1889</v>
      </c>
      <c r="C428" s="163" t="s">
        <v>457</v>
      </c>
      <c r="D428" s="164">
        <v>45658</v>
      </c>
      <c r="E428" s="164">
        <v>45659</v>
      </c>
      <c r="F428" s="163" t="s">
        <v>1881</v>
      </c>
      <c r="G428" s="163" t="s">
        <v>2043</v>
      </c>
      <c r="H428" s="165">
        <v>111646.1</v>
      </c>
      <c r="I428" s="164">
        <v>46066</v>
      </c>
      <c r="J428" s="163" t="s">
        <v>2415</v>
      </c>
    </row>
    <row r="429" spans="1:10" x14ac:dyDescent="0.2">
      <c r="A429" s="163">
        <v>21293</v>
      </c>
      <c r="B429" s="163" t="s">
        <v>1895</v>
      </c>
      <c r="C429" s="163" t="s">
        <v>479</v>
      </c>
      <c r="D429" s="164">
        <v>45658</v>
      </c>
      <c r="E429" s="164">
        <v>45659</v>
      </c>
      <c r="F429" s="163" t="s">
        <v>1881</v>
      </c>
      <c r="G429" s="163" t="s">
        <v>1882</v>
      </c>
      <c r="H429" s="165">
        <v>0</v>
      </c>
      <c r="I429" s="164">
        <v>46066</v>
      </c>
      <c r="J429" s="163" t="s">
        <v>2416</v>
      </c>
    </row>
    <row r="430" spans="1:10" x14ac:dyDescent="0.2">
      <c r="A430" s="163">
        <v>21292</v>
      </c>
      <c r="B430" s="163" t="s">
        <v>1895</v>
      </c>
      <c r="C430" s="163" t="s">
        <v>1996</v>
      </c>
      <c r="D430" s="164">
        <v>42339</v>
      </c>
      <c r="E430" s="164">
        <v>45504</v>
      </c>
      <c r="F430" s="163" t="s">
        <v>1881</v>
      </c>
      <c r="G430" s="163" t="s">
        <v>1882</v>
      </c>
      <c r="H430" s="165">
        <v>0</v>
      </c>
      <c r="I430" s="164">
        <v>46066</v>
      </c>
      <c r="J430" s="163" t="s">
        <v>2417</v>
      </c>
    </row>
    <row r="431" spans="1:10" x14ac:dyDescent="0.2">
      <c r="A431" s="163">
        <v>21291</v>
      </c>
      <c r="B431" s="163" t="s">
        <v>2038</v>
      </c>
      <c r="C431" s="163" t="s">
        <v>2039</v>
      </c>
      <c r="D431" s="164">
        <v>44032</v>
      </c>
      <c r="E431" s="164">
        <v>45838</v>
      </c>
      <c r="F431" s="163" t="s">
        <v>1881</v>
      </c>
      <c r="G431" s="163" t="s">
        <v>1882</v>
      </c>
      <c r="H431" s="165">
        <v>0</v>
      </c>
      <c r="I431" s="164">
        <v>46066</v>
      </c>
      <c r="J431" s="163" t="s">
        <v>2418</v>
      </c>
    </row>
    <row r="432" spans="1:10" x14ac:dyDescent="0.2">
      <c r="A432" s="163">
        <v>21290</v>
      </c>
      <c r="B432" s="163" t="s">
        <v>1987</v>
      </c>
      <c r="C432" s="163" t="s">
        <v>1988</v>
      </c>
      <c r="D432" s="164">
        <v>44736</v>
      </c>
      <c r="E432" s="164">
        <v>46387</v>
      </c>
      <c r="F432" s="163" t="s">
        <v>1881</v>
      </c>
      <c r="G432" s="163" t="s">
        <v>1882</v>
      </c>
      <c r="H432" s="165">
        <v>1378.25</v>
      </c>
      <c r="I432" s="164">
        <v>46066</v>
      </c>
      <c r="J432" s="163" t="s">
        <v>2419</v>
      </c>
    </row>
    <row r="433" spans="1:10" x14ac:dyDescent="0.2">
      <c r="A433" s="163">
        <v>21289</v>
      </c>
      <c r="B433" s="163" t="s">
        <v>1901</v>
      </c>
      <c r="C433" s="163" t="s">
        <v>456</v>
      </c>
      <c r="D433" s="164">
        <v>45658</v>
      </c>
      <c r="E433" s="164">
        <v>45659</v>
      </c>
      <c r="F433" s="163" t="s">
        <v>1881</v>
      </c>
      <c r="G433" s="163" t="s">
        <v>1882</v>
      </c>
      <c r="H433" s="165">
        <v>725963.8</v>
      </c>
      <c r="I433" s="164">
        <v>46066</v>
      </c>
      <c r="J433" s="163" t="s">
        <v>2420</v>
      </c>
    </row>
    <row r="434" spans="1:10" x14ac:dyDescent="0.2">
      <c r="A434" s="163">
        <v>21288</v>
      </c>
      <c r="B434" s="163" t="s">
        <v>1879</v>
      </c>
      <c r="C434" s="163" t="s">
        <v>1985</v>
      </c>
      <c r="D434" s="164">
        <v>43891</v>
      </c>
      <c r="E434" s="164">
        <v>46660</v>
      </c>
      <c r="F434" s="163" t="s">
        <v>1881</v>
      </c>
      <c r="G434" s="163" t="s">
        <v>1882</v>
      </c>
      <c r="H434" s="165">
        <v>307625.15999999997</v>
      </c>
      <c r="I434" s="164">
        <v>46066</v>
      </c>
      <c r="J434" s="163" t="s">
        <v>1013</v>
      </c>
    </row>
    <row r="435" spans="1:10" x14ac:dyDescent="0.2">
      <c r="A435" s="163">
        <v>21287</v>
      </c>
      <c r="B435" s="163" t="s">
        <v>1905</v>
      </c>
      <c r="C435" s="163" t="s">
        <v>1906</v>
      </c>
      <c r="D435" s="164">
        <v>43944</v>
      </c>
      <c r="E435" s="164">
        <v>46568</v>
      </c>
      <c r="F435" s="163" t="s">
        <v>1881</v>
      </c>
      <c r="G435" s="163" t="s">
        <v>1882</v>
      </c>
      <c r="H435" s="165">
        <v>24051.05</v>
      </c>
      <c r="I435" s="164">
        <v>46066</v>
      </c>
      <c r="J435" s="163" t="s">
        <v>2421</v>
      </c>
    </row>
    <row r="436" spans="1:10" x14ac:dyDescent="0.2">
      <c r="A436" s="163">
        <v>21286</v>
      </c>
      <c r="B436" s="163" t="s">
        <v>1901</v>
      </c>
      <c r="C436" s="163" t="s">
        <v>2350</v>
      </c>
      <c r="D436" s="164">
        <v>44562</v>
      </c>
      <c r="E436" s="164">
        <v>45657</v>
      </c>
      <c r="F436" s="163" t="s">
        <v>1881</v>
      </c>
      <c r="G436" s="163" t="s">
        <v>1882</v>
      </c>
      <c r="H436" s="165">
        <v>813120.57</v>
      </c>
      <c r="I436" s="164">
        <v>46066</v>
      </c>
      <c r="J436" s="163" t="s">
        <v>2422</v>
      </c>
    </row>
    <row r="437" spans="1:10" x14ac:dyDescent="0.2">
      <c r="A437" s="163">
        <v>21285</v>
      </c>
      <c r="B437" s="163" t="s">
        <v>1905</v>
      </c>
      <c r="C437" s="163" t="s">
        <v>1906</v>
      </c>
      <c r="D437" s="164">
        <v>43944</v>
      </c>
      <c r="E437" s="164">
        <v>46568</v>
      </c>
      <c r="F437" s="163" t="s">
        <v>1881</v>
      </c>
      <c r="G437" s="163" t="s">
        <v>1882</v>
      </c>
      <c r="H437" s="165">
        <v>0</v>
      </c>
      <c r="I437" s="164">
        <v>46066</v>
      </c>
      <c r="J437" s="163" t="s">
        <v>2423</v>
      </c>
    </row>
    <row r="438" spans="1:10" x14ac:dyDescent="0.2">
      <c r="A438" s="163">
        <v>21284</v>
      </c>
      <c r="B438" s="163" t="s">
        <v>1907</v>
      </c>
      <c r="C438" s="163" t="s">
        <v>1908</v>
      </c>
      <c r="D438" s="164">
        <v>44036</v>
      </c>
      <c r="E438" s="164">
        <v>46022</v>
      </c>
      <c r="F438" s="163" t="s">
        <v>1881</v>
      </c>
      <c r="G438" s="163" t="s">
        <v>1882</v>
      </c>
      <c r="H438" s="165">
        <v>0</v>
      </c>
      <c r="I438" s="164">
        <v>46066</v>
      </c>
      <c r="J438" s="163" t="s">
        <v>2424</v>
      </c>
    </row>
    <row r="439" spans="1:10" x14ac:dyDescent="0.2">
      <c r="A439" s="163">
        <v>21283</v>
      </c>
      <c r="B439" s="163" t="s">
        <v>1895</v>
      </c>
      <c r="C439" s="163" t="s">
        <v>1248</v>
      </c>
      <c r="D439" s="164">
        <v>45658</v>
      </c>
      <c r="E439" s="164">
        <v>45659</v>
      </c>
      <c r="F439" s="163" t="s">
        <v>1881</v>
      </c>
      <c r="G439" s="163" t="s">
        <v>1882</v>
      </c>
      <c r="H439" s="165">
        <v>14081.77</v>
      </c>
      <c r="I439" s="164">
        <v>46066</v>
      </c>
      <c r="J439" s="163" t="s">
        <v>2425</v>
      </c>
    </row>
    <row r="440" spans="1:10" x14ac:dyDescent="0.2">
      <c r="A440" s="163">
        <v>21282</v>
      </c>
      <c r="B440" s="163" t="s">
        <v>1895</v>
      </c>
      <c r="C440" s="163" t="s">
        <v>1044</v>
      </c>
      <c r="D440" s="164">
        <v>45658</v>
      </c>
      <c r="E440" s="164">
        <v>45659</v>
      </c>
      <c r="F440" s="163" t="s">
        <v>1881</v>
      </c>
      <c r="G440" s="163" t="s">
        <v>2043</v>
      </c>
      <c r="H440" s="165">
        <v>29609.45</v>
      </c>
      <c r="I440" s="164">
        <v>46066</v>
      </c>
      <c r="J440" s="163" t="s">
        <v>2426</v>
      </c>
    </row>
    <row r="441" spans="1:10" x14ac:dyDescent="0.2">
      <c r="A441" s="163">
        <v>21281</v>
      </c>
      <c r="B441" s="163" t="s">
        <v>1887</v>
      </c>
      <c r="C441" s="163" t="s">
        <v>642</v>
      </c>
      <c r="D441" s="164">
        <v>45658</v>
      </c>
      <c r="E441" s="164">
        <v>45659</v>
      </c>
      <c r="F441" s="163" t="s">
        <v>1881</v>
      </c>
      <c r="G441" s="163" t="s">
        <v>2043</v>
      </c>
      <c r="H441" s="165">
        <v>2973</v>
      </c>
      <c r="I441" s="164">
        <v>46066</v>
      </c>
      <c r="J441" s="163" t="s">
        <v>643</v>
      </c>
    </row>
    <row r="442" spans="1:10" x14ac:dyDescent="0.2">
      <c r="A442" s="163">
        <v>21280</v>
      </c>
      <c r="B442" s="163" t="s">
        <v>2427</v>
      </c>
      <c r="C442" s="163" t="s">
        <v>2094</v>
      </c>
      <c r="D442" s="164">
        <v>45854</v>
      </c>
      <c r="E442" s="164">
        <v>46219</v>
      </c>
      <c r="F442" s="163" t="s">
        <v>1881</v>
      </c>
      <c r="G442" s="163" t="s">
        <v>1882</v>
      </c>
      <c r="H442" s="165">
        <v>11665.36</v>
      </c>
      <c r="I442" s="164">
        <v>46066</v>
      </c>
      <c r="J442" s="163" t="s">
        <v>966</v>
      </c>
    </row>
    <row r="443" spans="1:10" x14ac:dyDescent="0.2">
      <c r="A443" s="163">
        <v>21279</v>
      </c>
      <c r="B443" s="163" t="s">
        <v>2427</v>
      </c>
      <c r="C443" s="163" t="s">
        <v>2094</v>
      </c>
      <c r="D443" s="164">
        <v>45854</v>
      </c>
      <c r="E443" s="164">
        <v>46219</v>
      </c>
      <c r="F443" s="163" t="s">
        <v>1881</v>
      </c>
      <c r="G443" s="163" t="s">
        <v>1882</v>
      </c>
      <c r="H443" s="165">
        <v>0</v>
      </c>
      <c r="I443" s="164">
        <v>46066</v>
      </c>
      <c r="J443" s="163" t="s">
        <v>2428</v>
      </c>
    </row>
    <row r="444" spans="1:10" x14ac:dyDescent="0.2">
      <c r="A444" s="163">
        <v>21278</v>
      </c>
      <c r="B444" s="163" t="s">
        <v>1905</v>
      </c>
      <c r="C444" s="163" t="s">
        <v>1906</v>
      </c>
      <c r="D444" s="164">
        <v>43944</v>
      </c>
      <c r="E444" s="164">
        <v>46568</v>
      </c>
      <c r="F444" s="163" t="s">
        <v>1881</v>
      </c>
      <c r="G444" s="163" t="s">
        <v>1882</v>
      </c>
      <c r="H444" s="165">
        <v>33561.800000000003</v>
      </c>
      <c r="I444" s="164">
        <v>46066</v>
      </c>
      <c r="J444" s="163" t="s">
        <v>2429</v>
      </c>
    </row>
    <row r="445" spans="1:10" x14ac:dyDescent="0.2">
      <c r="A445" s="163">
        <v>21277</v>
      </c>
      <c r="B445" s="163" t="s">
        <v>1879</v>
      </c>
      <c r="C445" s="163" t="s">
        <v>1985</v>
      </c>
      <c r="D445" s="164">
        <v>43891</v>
      </c>
      <c r="E445" s="164">
        <v>46660</v>
      </c>
      <c r="F445" s="163" t="s">
        <v>1881</v>
      </c>
      <c r="G445" s="163" t="s">
        <v>1882</v>
      </c>
      <c r="H445" s="165">
        <v>304679.64</v>
      </c>
      <c r="I445" s="164">
        <v>46066</v>
      </c>
      <c r="J445" s="163" t="s">
        <v>755</v>
      </c>
    </row>
    <row r="446" spans="1:10" x14ac:dyDescent="0.2">
      <c r="A446" s="163">
        <v>21276</v>
      </c>
      <c r="B446" s="163" t="s">
        <v>1901</v>
      </c>
      <c r="C446" s="163" t="s">
        <v>1015</v>
      </c>
      <c r="D446" s="164">
        <v>45658</v>
      </c>
      <c r="E446" s="164">
        <v>45659</v>
      </c>
      <c r="F446" s="163" t="s">
        <v>1881</v>
      </c>
      <c r="G446" s="163" t="s">
        <v>1882</v>
      </c>
      <c r="H446" s="165">
        <v>807159.53</v>
      </c>
      <c r="I446" s="164">
        <v>46066</v>
      </c>
      <c r="J446" s="163" t="s">
        <v>1016</v>
      </c>
    </row>
    <row r="447" spans="1:10" x14ac:dyDescent="0.2">
      <c r="A447" s="163">
        <v>21275</v>
      </c>
      <c r="B447" s="163" t="s">
        <v>1887</v>
      </c>
      <c r="C447" s="163" t="s">
        <v>1978</v>
      </c>
      <c r="D447" s="164">
        <v>44995</v>
      </c>
      <c r="E447" s="164">
        <v>46090</v>
      </c>
      <c r="F447" s="163" t="s">
        <v>1881</v>
      </c>
      <c r="G447" s="163" t="s">
        <v>1882</v>
      </c>
      <c r="H447" s="165">
        <v>0</v>
      </c>
      <c r="I447" s="164">
        <v>46066</v>
      </c>
      <c r="J447" s="163" t="s">
        <v>2430</v>
      </c>
    </row>
    <row r="448" spans="1:10" x14ac:dyDescent="0.2">
      <c r="A448" s="163">
        <v>21274</v>
      </c>
      <c r="B448" s="163" t="s">
        <v>2431</v>
      </c>
      <c r="C448" s="163" t="s">
        <v>2432</v>
      </c>
      <c r="D448" s="164">
        <v>43545</v>
      </c>
      <c r="E448" s="164">
        <v>45291</v>
      </c>
      <c r="F448" s="163" t="s">
        <v>1881</v>
      </c>
      <c r="G448" s="163" t="s">
        <v>1882</v>
      </c>
      <c r="H448" s="165">
        <v>0</v>
      </c>
      <c r="I448" s="164">
        <v>46066</v>
      </c>
      <c r="J448" s="163" t="s">
        <v>2433</v>
      </c>
    </row>
    <row r="449" spans="1:10" x14ac:dyDescent="0.2">
      <c r="A449" s="163">
        <v>21273</v>
      </c>
      <c r="B449" s="163" t="s">
        <v>1987</v>
      </c>
      <c r="C449" s="163" t="s">
        <v>1988</v>
      </c>
      <c r="D449" s="164">
        <v>44736</v>
      </c>
      <c r="E449" s="164">
        <v>46387</v>
      </c>
      <c r="F449" s="163" t="s">
        <v>1881</v>
      </c>
      <c r="G449" s="163" t="s">
        <v>1882</v>
      </c>
      <c r="H449" s="165">
        <v>20287.8</v>
      </c>
      <c r="I449" s="164">
        <v>46066</v>
      </c>
      <c r="J449" s="163" t="s">
        <v>2434</v>
      </c>
    </row>
    <row r="450" spans="1:10" x14ac:dyDescent="0.2">
      <c r="A450" s="163">
        <v>21272</v>
      </c>
      <c r="B450" s="163" t="s">
        <v>1901</v>
      </c>
      <c r="C450" s="163" t="s">
        <v>1503</v>
      </c>
      <c r="D450" s="164">
        <v>45658</v>
      </c>
      <c r="E450" s="164">
        <v>45659</v>
      </c>
      <c r="F450" s="163" t="s">
        <v>1881</v>
      </c>
      <c r="G450" s="163" t="s">
        <v>2043</v>
      </c>
      <c r="H450" s="165">
        <v>5886.76</v>
      </c>
      <c r="I450" s="164">
        <v>46066</v>
      </c>
      <c r="J450" s="163" t="s">
        <v>2435</v>
      </c>
    </row>
    <row r="451" spans="1:10" x14ac:dyDescent="0.2">
      <c r="A451" s="163">
        <v>21271</v>
      </c>
      <c r="B451" s="163" t="s">
        <v>1895</v>
      </c>
      <c r="C451" s="163" t="s">
        <v>892</v>
      </c>
      <c r="D451" s="164">
        <v>45658</v>
      </c>
      <c r="E451" s="164">
        <v>45659</v>
      </c>
      <c r="F451" s="163" t="s">
        <v>1881</v>
      </c>
      <c r="G451" s="163" t="s">
        <v>2043</v>
      </c>
      <c r="H451" s="165">
        <v>4151</v>
      </c>
      <c r="I451" s="164">
        <v>46066</v>
      </c>
      <c r="J451" s="163" t="s">
        <v>893</v>
      </c>
    </row>
    <row r="452" spans="1:10" x14ac:dyDescent="0.2">
      <c r="A452" s="163">
        <v>21270</v>
      </c>
      <c r="B452" s="163" t="s">
        <v>2089</v>
      </c>
      <c r="C452" s="163" t="s">
        <v>2090</v>
      </c>
      <c r="D452" s="164">
        <v>44588</v>
      </c>
      <c r="E452" s="164">
        <v>45864</v>
      </c>
      <c r="F452" s="163" t="s">
        <v>1881</v>
      </c>
      <c r="G452" s="163" t="s">
        <v>1882</v>
      </c>
      <c r="H452" s="165">
        <v>0</v>
      </c>
      <c r="I452" s="164">
        <v>46066</v>
      </c>
      <c r="J452" s="163" t="s">
        <v>2436</v>
      </c>
    </row>
    <row r="453" spans="1:10" x14ac:dyDescent="0.2">
      <c r="A453" s="163">
        <v>21269</v>
      </c>
      <c r="B453" s="163" t="s">
        <v>1895</v>
      </c>
      <c r="C453" s="163" t="s">
        <v>848</v>
      </c>
      <c r="D453" s="164">
        <v>45658</v>
      </c>
      <c r="E453" s="164">
        <v>45659</v>
      </c>
      <c r="F453" s="163" t="s">
        <v>1881</v>
      </c>
      <c r="G453" s="163" t="s">
        <v>1882</v>
      </c>
      <c r="H453" s="165">
        <v>3577</v>
      </c>
      <c r="I453" s="164">
        <v>46066</v>
      </c>
      <c r="J453" s="163" t="s">
        <v>849</v>
      </c>
    </row>
    <row r="454" spans="1:10" x14ac:dyDescent="0.2">
      <c r="A454" s="163">
        <v>21268</v>
      </c>
      <c r="B454" s="163" t="s">
        <v>1987</v>
      </c>
      <c r="C454" s="163" t="s">
        <v>1988</v>
      </c>
      <c r="D454" s="164">
        <v>44736</v>
      </c>
      <c r="E454" s="164">
        <v>46387</v>
      </c>
      <c r="F454" s="163" t="s">
        <v>1881</v>
      </c>
      <c r="G454" s="163" t="s">
        <v>1882</v>
      </c>
      <c r="H454" s="165">
        <v>0</v>
      </c>
      <c r="I454" s="164">
        <v>46066</v>
      </c>
      <c r="J454" s="163" t="s">
        <v>2437</v>
      </c>
    </row>
    <row r="455" spans="1:10" x14ac:dyDescent="0.2">
      <c r="A455" s="163">
        <v>21267</v>
      </c>
      <c r="B455" s="163" t="s">
        <v>1895</v>
      </c>
      <c r="C455" s="163" t="s">
        <v>1996</v>
      </c>
      <c r="D455" s="164">
        <v>42339</v>
      </c>
      <c r="E455" s="164">
        <v>45504</v>
      </c>
      <c r="F455" s="163" t="s">
        <v>1881</v>
      </c>
      <c r="G455" s="163" t="s">
        <v>1882</v>
      </c>
      <c r="H455" s="165">
        <v>0</v>
      </c>
      <c r="I455" s="164">
        <v>46066</v>
      </c>
      <c r="J455" s="163" t="s">
        <v>2438</v>
      </c>
    </row>
    <row r="456" spans="1:10" x14ac:dyDescent="0.2">
      <c r="A456" s="163">
        <v>21266</v>
      </c>
      <c r="B456" s="163" t="s">
        <v>2089</v>
      </c>
      <c r="C456" s="163" t="s">
        <v>2090</v>
      </c>
      <c r="D456" s="164">
        <v>44588</v>
      </c>
      <c r="E456" s="164">
        <v>45864</v>
      </c>
      <c r="F456" s="163" t="s">
        <v>1881</v>
      </c>
      <c r="G456" s="163" t="s">
        <v>1882</v>
      </c>
      <c r="H456" s="165">
        <v>0</v>
      </c>
      <c r="I456" s="164">
        <v>46066</v>
      </c>
      <c r="J456" s="163" t="s">
        <v>2439</v>
      </c>
    </row>
    <row r="457" spans="1:10" x14ac:dyDescent="0.2">
      <c r="A457" s="163">
        <v>21265</v>
      </c>
      <c r="B457" s="163" t="s">
        <v>1895</v>
      </c>
      <c r="C457" s="163" t="s">
        <v>908</v>
      </c>
      <c r="D457" s="164">
        <v>45658</v>
      </c>
      <c r="E457" s="164">
        <v>45659</v>
      </c>
      <c r="F457" s="163" t="s">
        <v>1881</v>
      </c>
      <c r="G457" s="163" t="s">
        <v>2043</v>
      </c>
      <c r="H457" s="165">
        <v>2731.66</v>
      </c>
      <c r="I457" s="164">
        <v>46066</v>
      </c>
      <c r="J457" s="163" t="s">
        <v>1090</v>
      </c>
    </row>
    <row r="458" spans="1:10" x14ac:dyDescent="0.2">
      <c r="A458" s="163">
        <v>21264</v>
      </c>
      <c r="B458" s="163" t="s">
        <v>1889</v>
      </c>
      <c r="C458" s="163" t="s">
        <v>1755</v>
      </c>
      <c r="D458" s="164">
        <v>45658</v>
      </c>
      <c r="E458" s="164">
        <v>45659</v>
      </c>
      <c r="F458" s="163" t="s">
        <v>1881</v>
      </c>
      <c r="G458" s="163" t="s">
        <v>2043</v>
      </c>
      <c r="H458" s="165">
        <v>28827</v>
      </c>
      <c r="I458" s="164">
        <v>46066</v>
      </c>
      <c r="J458" s="163" t="s">
        <v>2440</v>
      </c>
    </row>
    <row r="459" spans="1:10" x14ac:dyDescent="0.2">
      <c r="A459" s="163">
        <v>21263</v>
      </c>
      <c r="B459" s="163" t="s">
        <v>2441</v>
      </c>
      <c r="C459" s="163" t="s">
        <v>796</v>
      </c>
      <c r="D459" s="164">
        <v>45658</v>
      </c>
      <c r="E459" s="164">
        <v>45659</v>
      </c>
      <c r="F459" s="163" t="s">
        <v>1881</v>
      </c>
      <c r="G459" s="163" t="s">
        <v>2043</v>
      </c>
      <c r="H459" s="165">
        <v>23850.35</v>
      </c>
      <c r="I459" s="164">
        <v>46066</v>
      </c>
      <c r="J459" s="163" t="s">
        <v>2442</v>
      </c>
    </row>
    <row r="460" spans="1:10" x14ac:dyDescent="0.2">
      <c r="A460" s="163">
        <v>21262</v>
      </c>
      <c r="B460" s="163" t="s">
        <v>1890</v>
      </c>
      <c r="C460" s="163" t="s">
        <v>2072</v>
      </c>
      <c r="D460" s="164">
        <v>45782</v>
      </c>
      <c r="E460" s="164">
        <v>46142</v>
      </c>
      <c r="F460" s="163" t="s">
        <v>1881</v>
      </c>
      <c r="G460" s="163" t="s">
        <v>1882</v>
      </c>
      <c r="H460" s="165">
        <v>6439.9</v>
      </c>
      <c r="I460" s="164">
        <v>46066</v>
      </c>
      <c r="J460" s="163" t="s">
        <v>2443</v>
      </c>
    </row>
    <row r="461" spans="1:10" x14ac:dyDescent="0.2">
      <c r="A461" s="163">
        <v>21261</v>
      </c>
      <c r="B461" s="163" t="s">
        <v>1895</v>
      </c>
      <c r="C461" s="163" t="s">
        <v>809</v>
      </c>
      <c r="D461" s="164">
        <v>45658</v>
      </c>
      <c r="E461" s="164">
        <v>45659</v>
      </c>
      <c r="F461" s="163" t="s">
        <v>1881</v>
      </c>
      <c r="G461" s="163" t="s">
        <v>2043</v>
      </c>
      <c r="H461" s="165">
        <v>281.22000000000003</v>
      </c>
      <c r="I461" s="164">
        <v>46066</v>
      </c>
      <c r="J461" s="163" t="s">
        <v>810</v>
      </c>
    </row>
    <row r="462" spans="1:10" x14ac:dyDescent="0.2">
      <c r="A462" s="163">
        <v>21260</v>
      </c>
      <c r="B462" s="163" t="s">
        <v>2015</v>
      </c>
      <c r="C462" s="163" t="s">
        <v>2444</v>
      </c>
      <c r="D462" s="164">
        <v>45658</v>
      </c>
      <c r="E462" s="164">
        <v>45659</v>
      </c>
      <c r="F462" s="163" t="s">
        <v>1881</v>
      </c>
      <c r="G462" s="163" t="s">
        <v>1882</v>
      </c>
      <c r="H462" s="165">
        <v>0</v>
      </c>
      <c r="I462" s="164">
        <v>46066</v>
      </c>
      <c r="J462" s="163" t="s">
        <v>2445</v>
      </c>
    </row>
    <row r="463" spans="1:10" x14ac:dyDescent="0.2">
      <c r="A463" s="163">
        <v>21259</v>
      </c>
      <c r="B463" s="163" t="s">
        <v>2007</v>
      </c>
      <c r="C463" s="163" t="s">
        <v>2446</v>
      </c>
      <c r="D463" s="164">
        <v>45586</v>
      </c>
      <c r="E463" s="164">
        <v>45688</v>
      </c>
      <c r="F463" s="163" t="s">
        <v>1881</v>
      </c>
      <c r="G463" s="163" t="s">
        <v>1882</v>
      </c>
      <c r="H463" s="165">
        <v>0</v>
      </c>
      <c r="I463" s="164">
        <v>46066</v>
      </c>
      <c r="J463" s="163" t="s">
        <v>2447</v>
      </c>
    </row>
    <row r="464" spans="1:10" x14ac:dyDescent="0.2">
      <c r="A464" s="163">
        <v>21258</v>
      </c>
      <c r="B464" s="163" t="s">
        <v>1905</v>
      </c>
      <c r="C464" s="163" t="s">
        <v>1906</v>
      </c>
      <c r="D464" s="164">
        <v>43944</v>
      </c>
      <c r="E464" s="164">
        <v>46568</v>
      </c>
      <c r="F464" s="163" t="s">
        <v>1881</v>
      </c>
      <c r="G464" s="163" t="s">
        <v>1882</v>
      </c>
      <c r="H464" s="165">
        <v>550</v>
      </c>
      <c r="I464" s="164">
        <v>46066</v>
      </c>
      <c r="J464" s="163" t="s">
        <v>2448</v>
      </c>
    </row>
    <row r="465" spans="1:10" x14ac:dyDescent="0.2">
      <c r="A465" s="163">
        <v>21257</v>
      </c>
      <c r="B465" s="163" t="s">
        <v>1887</v>
      </c>
      <c r="C465" s="163" t="s">
        <v>1978</v>
      </c>
      <c r="D465" s="164">
        <v>44995</v>
      </c>
      <c r="E465" s="164">
        <v>46090</v>
      </c>
      <c r="F465" s="163" t="s">
        <v>1881</v>
      </c>
      <c r="G465" s="163" t="s">
        <v>1882</v>
      </c>
      <c r="H465" s="165">
        <v>0</v>
      </c>
      <c r="I465" s="164">
        <v>46066</v>
      </c>
      <c r="J465" s="163" t="s">
        <v>2449</v>
      </c>
    </row>
    <row r="466" spans="1:10" x14ac:dyDescent="0.2">
      <c r="A466" s="163">
        <v>21256</v>
      </c>
      <c r="B466" s="163" t="s">
        <v>1887</v>
      </c>
      <c r="C466" s="163" t="s">
        <v>1978</v>
      </c>
      <c r="D466" s="164">
        <v>44995</v>
      </c>
      <c r="E466" s="164">
        <v>46090</v>
      </c>
      <c r="F466" s="163" t="s">
        <v>1881</v>
      </c>
      <c r="G466" s="163" t="s">
        <v>1882</v>
      </c>
      <c r="H466" s="165">
        <v>0</v>
      </c>
      <c r="I466" s="164">
        <v>46066</v>
      </c>
      <c r="J466" s="163" t="s">
        <v>2450</v>
      </c>
    </row>
    <row r="467" spans="1:10" x14ac:dyDescent="0.2">
      <c r="A467" s="163">
        <v>21255</v>
      </c>
      <c r="B467" s="163" t="s">
        <v>1905</v>
      </c>
      <c r="C467" s="163" t="s">
        <v>1906</v>
      </c>
      <c r="D467" s="164">
        <v>43944</v>
      </c>
      <c r="E467" s="164">
        <v>46568</v>
      </c>
      <c r="F467" s="163" t="s">
        <v>1881</v>
      </c>
      <c r="G467" s="163" t="s">
        <v>1882</v>
      </c>
      <c r="H467" s="165">
        <v>33563</v>
      </c>
      <c r="I467" s="164">
        <v>46066</v>
      </c>
      <c r="J467" s="163" t="s">
        <v>797</v>
      </c>
    </row>
    <row r="468" spans="1:10" x14ac:dyDescent="0.2">
      <c r="A468" s="163">
        <v>21254</v>
      </c>
      <c r="B468" s="163" t="s">
        <v>1915</v>
      </c>
      <c r="C468" s="163" t="s">
        <v>404</v>
      </c>
      <c r="D468" s="164">
        <v>45658</v>
      </c>
      <c r="E468" s="164">
        <v>45659</v>
      </c>
      <c r="F468" s="163" t="s">
        <v>1881</v>
      </c>
      <c r="G468" s="163" t="s">
        <v>1882</v>
      </c>
      <c r="H468" s="165">
        <v>0</v>
      </c>
      <c r="I468" s="164">
        <v>46066</v>
      </c>
      <c r="J468" s="163" t="s">
        <v>2451</v>
      </c>
    </row>
    <row r="469" spans="1:10" x14ac:dyDescent="0.2">
      <c r="A469" s="163">
        <v>21253</v>
      </c>
      <c r="B469" s="163" t="s">
        <v>1879</v>
      </c>
      <c r="C469" s="163" t="s">
        <v>1985</v>
      </c>
      <c r="D469" s="164">
        <v>43891</v>
      </c>
      <c r="E469" s="164">
        <v>46660</v>
      </c>
      <c r="F469" s="163" t="s">
        <v>1881</v>
      </c>
      <c r="G469" s="163" t="s">
        <v>1882</v>
      </c>
      <c r="H469" s="165">
        <v>0</v>
      </c>
      <c r="I469" s="164">
        <v>46066</v>
      </c>
      <c r="J469" s="163" t="s">
        <v>2452</v>
      </c>
    </row>
    <row r="470" spans="1:10" x14ac:dyDescent="0.2">
      <c r="A470" s="163">
        <v>21252</v>
      </c>
      <c r="B470" s="163" t="s">
        <v>1905</v>
      </c>
      <c r="C470" s="163" t="s">
        <v>1906</v>
      </c>
      <c r="D470" s="164">
        <v>43944</v>
      </c>
      <c r="E470" s="164">
        <v>46568</v>
      </c>
      <c r="F470" s="163" t="s">
        <v>1881</v>
      </c>
      <c r="G470" s="163" t="s">
        <v>1882</v>
      </c>
      <c r="H470" s="165">
        <v>0</v>
      </c>
      <c r="I470" s="164">
        <v>46066</v>
      </c>
      <c r="J470" s="163" t="s">
        <v>2453</v>
      </c>
    </row>
    <row r="471" spans="1:10" x14ac:dyDescent="0.2">
      <c r="A471" s="163">
        <v>21251</v>
      </c>
      <c r="B471" s="163" t="s">
        <v>1879</v>
      </c>
      <c r="C471" s="163" t="s">
        <v>1985</v>
      </c>
      <c r="D471" s="164">
        <v>43891</v>
      </c>
      <c r="E471" s="164">
        <v>46660</v>
      </c>
      <c r="F471" s="163" t="s">
        <v>1881</v>
      </c>
      <c r="G471" s="163" t="s">
        <v>1882</v>
      </c>
      <c r="H471" s="165">
        <v>0</v>
      </c>
      <c r="I471" s="164">
        <v>46066</v>
      </c>
      <c r="J471" s="163" t="s">
        <v>2454</v>
      </c>
    </row>
    <row r="472" spans="1:10" x14ac:dyDescent="0.2">
      <c r="A472" s="163">
        <v>21250</v>
      </c>
      <c r="B472" s="163" t="s">
        <v>1879</v>
      </c>
      <c r="C472" s="163" t="s">
        <v>1985</v>
      </c>
      <c r="D472" s="164">
        <v>43891</v>
      </c>
      <c r="E472" s="164">
        <v>46660</v>
      </c>
      <c r="F472" s="163" t="s">
        <v>1881</v>
      </c>
      <c r="G472" s="163" t="s">
        <v>1882</v>
      </c>
      <c r="H472" s="165">
        <v>347273.22</v>
      </c>
      <c r="I472" s="164">
        <v>46066</v>
      </c>
      <c r="J472" s="163" t="s">
        <v>1032</v>
      </c>
    </row>
    <row r="473" spans="1:10" x14ac:dyDescent="0.2">
      <c r="A473" s="163">
        <v>21249</v>
      </c>
      <c r="B473" s="163" t="s">
        <v>1886</v>
      </c>
      <c r="C473" s="163" t="s">
        <v>1979</v>
      </c>
      <c r="D473" s="164">
        <v>45257</v>
      </c>
      <c r="E473" s="164">
        <v>46349</v>
      </c>
      <c r="F473" s="163" t="s">
        <v>1881</v>
      </c>
      <c r="G473" s="163" t="s">
        <v>1882</v>
      </c>
      <c r="H473" s="165">
        <v>2530</v>
      </c>
      <c r="I473" s="164">
        <v>46066</v>
      </c>
      <c r="J473" s="163" t="s">
        <v>933</v>
      </c>
    </row>
    <row r="474" spans="1:10" x14ac:dyDescent="0.2">
      <c r="A474" s="163">
        <v>21248</v>
      </c>
      <c r="B474" s="163" t="s">
        <v>1905</v>
      </c>
      <c r="C474" s="163" t="s">
        <v>1906</v>
      </c>
      <c r="D474" s="164">
        <v>43944</v>
      </c>
      <c r="E474" s="164">
        <v>46568</v>
      </c>
      <c r="F474" s="163" t="s">
        <v>1881</v>
      </c>
      <c r="G474" s="163" t="s">
        <v>1882</v>
      </c>
      <c r="H474" s="165">
        <v>5836.63</v>
      </c>
      <c r="I474" s="164">
        <v>46066</v>
      </c>
      <c r="J474" s="163" t="s">
        <v>2455</v>
      </c>
    </row>
    <row r="475" spans="1:10" x14ac:dyDescent="0.2">
      <c r="A475" s="163">
        <v>21247</v>
      </c>
      <c r="B475" s="163" t="s">
        <v>1930</v>
      </c>
      <c r="C475" s="163" t="s">
        <v>1931</v>
      </c>
      <c r="D475" s="164">
        <v>44816</v>
      </c>
      <c r="E475" s="164">
        <v>46354</v>
      </c>
      <c r="F475" s="163" t="s">
        <v>1881</v>
      </c>
      <c r="G475" s="163" t="s">
        <v>1882</v>
      </c>
      <c r="H475" s="165">
        <v>22882.75</v>
      </c>
      <c r="I475" s="164">
        <v>46066</v>
      </c>
      <c r="J475" s="163" t="s">
        <v>537</v>
      </c>
    </row>
    <row r="476" spans="1:10" x14ac:dyDescent="0.2">
      <c r="A476" s="163">
        <v>21246</v>
      </c>
      <c r="B476" s="163" t="s">
        <v>2015</v>
      </c>
      <c r="C476" s="163" t="s">
        <v>619</v>
      </c>
      <c r="D476" s="164">
        <v>45658</v>
      </c>
      <c r="E476" s="164">
        <v>45659</v>
      </c>
      <c r="F476" s="163" t="s">
        <v>1881</v>
      </c>
      <c r="G476" s="163" t="s">
        <v>1882</v>
      </c>
      <c r="H476" s="165">
        <v>0</v>
      </c>
      <c r="I476" s="164">
        <v>46066</v>
      </c>
      <c r="J476" s="163" t="s">
        <v>2456</v>
      </c>
    </row>
    <row r="477" spans="1:10" x14ac:dyDescent="0.2">
      <c r="A477" s="163">
        <v>21245</v>
      </c>
      <c r="B477" s="163" t="s">
        <v>1905</v>
      </c>
      <c r="C477" s="163" t="s">
        <v>1906</v>
      </c>
      <c r="D477" s="164">
        <v>43944</v>
      </c>
      <c r="E477" s="164">
        <v>46568</v>
      </c>
      <c r="F477" s="163" t="s">
        <v>1881</v>
      </c>
      <c r="G477" s="163" t="s">
        <v>1882</v>
      </c>
      <c r="H477" s="165">
        <v>24002.799999999999</v>
      </c>
      <c r="I477" s="164">
        <v>46066</v>
      </c>
      <c r="J477" s="163" t="s">
        <v>651</v>
      </c>
    </row>
    <row r="478" spans="1:10" x14ac:dyDescent="0.2">
      <c r="A478" s="163">
        <v>21244</v>
      </c>
      <c r="B478" s="163" t="s">
        <v>1905</v>
      </c>
      <c r="C478" s="163" t="s">
        <v>1906</v>
      </c>
      <c r="D478" s="164">
        <v>43944</v>
      </c>
      <c r="E478" s="164">
        <v>46568</v>
      </c>
      <c r="F478" s="163" t="s">
        <v>1881</v>
      </c>
      <c r="G478" s="163" t="s">
        <v>1882</v>
      </c>
      <c r="H478" s="165">
        <v>5833.77</v>
      </c>
      <c r="I478" s="164">
        <v>46066</v>
      </c>
      <c r="J478" s="163" t="s">
        <v>2457</v>
      </c>
    </row>
    <row r="479" spans="1:10" x14ac:dyDescent="0.2">
      <c r="A479" s="163">
        <v>21243</v>
      </c>
      <c r="B479" s="163" t="s">
        <v>2015</v>
      </c>
      <c r="C479" s="163" t="s">
        <v>584</v>
      </c>
      <c r="D479" s="164">
        <v>45658</v>
      </c>
      <c r="E479" s="164">
        <v>45659</v>
      </c>
      <c r="F479" s="163" t="s">
        <v>1881</v>
      </c>
      <c r="G479" s="163" t="s">
        <v>1882</v>
      </c>
      <c r="H479" s="165">
        <v>0</v>
      </c>
      <c r="I479" s="164">
        <v>46066</v>
      </c>
      <c r="J479" s="163" t="s">
        <v>2458</v>
      </c>
    </row>
    <row r="480" spans="1:10" x14ac:dyDescent="0.2">
      <c r="A480" s="163">
        <v>21242</v>
      </c>
      <c r="B480" s="163" t="s">
        <v>1887</v>
      </c>
      <c r="C480" s="163" t="s">
        <v>1978</v>
      </c>
      <c r="D480" s="164">
        <v>44995</v>
      </c>
      <c r="E480" s="164">
        <v>46090</v>
      </c>
      <c r="F480" s="163" t="s">
        <v>1881</v>
      </c>
      <c r="G480" s="163" t="s">
        <v>1882</v>
      </c>
      <c r="H480" s="165">
        <v>40455.199999999997</v>
      </c>
      <c r="I480" s="164">
        <v>46066</v>
      </c>
      <c r="J480" s="163" t="s">
        <v>549</v>
      </c>
    </row>
    <row r="481" spans="1:10" x14ac:dyDescent="0.2">
      <c r="A481" s="163">
        <v>21241</v>
      </c>
      <c r="B481" s="163" t="s">
        <v>1887</v>
      </c>
      <c r="C481" s="163" t="s">
        <v>1978</v>
      </c>
      <c r="D481" s="164">
        <v>44995</v>
      </c>
      <c r="E481" s="164">
        <v>46090</v>
      </c>
      <c r="F481" s="163" t="s">
        <v>1881</v>
      </c>
      <c r="G481" s="163" t="s">
        <v>1882</v>
      </c>
      <c r="H481" s="165">
        <v>0</v>
      </c>
      <c r="I481" s="164">
        <v>46066</v>
      </c>
      <c r="J481" s="163" t="s">
        <v>2459</v>
      </c>
    </row>
    <row r="482" spans="1:10" x14ac:dyDescent="0.2">
      <c r="A482" s="163">
        <v>21240</v>
      </c>
      <c r="B482" s="163" t="s">
        <v>2007</v>
      </c>
      <c r="C482" s="163" t="s">
        <v>2008</v>
      </c>
      <c r="D482" s="164">
        <v>42461</v>
      </c>
      <c r="E482" s="164">
        <v>46087</v>
      </c>
      <c r="F482" s="163" t="s">
        <v>1881</v>
      </c>
      <c r="G482" s="163" t="s">
        <v>1882</v>
      </c>
      <c r="H482" s="165">
        <v>0</v>
      </c>
      <c r="I482" s="164">
        <v>46066</v>
      </c>
      <c r="J482" s="163" t="s">
        <v>2460</v>
      </c>
    </row>
    <row r="483" spans="1:10" x14ac:dyDescent="0.2">
      <c r="A483" s="163">
        <v>21239</v>
      </c>
      <c r="B483" s="163" t="s">
        <v>1887</v>
      </c>
      <c r="C483" s="163" t="s">
        <v>1978</v>
      </c>
      <c r="D483" s="164">
        <v>44995</v>
      </c>
      <c r="E483" s="164">
        <v>46090</v>
      </c>
      <c r="F483" s="163" t="s">
        <v>1881</v>
      </c>
      <c r="G483" s="163" t="s">
        <v>1882</v>
      </c>
      <c r="H483" s="165">
        <v>0</v>
      </c>
      <c r="I483" s="164">
        <v>46066</v>
      </c>
      <c r="J483" s="163" t="s">
        <v>2461</v>
      </c>
    </row>
    <row r="484" spans="1:10" x14ac:dyDescent="0.2">
      <c r="A484" s="163">
        <v>21238</v>
      </c>
      <c r="B484" s="163" t="s">
        <v>1895</v>
      </c>
      <c r="C484" s="163" t="s">
        <v>1996</v>
      </c>
      <c r="D484" s="164">
        <v>42339</v>
      </c>
      <c r="E484" s="164">
        <v>45504</v>
      </c>
      <c r="F484" s="163" t="s">
        <v>1881</v>
      </c>
      <c r="G484" s="163" t="s">
        <v>1882</v>
      </c>
      <c r="H484" s="165">
        <v>0</v>
      </c>
      <c r="I484" s="164">
        <v>46066</v>
      </c>
      <c r="J484" s="163" t="s">
        <v>2462</v>
      </c>
    </row>
    <row r="485" spans="1:10" x14ac:dyDescent="0.2">
      <c r="A485" s="163">
        <v>21237</v>
      </c>
      <c r="B485" s="163" t="s">
        <v>2015</v>
      </c>
      <c r="C485" s="163" t="s">
        <v>2463</v>
      </c>
      <c r="D485" s="164">
        <v>45658</v>
      </c>
      <c r="E485" s="164">
        <v>45659</v>
      </c>
      <c r="F485" s="163" t="s">
        <v>1881</v>
      </c>
      <c r="G485" s="163" t="s">
        <v>1882</v>
      </c>
      <c r="H485" s="165">
        <v>0</v>
      </c>
      <c r="I485" s="164">
        <v>46066</v>
      </c>
      <c r="J485" s="163" t="s">
        <v>2464</v>
      </c>
    </row>
    <row r="486" spans="1:10" x14ac:dyDescent="0.2">
      <c r="A486" s="163">
        <v>21236</v>
      </c>
      <c r="B486" s="163" t="s">
        <v>2465</v>
      </c>
      <c r="C486" s="163" t="s">
        <v>2466</v>
      </c>
      <c r="D486" s="164">
        <v>45341</v>
      </c>
      <c r="E486" s="164">
        <v>45657</v>
      </c>
      <c r="F486" s="163" t="s">
        <v>1881</v>
      </c>
      <c r="G486" s="163" t="s">
        <v>1882</v>
      </c>
      <c r="H486" s="165">
        <v>0</v>
      </c>
      <c r="I486" s="164">
        <v>46066</v>
      </c>
      <c r="J486" s="163" t="s">
        <v>2467</v>
      </c>
    </row>
    <row r="487" spans="1:10" x14ac:dyDescent="0.2">
      <c r="A487" s="163">
        <v>21235</v>
      </c>
      <c r="B487" s="163" t="s">
        <v>1905</v>
      </c>
      <c r="C487" s="163" t="s">
        <v>1906</v>
      </c>
      <c r="D487" s="164">
        <v>43944</v>
      </c>
      <c r="E487" s="164">
        <v>46568</v>
      </c>
      <c r="F487" s="163" t="s">
        <v>1881</v>
      </c>
      <c r="G487" s="163" t="s">
        <v>1882</v>
      </c>
      <c r="H487" s="165">
        <v>0</v>
      </c>
      <c r="I487" s="164">
        <v>46066</v>
      </c>
      <c r="J487" s="163" t="s">
        <v>2468</v>
      </c>
    </row>
    <row r="488" spans="1:10" x14ac:dyDescent="0.2">
      <c r="A488" s="163">
        <v>21234</v>
      </c>
      <c r="B488" s="163" t="s">
        <v>2015</v>
      </c>
      <c r="C488" s="163" t="s">
        <v>2469</v>
      </c>
      <c r="D488" s="164">
        <v>45658</v>
      </c>
      <c r="E488" s="164">
        <v>45659</v>
      </c>
      <c r="F488" s="163" t="s">
        <v>1881</v>
      </c>
      <c r="G488" s="163" t="s">
        <v>1882</v>
      </c>
      <c r="H488" s="165">
        <v>0</v>
      </c>
      <c r="I488" s="164">
        <v>46066</v>
      </c>
      <c r="J488" s="163" t="s">
        <v>2470</v>
      </c>
    </row>
    <row r="489" spans="1:10" x14ac:dyDescent="0.2">
      <c r="A489" s="163">
        <v>21233</v>
      </c>
      <c r="B489" s="163" t="s">
        <v>1879</v>
      </c>
      <c r="C489" s="163" t="s">
        <v>1985</v>
      </c>
      <c r="D489" s="164">
        <v>43891</v>
      </c>
      <c r="E489" s="164">
        <v>46660</v>
      </c>
      <c r="F489" s="163" t="s">
        <v>1881</v>
      </c>
      <c r="G489" s="163" t="s">
        <v>1882</v>
      </c>
      <c r="H489" s="165">
        <v>0</v>
      </c>
      <c r="I489" s="164">
        <v>46066</v>
      </c>
      <c r="J489" s="163" t="s">
        <v>2471</v>
      </c>
    </row>
    <row r="490" spans="1:10" x14ac:dyDescent="0.2">
      <c r="A490" s="163">
        <v>21232</v>
      </c>
      <c r="B490" s="163" t="s">
        <v>1905</v>
      </c>
      <c r="C490" s="163" t="s">
        <v>1906</v>
      </c>
      <c r="D490" s="164">
        <v>43944</v>
      </c>
      <c r="E490" s="164">
        <v>46568</v>
      </c>
      <c r="F490" s="163" t="s">
        <v>1881</v>
      </c>
      <c r="G490" s="163" t="s">
        <v>1882</v>
      </c>
      <c r="H490" s="165">
        <v>0</v>
      </c>
      <c r="I490" s="164">
        <v>46066</v>
      </c>
      <c r="J490" s="163" t="s">
        <v>2472</v>
      </c>
    </row>
    <row r="491" spans="1:10" x14ac:dyDescent="0.2">
      <c r="A491" s="163">
        <v>21231</v>
      </c>
      <c r="B491" s="163" t="s">
        <v>2441</v>
      </c>
      <c r="C491" s="163" t="s">
        <v>495</v>
      </c>
      <c r="D491" s="164">
        <v>45658</v>
      </c>
      <c r="E491" s="164">
        <v>45659</v>
      </c>
      <c r="F491" s="163" t="s">
        <v>1881</v>
      </c>
      <c r="G491" s="163" t="s">
        <v>1882</v>
      </c>
      <c r="H491" s="165">
        <v>0</v>
      </c>
      <c r="I491" s="164">
        <v>46066</v>
      </c>
      <c r="J491" s="163" t="s">
        <v>2473</v>
      </c>
    </row>
    <row r="492" spans="1:10" x14ac:dyDescent="0.2">
      <c r="A492" s="163">
        <v>21230</v>
      </c>
      <c r="B492" s="163" t="s">
        <v>2465</v>
      </c>
      <c r="C492" s="163" t="s">
        <v>2466</v>
      </c>
      <c r="D492" s="164">
        <v>45341</v>
      </c>
      <c r="E492" s="164">
        <v>45657</v>
      </c>
      <c r="F492" s="163" t="s">
        <v>1881</v>
      </c>
      <c r="G492" s="163" t="s">
        <v>1882</v>
      </c>
      <c r="H492" s="165">
        <v>0</v>
      </c>
      <c r="I492" s="164">
        <v>46066</v>
      </c>
      <c r="J492" s="163" t="s">
        <v>2474</v>
      </c>
    </row>
    <row r="493" spans="1:10" x14ac:dyDescent="0.2">
      <c r="A493" s="163">
        <v>21229</v>
      </c>
      <c r="B493" s="163" t="s">
        <v>1915</v>
      </c>
      <c r="C493" s="163" t="s">
        <v>168</v>
      </c>
      <c r="D493" s="164">
        <v>45658</v>
      </c>
      <c r="E493" s="164">
        <v>45659</v>
      </c>
      <c r="F493" s="163" t="s">
        <v>1881</v>
      </c>
      <c r="G493" s="163" t="s">
        <v>1882</v>
      </c>
      <c r="H493" s="165">
        <v>0</v>
      </c>
      <c r="I493" s="164">
        <v>46066</v>
      </c>
      <c r="J493" s="163" t="s">
        <v>2475</v>
      </c>
    </row>
    <row r="494" spans="1:10" x14ac:dyDescent="0.2">
      <c r="A494" s="163">
        <v>21228</v>
      </c>
      <c r="B494" s="163" t="s">
        <v>2380</v>
      </c>
      <c r="C494" s="163" t="s">
        <v>2476</v>
      </c>
      <c r="D494" s="164">
        <v>45789</v>
      </c>
      <c r="E494" s="164">
        <v>45898</v>
      </c>
      <c r="F494" s="163" t="s">
        <v>1881</v>
      </c>
      <c r="G494" s="163" t="s">
        <v>1882</v>
      </c>
      <c r="H494" s="165">
        <v>0</v>
      </c>
      <c r="I494" s="164">
        <v>46066</v>
      </c>
      <c r="J494" s="163" t="s">
        <v>2477</v>
      </c>
    </row>
    <row r="495" spans="1:10" x14ac:dyDescent="0.2">
      <c r="A495" s="163">
        <v>21227</v>
      </c>
      <c r="B495" s="163" t="s">
        <v>1915</v>
      </c>
      <c r="C495" s="163" t="s">
        <v>2478</v>
      </c>
      <c r="D495" s="164">
        <v>45658</v>
      </c>
      <c r="E495" s="164">
        <v>45659</v>
      </c>
      <c r="F495" s="163" t="s">
        <v>1881</v>
      </c>
      <c r="G495" s="163" t="s">
        <v>1882</v>
      </c>
      <c r="H495" s="165">
        <v>0</v>
      </c>
      <c r="I495" s="164">
        <v>46066</v>
      </c>
      <c r="J495" s="163" t="s">
        <v>2479</v>
      </c>
    </row>
    <row r="496" spans="1:10" x14ac:dyDescent="0.2">
      <c r="A496" s="163">
        <v>21226</v>
      </c>
      <c r="B496" s="163" t="s">
        <v>2380</v>
      </c>
      <c r="C496" s="163" t="s">
        <v>2480</v>
      </c>
      <c r="D496" s="164">
        <v>45789</v>
      </c>
      <c r="E496" s="164">
        <v>45898</v>
      </c>
      <c r="F496" s="163" t="s">
        <v>1881</v>
      </c>
      <c r="G496" s="163" t="s">
        <v>1882</v>
      </c>
      <c r="H496" s="165">
        <v>0</v>
      </c>
      <c r="I496" s="164">
        <v>46066</v>
      </c>
      <c r="J496" s="163" t="s">
        <v>2481</v>
      </c>
    </row>
    <row r="497" spans="1:10" x14ac:dyDescent="0.2">
      <c r="A497" s="163">
        <v>21225</v>
      </c>
      <c r="B497" s="163" t="s">
        <v>1915</v>
      </c>
      <c r="C497" s="163" t="s">
        <v>170</v>
      </c>
      <c r="D497" s="164">
        <v>45658</v>
      </c>
      <c r="E497" s="164">
        <v>45659</v>
      </c>
      <c r="F497" s="163" t="s">
        <v>1881</v>
      </c>
      <c r="G497" s="163" t="s">
        <v>1882</v>
      </c>
      <c r="H497" s="165">
        <v>0</v>
      </c>
      <c r="I497" s="164">
        <v>46066</v>
      </c>
      <c r="J497" s="163" t="s">
        <v>2482</v>
      </c>
    </row>
    <row r="498" spans="1:10" x14ac:dyDescent="0.2">
      <c r="A498" s="163">
        <v>21224</v>
      </c>
      <c r="B498" s="163" t="s">
        <v>1887</v>
      </c>
      <c r="C498" s="163" t="s">
        <v>2483</v>
      </c>
      <c r="D498" s="164">
        <v>45658</v>
      </c>
      <c r="E498" s="164">
        <v>45659</v>
      </c>
      <c r="F498" s="163" t="s">
        <v>1881</v>
      </c>
      <c r="G498" s="163" t="s">
        <v>1882</v>
      </c>
      <c r="H498" s="165">
        <v>0</v>
      </c>
      <c r="I498" s="164">
        <v>46066</v>
      </c>
      <c r="J498" s="163" t="s">
        <v>2484</v>
      </c>
    </row>
    <row r="499" spans="1:10" x14ac:dyDescent="0.2">
      <c r="A499" s="163">
        <v>21223</v>
      </c>
      <c r="B499" s="163" t="s">
        <v>1879</v>
      </c>
      <c r="C499" s="163" t="s">
        <v>1985</v>
      </c>
      <c r="D499" s="164">
        <v>43891</v>
      </c>
      <c r="E499" s="164">
        <v>46660</v>
      </c>
      <c r="F499" s="163" t="s">
        <v>1881</v>
      </c>
      <c r="G499" s="163" t="s">
        <v>1882</v>
      </c>
      <c r="H499" s="165">
        <v>165942.07999999999</v>
      </c>
      <c r="I499" s="164">
        <v>46066</v>
      </c>
      <c r="J499" s="163" t="s">
        <v>2485</v>
      </c>
    </row>
    <row r="500" spans="1:10" x14ac:dyDescent="0.2">
      <c r="A500" s="163">
        <v>21222</v>
      </c>
      <c r="B500" s="163" t="s">
        <v>1910</v>
      </c>
      <c r="C500" s="163" t="s">
        <v>472</v>
      </c>
      <c r="D500" s="164">
        <v>45658</v>
      </c>
      <c r="E500" s="164">
        <v>45659</v>
      </c>
      <c r="F500" s="163" t="s">
        <v>1881</v>
      </c>
      <c r="G500" s="163" t="s">
        <v>1882</v>
      </c>
      <c r="H500" s="165">
        <v>11496</v>
      </c>
      <c r="I500" s="164">
        <v>46066</v>
      </c>
      <c r="J500" s="163" t="s">
        <v>2486</v>
      </c>
    </row>
    <row r="501" spans="1:10" x14ac:dyDescent="0.2">
      <c r="A501" s="163">
        <v>21221</v>
      </c>
      <c r="B501" s="163" t="s">
        <v>1892</v>
      </c>
      <c r="C501" s="163" t="s">
        <v>579</v>
      </c>
      <c r="D501" s="164">
        <v>45658</v>
      </c>
      <c r="E501" s="164">
        <v>45659</v>
      </c>
      <c r="F501" s="163" t="s">
        <v>1881</v>
      </c>
      <c r="G501" s="163" t="s">
        <v>1882</v>
      </c>
      <c r="H501" s="165">
        <v>3927.46</v>
      </c>
      <c r="I501" s="164">
        <v>46066</v>
      </c>
      <c r="J501" s="163" t="s">
        <v>2487</v>
      </c>
    </row>
    <row r="502" spans="1:10" x14ac:dyDescent="0.2">
      <c r="A502" s="163">
        <v>21220</v>
      </c>
      <c r="B502" s="163" t="s">
        <v>2151</v>
      </c>
      <c r="C502" s="163" t="s">
        <v>1103</v>
      </c>
      <c r="D502" s="164">
        <v>45658</v>
      </c>
      <c r="E502" s="164">
        <v>45659</v>
      </c>
      <c r="F502" s="163" t="s">
        <v>1881</v>
      </c>
      <c r="G502" s="163" t="s">
        <v>2043</v>
      </c>
      <c r="H502" s="165">
        <v>3238.55</v>
      </c>
      <c r="I502" s="164">
        <v>46066</v>
      </c>
      <c r="J502" s="163" t="s">
        <v>1132</v>
      </c>
    </row>
    <row r="503" spans="1:10" x14ac:dyDescent="0.2">
      <c r="A503" s="163">
        <v>21219</v>
      </c>
      <c r="B503" s="163" t="s">
        <v>1891</v>
      </c>
      <c r="C503" s="163" t="s">
        <v>2067</v>
      </c>
      <c r="D503" s="164">
        <v>42936</v>
      </c>
      <c r="E503" s="164">
        <v>45657</v>
      </c>
      <c r="F503" s="163" t="s">
        <v>1881</v>
      </c>
      <c r="G503" s="163" t="s">
        <v>1882</v>
      </c>
      <c r="H503" s="165">
        <v>826</v>
      </c>
      <c r="I503" s="164">
        <v>46066</v>
      </c>
      <c r="J503" s="163" t="s">
        <v>2488</v>
      </c>
    </row>
    <row r="504" spans="1:10" x14ac:dyDescent="0.2">
      <c r="A504" s="163">
        <v>21218</v>
      </c>
      <c r="B504" s="163" t="s">
        <v>2380</v>
      </c>
      <c r="C504" s="163" t="s">
        <v>516</v>
      </c>
      <c r="D504" s="164">
        <v>45658</v>
      </c>
      <c r="E504" s="164">
        <v>45659</v>
      </c>
      <c r="F504" s="163" t="s">
        <v>1881</v>
      </c>
      <c r="G504" s="163" t="s">
        <v>1882</v>
      </c>
      <c r="H504" s="165">
        <v>0</v>
      </c>
      <c r="I504" s="164">
        <v>46066</v>
      </c>
      <c r="J504" s="163" t="s">
        <v>2489</v>
      </c>
    </row>
    <row r="505" spans="1:10" x14ac:dyDescent="0.2">
      <c r="A505" s="163">
        <v>21217</v>
      </c>
      <c r="B505" s="163" t="s">
        <v>2308</v>
      </c>
      <c r="C505" s="163" t="s">
        <v>1908</v>
      </c>
      <c r="D505" s="164">
        <v>44036</v>
      </c>
      <c r="E505" s="164">
        <v>46022</v>
      </c>
      <c r="F505" s="163" t="s">
        <v>1881</v>
      </c>
      <c r="G505" s="163" t="s">
        <v>1882</v>
      </c>
      <c r="H505" s="165">
        <v>0</v>
      </c>
      <c r="I505" s="164">
        <v>46066</v>
      </c>
      <c r="J505" s="163" t="s">
        <v>2490</v>
      </c>
    </row>
    <row r="506" spans="1:10" x14ac:dyDescent="0.2">
      <c r="A506" s="163">
        <v>21216</v>
      </c>
      <c r="B506" s="163" t="s">
        <v>2107</v>
      </c>
      <c r="C506" s="163" t="s">
        <v>1908</v>
      </c>
      <c r="D506" s="164">
        <v>44036</v>
      </c>
      <c r="E506" s="164">
        <v>46022</v>
      </c>
      <c r="F506" s="163" t="s">
        <v>1881</v>
      </c>
      <c r="G506" s="163" t="s">
        <v>1882</v>
      </c>
      <c r="H506" s="165">
        <v>0</v>
      </c>
      <c r="I506" s="164">
        <v>46066</v>
      </c>
      <c r="J506" s="163" t="s">
        <v>2491</v>
      </c>
    </row>
    <row r="507" spans="1:10" x14ac:dyDescent="0.2">
      <c r="A507" s="163">
        <v>21215</v>
      </c>
      <c r="B507" s="163" t="s">
        <v>1888</v>
      </c>
      <c r="C507" s="163" t="s">
        <v>2005</v>
      </c>
      <c r="D507" s="164">
        <v>42668</v>
      </c>
      <c r="E507" s="164">
        <v>45596</v>
      </c>
      <c r="F507" s="163" t="s">
        <v>1881</v>
      </c>
      <c r="G507" s="163" t="s">
        <v>1882</v>
      </c>
      <c r="H507" s="165">
        <v>0</v>
      </c>
      <c r="I507" s="164">
        <v>46066</v>
      </c>
      <c r="J507" s="163" t="s">
        <v>2492</v>
      </c>
    </row>
    <row r="508" spans="1:10" x14ac:dyDescent="0.2">
      <c r="A508" s="163">
        <v>21214</v>
      </c>
      <c r="B508" s="163" t="s">
        <v>1905</v>
      </c>
      <c r="C508" s="163" t="s">
        <v>1906</v>
      </c>
      <c r="D508" s="164">
        <v>43944</v>
      </c>
      <c r="E508" s="164">
        <v>46568</v>
      </c>
      <c r="F508" s="163" t="s">
        <v>1881</v>
      </c>
      <c r="G508" s="163" t="s">
        <v>1882</v>
      </c>
      <c r="H508" s="165">
        <v>24050.05</v>
      </c>
      <c r="I508" s="164">
        <v>46066</v>
      </c>
      <c r="J508" s="163" t="s">
        <v>680</v>
      </c>
    </row>
    <row r="509" spans="1:10" x14ac:dyDescent="0.2">
      <c r="A509" s="163">
        <v>21213</v>
      </c>
      <c r="B509" s="163" t="s">
        <v>2493</v>
      </c>
      <c r="C509" s="163" t="s">
        <v>2494</v>
      </c>
      <c r="D509" s="164">
        <v>45867</v>
      </c>
      <c r="E509" s="164">
        <v>46295</v>
      </c>
      <c r="F509" s="163" t="s">
        <v>1881</v>
      </c>
      <c r="G509" s="163" t="s">
        <v>1882</v>
      </c>
      <c r="H509" s="165">
        <v>8079.7</v>
      </c>
      <c r="I509" s="164">
        <v>46066</v>
      </c>
      <c r="J509" s="163" t="s">
        <v>2495</v>
      </c>
    </row>
    <row r="510" spans="1:10" x14ac:dyDescent="0.2">
      <c r="A510" s="163">
        <v>21212</v>
      </c>
      <c r="B510" s="163" t="s">
        <v>1888</v>
      </c>
      <c r="C510" s="163" t="s">
        <v>2005</v>
      </c>
      <c r="D510" s="164">
        <v>42668</v>
      </c>
      <c r="E510" s="164">
        <v>45596</v>
      </c>
      <c r="F510" s="163" t="s">
        <v>1881</v>
      </c>
      <c r="G510" s="163" t="s">
        <v>1882</v>
      </c>
      <c r="H510" s="165">
        <v>0</v>
      </c>
      <c r="I510" s="164">
        <v>46066</v>
      </c>
      <c r="J510" s="163" t="s">
        <v>2496</v>
      </c>
    </row>
    <row r="511" spans="1:10" x14ac:dyDescent="0.2">
      <c r="A511" s="163">
        <v>21211</v>
      </c>
      <c r="B511" s="163" t="s">
        <v>1910</v>
      </c>
      <c r="C511" s="163" t="s">
        <v>471</v>
      </c>
      <c r="D511" s="164">
        <v>45658</v>
      </c>
      <c r="E511" s="164">
        <v>45659</v>
      </c>
      <c r="F511" s="163" t="s">
        <v>1881</v>
      </c>
      <c r="G511" s="163" t="s">
        <v>2043</v>
      </c>
      <c r="H511" s="165">
        <v>11955.24</v>
      </c>
      <c r="I511" s="164">
        <v>46066</v>
      </c>
      <c r="J511" s="163" t="s">
        <v>2497</v>
      </c>
    </row>
    <row r="512" spans="1:10" x14ac:dyDescent="0.2">
      <c r="A512" s="163">
        <v>21210</v>
      </c>
      <c r="B512" s="163" t="s">
        <v>2498</v>
      </c>
      <c r="C512" s="163" t="s">
        <v>2499</v>
      </c>
      <c r="D512" s="164">
        <v>45870</v>
      </c>
      <c r="E512" s="164">
        <v>46112</v>
      </c>
      <c r="F512" s="163" t="s">
        <v>1881</v>
      </c>
      <c r="G512" s="163" t="s">
        <v>1882</v>
      </c>
      <c r="H512" s="165">
        <v>16121.18</v>
      </c>
      <c r="I512" s="164">
        <v>46066</v>
      </c>
      <c r="J512" s="163" t="s">
        <v>944</v>
      </c>
    </row>
    <row r="513" spans="1:10" x14ac:dyDescent="0.2">
      <c r="A513" s="163">
        <v>21209</v>
      </c>
      <c r="B513" s="163" t="s">
        <v>1901</v>
      </c>
      <c r="C513" s="163" t="s">
        <v>2500</v>
      </c>
      <c r="D513" s="164">
        <v>45658</v>
      </c>
      <c r="E513" s="164">
        <v>45659</v>
      </c>
      <c r="F513" s="163" t="s">
        <v>1881</v>
      </c>
      <c r="G513" s="163" t="s">
        <v>1882</v>
      </c>
      <c r="H513" s="165">
        <v>0</v>
      </c>
      <c r="I513" s="164">
        <v>46066</v>
      </c>
      <c r="J513" s="163" t="s">
        <v>2501</v>
      </c>
    </row>
    <row r="514" spans="1:10" x14ac:dyDescent="0.2">
      <c r="A514" s="163">
        <v>21208</v>
      </c>
      <c r="B514" s="163" t="s">
        <v>1910</v>
      </c>
      <c r="C514" s="163" t="s">
        <v>493</v>
      </c>
      <c r="D514" s="164">
        <v>45658</v>
      </c>
      <c r="E514" s="164">
        <v>45659</v>
      </c>
      <c r="F514" s="163" t="s">
        <v>1881</v>
      </c>
      <c r="G514" s="163" t="s">
        <v>2043</v>
      </c>
      <c r="H514" s="165">
        <v>10823.25</v>
      </c>
      <c r="I514" s="164">
        <v>46066</v>
      </c>
      <c r="J514" s="163" t="s">
        <v>2502</v>
      </c>
    </row>
    <row r="515" spans="1:10" x14ac:dyDescent="0.2">
      <c r="A515" s="163">
        <v>21207</v>
      </c>
      <c r="B515" s="163" t="s">
        <v>2063</v>
      </c>
      <c r="C515" s="163" t="s">
        <v>2131</v>
      </c>
      <c r="D515" s="164">
        <v>45667</v>
      </c>
      <c r="E515" s="164">
        <v>45807</v>
      </c>
      <c r="F515" s="163" t="s">
        <v>1881</v>
      </c>
      <c r="G515" s="163" t="s">
        <v>1882</v>
      </c>
      <c r="H515" s="165">
        <v>0</v>
      </c>
      <c r="I515" s="164">
        <v>46066</v>
      </c>
      <c r="J515" s="163" t="s">
        <v>2503</v>
      </c>
    </row>
    <row r="516" spans="1:10" x14ac:dyDescent="0.2">
      <c r="A516" s="163">
        <v>21206</v>
      </c>
      <c r="B516" s="163" t="s">
        <v>1901</v>
      </c>
      <c r="C516" s="163" t="s">
        <v>2504</v>
      </c>
      <c r="D516" s="164">
        <v>45658</v>
      </c>
      <c r="E516" s="164">
        <v>45659</v>
      </c>
      <c r="F516" s="163" t="s">
        <v>1881</v>
      </c>
      <c r="G516" s="163" t="s">
        <v>1882</v>
      </c>
      <c r="H516" s="165">
        <v>0</v>
      </c>
      <c r="I516" s="164">
        <v>46066</v>
      </c>
      <c r="J516" s="163" t="s">
        <v>2505</v>
      </c>
    </row>
    <row r="517" spans="1:10" x14ac:dyDescent="0.2">
      <c r="A517" s="163">
        <v>21205</v>
      </c>
      <c r="B517" s="163" t="s">
        <v>1888</v>
      </c>
      <c r="C517" s="163" t="s">
        <v>2005</v>
      </c>
      <c r="D517" s="164">
        <v>42668</v>
      </c>
      <c r="E517" s="164">
        <v>45596</v>
      </c>
      <c r="F517" s="163" t="s">
        <v>1881</v>
      </c>
      <c r="G517" s="163" t="s">
        <v>1882</v>
      </c>
      <c r="H517" s="165">
        <v>0</v>
      </c>
      <c r="I517" s="164">
        <v>46066</v>
      </c>
      <c r="J517" s="163" t="s">
        <v>2506</v>
      </c>
    </row>
    <row r="518" spans="1:10" x14ac:dyDescent="0.2">
      <c r="A518" s="163">
        <v>21204</v>
      </c>
      <c r="B518" s="163" t="s">
        <v>2507</v>
      </c>
      <c r="C518" s="163" t="s">
        <v>1908</v>
      </c>
      <c r="D518" s="164">
        <v>44036</v>
      </c>
      <c r="E518" s="164">
        <v>46022</v>
      </c>
      <c r="F518" s="163" t="s">
        <v>1881</v>
      </c>
      <c r="G518" s="163" t="s">
        <v>1882</v>
      </c>
      <c r="H518" s="165">
        <v>0</v>
      </c>
      <c r="I518" s="164">
        <v>46066</v>
      </c>
      <c r="J518" s="163" t="s">
        <v>2508</v>
      </c>
    </row>
    <row r="519" spans="1:10" x14ac:dyDescent="0.2">
      <c r="A519" s="163">
        <v>21203</v>
      </c>
      <c r="B519" s="163" t="s">
        <v>1905</v>
      </c>
      <c r="C519" s="163" t="s">
        <v>1906</v>
      </c>
      <c r="D519" s="164">
        <v>43944</v>
      </c>
      <c r="E519" s="164">
        <v>46568</v>
      </c>
      <c r="F519" s="163" t="s">
        <v>1881</v>
      </c>
      <c r="G519" s="163" t="s">
        <v>1882</v>
      </c>
      <c r="H519" s="165">
        <v>33561.800000000003</v>
      </c>
      <c r="I519" s="164">
        <v>46066</v>
      </c>
      <c r="J519" s="163" t="s">
        <v>545</v>
      </c>
    </row>
    <row r="520" spans="1:10" x14ac:dyDescent="0.2">
      <c r="A520" s="163">
        <v>21202</v>
      </c>
      <c r="B520" s="163" t="s">
        <v>2509</v>
      </c>
      <c r="C520" s="163" t="s">
        <v>2510</v>
      </c>
      <c r="D520" s="164">
        <v>45825</v>
      </c>
      <c r="E520" s="164">
        <v>46203</v>
      </c>
      <c r="F520" s="163" t="s">
        <v>1881</v>
      </c>
      <c r="G520" s="163" t="s">
        <v>1882</v>
      </c>
      <c r="H520" s="165">
        <v>17365</v>
      </c>
      <c r="I520" s="164">
        <v>46066</v>
      </c>
      <c r="J520" s="163" t="s">
        <v>764</v>
      </c>
    </row>
    <row r="521" spans="1:10" x14ac:dyDescent="0.2">
      <c r="A521" s="163">
        <v>21201</v>
      </c>
      <c r="B521" s="163" t="s">
        <v>2007</v>
      </c>
      <c r="C521" s="163" t="s">
        <v>2008</v>
      </c>
      <c r="D521" s="164">
        <v>42461</v>
      </c>
      <c r="E521" s="164">
        <v>46087</v>
      </c>
      <c r="F521" s="163" t="s">
        <v>1881</v>
      </c>
      <c r="G521" s="163" t="s">
        <v>1882</v>
      </c>
      <c r="H521" s="165">
        <v>565187.35</v>
      </c>
      <c r="I521" s="164">
        <v>46066</v>
      </c>
      <c r="J521" s="163" t="s">
        <v>2511</v>
      </c>
    </row>
    <row r="522" spans="1:10" x14ac:dyDescent="0.2">
      <c r="A522" s="163">
        <v>21200</v>
      </c>
      <c r="B522" s="163" t="s">
        <v>1895</v>
      </c>
      <c r="C522" s="163" t="s">
        <v>2512</v>
      </c>
      <c r="D522" s="164">
        <v>45658</v>
      </c>
      <c r="E522" s="164">
        <v>45659</v>
      </c>
      <c r="F522" s="163" t="s">
        <v>1881</v>
      </c>
      <c r="G522" s="163" t="s">
        <v>2043</v>
      </c>
      <c r="H522" s="165">
        <v>6226</v>
      </c>
      <c r="I522" s="164">
        <v>46066</v>
      </c>
      <c r="J522" s="163" t="s">
        <v>2513</v>
      </c>
    </row>
    <row r="523" spans="1:10" x14ac:dyDescent="0.2">
      <c r="A523" s="163">
        <v>21199</v>
      </c>
      <c r="B523" s="163" t="s">
        <v>2507</v>
      </c>
      <c r="C523" s="163" t="s">
        <v>1908</v>
      </c>
      <c r="D523" s="164">
        <v>44036</v>
      </c>
      <c r="E523" s="164">
        <v>46022</v>
      </c>
      <c r="F523" s="163" t="s">
        <v>1881</v>
      </c>
      <c r="G523" s="163" t="s">
        <v>1882</v>
      </c>
      <c r="H523" s="165">
        <v>1</v>
      </c>
      <c r="I523" s="164">
        <v>46066</v>
      </c>
      <c r="J523" s="163" t="s">
        <v>2514</v>
      </c>
    </row>
    <row r="524" spans="1:10" x14ac:dyDescent="0.2">
      <c r="A524" s="163">
        <v>21198</v>
      </c>
      <c r="B524" s="163" t="s">
        <v>1895</v>
      </c>
      <c r="C524" s="163" t="s">
        <v>597</v>
      </c>
      <c r="D524" s="164">
        <v>45658</v>
      </c>
      <c r="E524" s="164">
        <v>45659</v>
      </c>
      <c r="F524" s="163" t="s">
        <v>1881</v>
      </c>
      <c r="G524" s="163" t="s">
        <v>2043</v>
      </c>
      <c r="H524" s="165">
        <v>113320</v>
      </c>
      <c r="I524" s="164">
        <v>46066</v>
      </c>
      <c r="J524" s="163" t="s">
        <v>2515</v>
      </c>
    </row>
    <row r="525" spans="1:10" x14ac:dyDescent="0.2">
      <c r="A525" s="163">
        <v>21197</v>
      </c>
      <c r="B525" s="163" t="s">
        <v>2231</v>
      </c>
      <c r="C525" s="163" t="s">
        <v>2516</v>
      </c>
      <c r="D525" s="164">
        <v>45597</v>
      </c>
      <c r="E525" s="164">
        <v>45930</v>
      </c>
      <c r="F525" s="163" t="s">
        <v>1881</v>
      </c>
      <c r="G525" s="163" t="s">
        <v>1882</v>
      </c>
      <c r="H525" s="165">
        <v>85175.27</v>
      </c>
      <c r="I525" s="164">
        <v>46066</v>
      </c>
      <c r="J525" s="163" t="s">
        <v>568</v>
      </c>
    </row>
    <row r="526" spans="1:10" x14ac:dyDescent="0.2">
      <c r="A526" s="163">
        <v>21196</v>
      </c>
      <c r="B526" s="163" t="s">
        <v>1887</v>
      </c>
      <c r="C526" s="163" t="s">
        <v>1978</v>
      </c>
      <c r="D526" s="164">
        <v>44995</v>
      </c>
      <c r="E526" s="164">
        <v>46090</v>
      </c>
      <c r="F526" s="163" t="s">
        <v>1881</v>
      </c>
      <c r="G526" s="163" t="s">
        <v>1882</v>
      </c>
      <c r="H526" s="165">
        <v>598581.17000000004</v>
      </c>
      <c r="I526" s="164">
        <v>46066</v>
      </c>
      <c r="J526" s="163" t="s">
        <v>789</v>
      </c>
    </row>
    <row r="527" spans="1:10" x14ac:dyDescent="0.2">
      <c r="A527" s="163">
        <v>21195</v>
      </c>
      <c r="B527" s="163" t="s">
        <v>1910</v>
      </c>
      <c r="C527" s="163" t="s">
        <v>553</v>
      </c>
      <c r="D527" s="164">
        <v>45658</v>
      </c>
      <c r="E527" s="164">
        <v>45659</v>
      </c>
      <c r="F527" s="163" t="s">
        <v>1881</v>
      </c>
      <c r="G527" s="163" t="s">
        <v>1882</v>
      </c>
      <c r="H527" s="165">
        <v>13053.7</v>
      </c>
      <c r="I527" s="164">
        <v>46066</v>
      </c>
      <c r="J527" s="163" t="s">
        <v>2517</v>
      </c>
    </row>
    <row r="528" spans="1:10" x14ac:dyDescent="0.2">
      <c r="A528" s="163">
        <v>21194</v>
      </c>
      <c r="B528" s="163" t="s">
        <v>1895</v>
      </c>
      <c r="C528" s="163" t="s">
        <v>576</v>
      </c>
      <c r="D528" s="164">
        <v>45658</v>
      </c>
      <c r="E528" s="164">
        <v>45659</v>
      </c>
      <c r="F528" s="163" t="s">
        <v>1881</v>
      </c>
      <c r="G528" s="163" t="s">
        <v>2043</v>
      </c>
      <c r="H528" s="165">
        <v>14845</v>
      </c>
      <c r="I528" s="164">
        <v>46066</v>
      </c>
      <c r="J528" s="163" t="s">
        <v>2518</v>
      </c>
    </row>
    <row r="529" spans="1:10" x14ac:dyDescent="0.2">
      <c r="A529" s="163">
        <v>21193</v>
      </c>
      <c r="B529" s="163" t="s">
        <v>1895</v>
      </c>
      <c r="C529" s="163" t="s">
        <v>503</v>
      </c>
      <c r="D529" s="164">
        <v>45658</v>
      </c>
      <c r="E529" s="164">
        <v>45659</v>
      </c>
      <c r="F529" s="163" t="s">
        <v>1881</v>
      </c>
      <c r="G529" s="163" t="s">
        <v>1882</v>
      </c>
      <c r="H529" s="165">
        <v>0</v>
      </c>
      <c r="I529" s="164">
        <v>46066</v>
      </c>
      <c r="J529" s="163" t="s">
        <v>2519</v>
      </c>
    </row>
    <row r="530" spans="1:10" x14ac:dyDescent="0.2">
      <c r="A530" s="163">
        <v>21192</v>
      </c>
      <c r="B530" s="163" t="s">
        <v>1905</v>
      </c>
      <c r="C530" s="163" t="s">
        <v>1906</v>
      </c>
      <c r="D530" s="164">
        <v>43944</v>
      </c>
      <c r="E530" s="164">
        <v>46568</v>
      </c>
      <c r="F530" s="163" t="s">
        <v>1881</v>
      </c>
      <c r="G530" s="163" t="s">
        <v>1882</v>
      </c>
      <c r="H530" s="165">
        <v>0</v>
      </c>
      <c r="I530" s="164">
        <v>46066</v>
      </c>
      <c r="J530" s="163" t="s">
        <v>2520</v>
      </c>
    </row>
    <row r="531" spans="1:10" x14ac:dyDescent="0.2">
      <c r="A531" s="163">
        <v>21191</v>
      </c>
      <c r="B531" s="163" t="s">
        <v>2007</v>
      </c>
      <c r="C531" s="163" t="s">
        <v>2446</v>
      </c>
      <c r="D531" s="164">
        <v>45586</v>
      </c>
      <c r="E531" s="164">
        <v>45688</v>
      </c>
      <c r="F531" s="163" t="s">
        <v>1881</v>
      </c>
      <c r="G531" s="163" t="s">
        <v>1882</v>
      </c>
      <c r="H531" s="165">
        <v>14864.2</v>
      </c>
      <c r="I531" s="164">
        <v>46066</v>
      </c>
      <c r="J531" s="163" t="s">
        <v>2521</v>
      </c>
    </row>
    <row r="532" spans="1:10" x14ac:dyDescent="0.2">
      <c r="A532" s="163">
        <v>21190</v>
      </c>
      <c r="B532" s="163" t="s">
        <v>1889</v>
      </c>
      <c r="C532" s="163" t="s">
        <v>1968</v>
      </c>
      <c r="D532" s="164">
        <v>42302</v>
      </c>
      <c r="E532" s="164">
        <v>46320</v>
      </c>
      <c r="F532" s="163" t="s">
        <v>1881</v>
      </c>
      <c r="G532" s="163" t="s">
        <v>1882</v>
      </c>
      <c r="H532" s="165">
        <v>0</v>
      </c>
      <c r="I532" s="164">
        <v>46066</v>
      </c>
      <c r="J532" s="163" t="s">
        <v>2522</v>
      </c>
    </row>
    <row r="533" spans="1:10" x14ac:dyDescent="0.2">
      <c r="A533" s="163">
        <v>21189</v>
      </c>
      <c r="B533" s="163" t="s">
        <v>2509</v>
      </c>
      <c r="C533" s="163" t="s">
        <v>2510</v>
      </c>
      <c r="D533" s="164">
        <v>45825</v>
      </c>
      <c r="E533" s="164">
        <v>46203</v>
      </c>
      <c r="F533" s="163" t="s">
        <v>1881</v>
      </c>
      <c r="G533" s="163" t="s">
        <v>1882</v>
      </c>
      <c r="H533" s="165">
        <v>4933.05</v>
      </c>
      <c r="I533" s="164">
        <v>46066</v>
      </c>
      <c r="J533" s="163" t="s">
        <v>1130</v>
      </c>
    </row>
    <row r="534" spans="1:10" x14ac:dyDescent="0.2">
      <c r="A534" s="163">
        <v>21188</v>
      </c>
      <c r="B534" s="163" t="s">
        <v>2310</v>
      </c>
      <c r="C534" s="163" t="s">
        <v>2523</v>
      </c>
      <c r="D534" s="164">
        <v>45784</v>
      </c>
      <c r="E534" s="164">
        <v>46022</v>
      </c>
      <c r="F534" s="163" t="s">
        <v>1881</v>
      </c>
      <c r="G534" s="163" t="s">
        <v>1882</v>
      </c>
      <c r="H534" s="165">
        <v>31219.99</v>
      </c>
      <c r="I534" s="164">
        <v>46066</v>
      </c>
      <c r="J534" s="163" t="s">
        <v>593</v>
      </c>
    </row>
    <row r="535" spans="1:10" x14ac:dyDescent="0.2">
      <c r="A535" s="163">
        <v>21187</v>
      </c>
      <c r="B535" s="163" t="s">
        <v>1887</v>
      </c>
      <c r="C535" s="163" t="s">
        <v>1978</v>
      </c>
      <c r="D535" s="164">
        <v>44995</v>
      </c>
      <c r="E535" s="164">
        <v>46090</v>
      </c>
      <c r="F535" s="163" t="s">
        <v>1881</v>
      </c>
      <c r="G535" s="163" t="s">
        <v>1882</v>
      </c>
      <c r="H535" s="165">
        <v>0</v>
      </c>
      <c r="I535" s="164">
        <v>46066</v>
      </c>
      <c r="J535" s="163" t="s">
        <v>2524</v>
      </c>
    </row>
    <row r="536" spans="1:10" x14ac:dyDescent="0.2">
      <c r="A536" s="163">
        <v>21186</v>
      </c>
      <c r="B536" s="163" t="s">
        <v>1905</v>
      </c>
      <c r="C536" s="163" t="s">
        <v>1906</v>
      </c>
      <c r="D536" s="164">
        <v>43944</v>
      </c>
      <c r="E536" s="164">
        <v>46568</v>
      </c>
      <c r="F536" s="163" t="s">
        <v>1881</v>
      </c>
      <c r="G536" s="163" t="s">
        <v>1882</v>
      </c>
      <c r="H536" s="165">
        <v>33570.800000000003</v>
      </c>
      <c r="I536" s="164">
        <v>46066</v>
      </c>
      <c r="J536" s="163" t="s">
        <v>2525</v>
      </c>
    </row>
    <row r="537" spans="1:10" x14ac:dyDescent="0.2">
      <c r="A537" s="163">
        <v>21185</v>
      </c>
      <c r="B537" s="163" t="s">
        <v>1887</v>
      </c>
      <c r="C537" s="163" t="s">
        <v>1978</v>
      </c>
      <c r="D537" s="164">
        <v>44995</v>
      </c>
      <c r="E537" s="164">
        <v>46090</v>
      </c>
      <c r="F537" s="163" t="s">
        <v>1881</v>
      </c>
      <c r="G537" s="163" t="s">
        <v>1882</v>
      </c>
      <c r="H537" s="165">
        <v>0</v>
      </c>
      <c r="I537" s="164">
        <v>46066</v>
      </c>
      <c r="J537" s="163" t="s">
        <v>2526</v>
      </c>
    </row>
    <row r="538" spans="1:10" x14ac:dyDescent="0.2">
      <c r="A538" s="163">
        <v>21184</v>
      </c>
      <c r="B538" s="163" t="s">
        <v>1886</v>
      </c>
      <c r="C538" s="163" t="s">
        <v>1979</v>
      </c>
      <c r="D538" s="164">
        <v>45257</v>
      </c>
      <c r="E538" s="164">
        <v>46349</v>
      </c>
      <c r="F538" s="163" t="s">
        <v>1881</v>
      </c>
      <c r="G538" s="163" t="s">
        <v>1882</v>
      </c>
      <c r="H538" s="165">
        <v>0</v>
      </c>
      <c r="I538" s="164">
        <v>46066</v>
      </c>
      <c r="J538" s="163" t="s">
        <v>2527</v>
      </c>
    </row>
    <row r="539" spans="1:10" x14ac:dyDescent="0.2">
      <c r="A539" s="163">
        <v>21183</v>
      </c>
      <c r="B539" s="163" t="s">
        <v>2528</v>
      </c>
      <c r="C539" s="163" t="s">
        <v>2529</v>
      </c>
      <c r="D539" s="164">
        <v>45859</v>
      </c>
      <c r="E539" s="164">
        <v>46934</v>
      </c>
      <c r="F539" s="163" t="s">
        <v>1881</v>
      </c>
      <c r="G539" s="163" t="s">
        <v>1882</v>
      </c>
      <c r="H539" s="165">
        <v>16974.05</v>
      </c>
      <c r="I539" s="164">
        <v>46066</v>
      </c>
      <c r="J539" s="163" t="s">
        <v>2530</v>
      </c>
    </row>
    <row r="540" spans="1:10" x14ac:dyDescent="0.2">
      <c r="A540" s="163">
        <v>21182</v>
      </c>
      <c r="B540" s="163" t="s">
        <v>1891</v>
      </c>
      <c r="C540" s="163" t="s">
        <v>2531</v>
      </c>
      <c r="D540" s="164">
        <v>45047</v>
      </c>
      <c r="E540" s="164">
        <v>45291</v>
      </c>
      <c r="F540" s="163" t="s">
        <v>1881</v>
      </c>
      <c r="G540" s="163" t="s">
        <v>1882</v>
      </c>
      <c r="H540" s="165">
        <v>0</v>
      </c>
      <c r="I540" s="164">
        <v>46066</v>
      </c>
      <c r="J540" s="163" t="s">
        <v>2532</v>
      </c>
    </row>
    <row r="541" spans="1:10" x14ac:dyDescent="0.2">
      <c r="A541" s="163">
        <v>21181</v>
      </c>
      <c r="B541" s="163" t="s">
        <v>2107</v>
      </c>
      <c r="C541" s="163" t="s">
        <v>2266</v>
      </c>
      <c r="D541" s="164">
        <v>44477</v>
      </c>
      <c r="E541" s="164">
        <v>46302</v>
      </c>
      <c r="F541" s="163" t="s">
        <v>1881</v>
      </c>
      <c r="G541" s="163" t="s">
        <v>1882</v>
      </c>
      <c r="H541" s="165">
        <v>0</v>
      </c>
      <c r="I541" s="164">
        <v>46066</v>
      </c>
      <c r="J541" s="163" t="s">
        <v>2533</v>
      </c>
    </row>
    <row r="542" spans="1:10" x14ac:dyDescent="0.2">
      <c r="A542" s="163">
        <v>21180</v>
      </c>
      <c r="B542" s="163" t="s">
        <v>1888</v>
      </c>
      <c r="C542" s="163" t="s">
        <v>2005</v>
      </c>
      <c r="D542" s="164">
        <v>42668</v>
      </c>
      <c r="E542" s="164">
        <v>45596</v>
      </c>
      <c r="F542" s="163" t="s">
        <v>1881</v>
      </c>
      <c r="G542" s="163" t="s">
        <v>1882</v>
      </c>
      <c r="H542" s="165">
        <v>0</v>
      </c>
      <c r="I542" s="164">
        <v>46066</v>
      </c>
      <c r="J542" s="163" t="s">
        <v>2534</v>
      </c>
    </row>
    <row r="543" spans="1:10" x14ac:dyDescent="0.2">
      <c r="A543" s="163">
        <v>21179</v>
      </c>
      <c r="B543" s="163" t="s">
        <v>1889</v>
      </c>
      <c r="C543" s="163" t="s">
        <v>1968</v>
      </c>
      <c r="D543" s="164">
        <v>42302</v>
      </c>
      <c r="E543" s="164">
        <v>46320</v>
      </c>
      <c r="F543" s="163" t="s">
        <v>1881</v>
      </c>
      <c r="G543" s="163" t="s">
        <v>1882</v>
      </c>
      <c r="H543" s="165">
        <v>0</v>
      </c>
      <c r="I543" s="164">
        <v>46066</v>
      </c>
      <c r="J543" s="163" t="s">
        <v>2535</v>
      </c>
    </row>
    <row r="544" spans="1:10" x14ac:dyDescent="0.2">
      <c r="A544" s="163">
        <v>21178</v>
      </c>
      <c r="B544" s="163" t="s">
        <v>1893</v>
      </c>
      <c r="C544" s="163" t="s">
        <v>452</v>
      </c>
      <c r="D544" s="164">
        <v>45658</v>
      </c>
      <c r="E544" s="164">
        <v>45659</v>
      </c>
      <c r="F544" s="163" t="s">
        <v>1881</v>
      </c>
      <c r="G544" s="163" t="s">
        <v>1882</v>
      </c>
      <c r="H544" s="165">
        <v>30562.7</v>
      </c>
      <c r="I544" s="164">
        <v>46066</v>
      </c>
      <c r="J544" s="163" t="s">
        <v>674</v>
      </c>
    </row>
    <row r="545" spans="1:10" x14ac:dyDescent="0.2">
      <c r="A545" s="163">
        <v>21177</v>
      </c>
      <c r="B545" s="163" t="s">
        <v>1887</v>
      </c>
      <c r="C545" s="163" t="s">
        <v>1978</v>
      </c>
      <c r="D545" s="164">
        <v>44995</v>
      </c>
      <c r="E545" s="164">
        <v>46090</v>
      </c>
      <c r="F545" s="163" t="s">
        <v>1881</v>
      </c>
      <c r="G545" s="163" t="s">
        <v>1882</v>
      </c>
      <c r="H545" s="165">
        <v>0</v>
      </c>
      <c r="I545" s="164">
        <v>46066</v>
      </c>
      <c r="J545" s="163" t="s">
        <v>2536</v>
      </c>
    </row>
    <row r="546" spans="1:10" x14ac:dyDescent="0.2">
      <c r="A546" s="163">
        <v>21176</v>
      </c>
      <c r="B546" s="163" t="s">
        <v>1887</v>
      </c>
      <c r="C546" s="163" t="s">
        <v>1978</v>
      </c>
      <c r="D546" s="164">
        <v>44995</v>
      </c>
      <c r="E546" s="164">
        <v>46090</v>
      </c>
      <c r="F546" s="163" t="s">
        <v>1881</v>
      </c>
      <c r="G546" s="163" t="s">
        <v>1882</v>
      </c>
      <c r="H546" s="165">
        <v>0</v>
      </c>
      <c r="I546" s="164">
        <v>46066</v>
      </c>
      <c r="J546" s="163" t="s">
        <v>2537</v>
      </c>
    </row>
    <row r="547" spans="1:10" x14ac:dyDescent="0.2">
      <c r="A547" s="163">
        <v>21175</v>
      </c>
      <c r="B547" s="163" t="s">
        <v>2305</v>
      </c>
      <c r="C547" s="163" t="s">
        <v>2306</v>
      </c>
      <c r="D547" s="164">
        <v>45463</v>
      </c>
      <c r="E547" s="164">
        <v>46022</v>
      </c>
      <c r="F547" s="163" t="s">
        <v>1881</v>
      </c>
      <c r="G547" s="163" t="s">
        <v>1882</v>
      </c>
      <c r="H547" s="165">
        <v>0</v>
      </c>
      <c r="I547" s="164">
        <v>46066</v>
      </c>
      <c r="J547" s="163" t="s">
        <v>2538</v>
      </c>
    </row>
    <row r="548" spans="1:10" x14ac:dyDescent="0.2">
      <c r="A548" s="163">
        <v>21174</v>
      </c>
      <c r="B548" s="163" t="s">
        <v>1893</v>
      </c>
      <c r="C548" s="163" t="s">
        <v>470</v>
      </c>
      <c r="D548" s="164">
        <v>45658</v>
      </c>
      <c r="E548" s="164">
        <v>45659</v>
      </c>
      <c r="F548" s="163" t="s">
        <v>1881</v>
      </c>
      <c r="G548" s="163" t="s">
        <v>1882</v>
      </c>
      <c r="H548" s="165">
        <v>29191.439999999999</v>
      </c>
      <c r="I548" s="164">
        <v>46066</v>
      </c>
      <c r="J548" s="163" t="s">
        <v>2539</v>
      </c>
    </row>
    <row r="549" spans="1:10" x14ac:dyDescent="0.2">
      <c r="A549" s="163">
        <v>21173</v>
      </c>
      <c r="B549" s="163" t="s">
        <v>2231</v>
      </c>
      <c r="C549" s="163" t="s">
        <v>2516</v>
      </c>
      <c r="D549" s="164">
        <v>45558</v>
      </c>
      <c r="E549" s="164">
        <v>45748</v>
      </c>
      <c r="F549" s="163" t="s">
        <v>1881</v>
      </c>
      <c r="G549" s="163" t="s">
        <v>1882</v>
      </c>
      <c r="H549" s="165">
        <v>80830.899999999994</v>
      </c>
      <c r="I549" s="164">
        <v>46066</v>
      </c>
      <c r="J549" s="163" t="s">
        <v>567</v>
      </c>
    </row>
    <row r="550" spans="1:10" x14ac:dyDescent="0.2">
      <c r="A550" s="163">
        <v>21172</v>
      </c>
      <c r="B550" s="163" t="s">
        <v>1893</v>
      </c>
      <c r="C550" s="163" t="s">
        <v>573</v>
      </c>
      <c r="D550" s="164">
        <v>45658</v>
      </c>
      <c r="E550" s="164">
        <v>45659</v>
      </c>
      <c r="F550" s="163" t="s">
        <v>1881</v>
      </c>
      <c r="G550" s="163" t="s">
        <v>1882</v>
      </c>
      <c r="H550" s="165">
        <v>26719.200000000001</v>
      </c>
      <c r="I550" s="164">
        <v>46066</v>
      </c>
      <c r="J550" s="163" t="s">
        <v>671</v>
      </c>
    </row>
    <row r="551" spans="1:10" x14ac:dyDescent="0.2">
      <c r="A551" s="163">
        <v>21171</v>
      </c>
      <c r="B551" s="163" t="s">
        <v>2540</v>
      </c>
      <c r="C551" s="163" t="s">
        <v>2541</v>
      </c>
      <c r="D551" s="164">
        <v>43257</v>
      </c>
      <c r="E551" s="164">
        <v>45449</v>
      </c>
      <c r="F551" s="163" t="s">
        <v>1881</v>
      </c>
      <c r="G551" s="163" t="s">
        <v>1882</v>
      </c>
      <c r="H551" s="165">
        <v>3145.31</v>
      </c>
      <c r="I551" s="164">
        <v>46066</v>
      </c>
      <c r="J551" s="163" t="s">
        <v>2542</v>
      </c>
    </row>
    <row r="552" spans="1:10" x14ac:dyDescent="0.2">
      <c r="A552" s="163">
        <v>21170</v>
      </c>
      <c r="B552" s="163" t="s">
        <v>1905</v>
      </c>
      <c r="C552" s="163" t="s">
        <v>1906</v>
      </c>
      <c r="D552" s="164">
        <v>43944</v>
      </c>
      <c r="E552" s="164">
        <v>46568</v>
      </c>
      <c r="F552" s="163" t="s">
        <v>1881</v>
      </c>
      <c r="G552" s="163" t="s">
        <v>1882</v>
      </c>
      <c r="H552" s="165">
        <v>25868.05</v>
      </c>
      <c r="I552" s="164">
        <v>46066</v>
      </c>
      <c r="J552" s="163" t="s">
        <v>799</v>
      </c>
    </row>
    <row r="553" spans="1:10" x14ac:dyDescent="0.2">
      <c r="A553" s="163">
        <v>21169</v>
      </c>
      <c r="B553" s="163" t="s">
        <v>1905</v>
      </c>
      <c r="C553" s="163" t="s">
        <v>1906</v>
      </c>
      <c r="D553" s="164">
        <v>43944</v>
      </c>
      <c r="E553" s="164">
        <v>46568</v>
      </c>
      <c r="F553" s="163" t="s">
        <v>1881</v>
      </c>
      <c r="G553" s="163" t="s">
        <v>1882</v>
      </c>
      <c r="H553" s="165">
        <v>6839.99</v>
      </c>
      <c r="I553" s="164">
        <v>46066</v>
      </c>
      <c r="J553" s="163" t="s">
        <v>2543</v>
      </c>
    </row>
    <row r="554" spans="1:10" x14ac:dyDescent="0.2">
      <c r="A554" s="163">
        <v>21168</v>
      </c>
      <c r="B554" s="163" t="s">
        <v>1901</v>
      </c>
      <c r="C554" s="163" t="s">
        <v>2396</v>
      </c>
      <c r="D554" s="164">
        <v>44927</v>
      </c>
      <c r="E554" s="164">
        <v>46022</v>
      </c>
      <c r="F554" s="163" t="s">
        <v>1881</v>
      </c>
      <c r="G554" s="163" t="s">
        <v>1882</v>
      </c>
      <c r="H554" s="165">
        <v>0</v>
      </c>
      <c r="I554" s="164">
        <v>46066</v>
      </c>
      <c r="J554" s="163" t="s">
        <v>2544</v>
      </c>
    </row>
    <row r="555" spans="1:10" x14ac:dyDescent="0.2">
      <c r="A555" s="163">
        <v>21167</v>
      </c>
      <c r="B555" s="163" t="s">
        <v>1951</v>
      </c>
      <c r="C555" s="163" t="s">
        <v>1952</v>
      </c>
      <c r="D555" s="164">
        <v>45031</v>
      </c>
      <c r="E555" s="164">
        <v>45657</v>
      </c>
      <c r="F555" s="163" t="s">
        <v>1881</v>
      </c>
      <c r="G555" s="163" t="s">
        <v>1882</v>
      </c>
      <c r="H555" s="165">
        <v>0</v>
      </c>
      <c r="I555" s="164">
        <v>46066</v>
      </c>
      <c r="J555" s="163" t="s">
        <v>2545</v>
      </c>
    </row>
    <row r="556" spans="1:10" x14ac:dyDescent="0.2">
      <c r="A556" s="163">
        <v>21166</v>
      </c>
      <c r="B556" s="163" t="s">
        <v>1905</v>
      </c>
      <c r="C556" s="163" t="s">
        <v>1906</v>
      </c>
      <c r="D556" s="164">
        <v>43944</v>
      </c>
      <c r="E556" s="164">
        <v>46568</v>
      </c>
      <c r="F556" s="163" t="s">
        <v>1881</v>
      </c>
      <c r="G556" s="163" t="s">
        <v>1882</v>
      </c>
      <c r="H556" s="165">
        <v>0</v>
      </c>
      <c r="I556" s="164">
        <v>46066</v>
      </c>
      <c r="J556" s="163" t="s">
        <v>2546</v>
      </c>
    </row>
    <row r="557" spans="1:10" x14ac:dyDescent="0.2">
      <c r="A557" s="163">
        <v>21165</v>
      </c>
      <c r="B557" s="163" t="s">
        <v>1965</v>
      </c>
      <c r="C557" s="163" t="s">
        <v>1966</v>
      </c>
      <c r="D557" s="164">
        <v>45544</v>
      </c>
      <c r="E557" s="164">
        <v>46173</v>
      </c>
      <c r="F557" s="163" t="s">
        <v>1881</v>
      </c>
      <c r="G557" s="163" t="s">
        <v>1882</v>
      </c>
      <c r="H557" s="165">
        <v>17067.849999999999</v>
      </c>
      <c r="I557" s="164">
        <v>46066</v>
      </c>
      <c r="J557" s="163" t="s">
        <v>882</v>
      </c>
    </row>
    <row r="558" spans="1:10" x14ac:dyDescent="0.2">
      <c r="A558" s="163">
        <v>21164</v>
      </c>
      <c r="B558" s="163" t="s">
        <v>1905</v>
      </c>
      <c r="C558" s="163" t="s">
        <v>1906</v>
      </c>
      <c r="D558" s="164">
        <v>43944</v>
      </c>
      <c r="E558" s="164">
        <v>46568</v>
      </c>
      <c r="F558" s="163" t="s">
        <v>1881</v>
      </c>
      <c r="G558" s="163" t="s">
        <v>1882</v>
      </c>
      <c r="H558" s="165">
        <v>24002.799999999999</v>
      </c>
      <c r="I558" s="164">
        <v>46066</v>
      </c>
      <c r="J558" s="163" t="s">
        <v>546</v>
      </c>
    </row>
    <row r="559" spans="1:10" x14ac:dyDescent="0.2">
      <c r="A559" s="163">
        <v>21163</v>
      </c>
      <c r="B559" s="163" t="s">
        <v>2547</v>
      </c>
      <c r="C559" s="163" t="s">
        <v>2548</v>
      </c>
      <c r="D559" s="164">
        <v>45413</v>
      </c>
      <c r="E559" s="164">
        <v>45443</v>
      </c>
      <c r="F559" s="163" t="s">
        <v>1881</v>
      </c>
      <c r="G559" s="163" t="s">
        <v>1882</v>
      </c>
      <c r="H559" s="165">
        <v>0</v>
      </c>
      <c r="I559" s="164">
        <v>46066</v>
      </c>
      <c r="J559" s="163" t="s">
        <v>2549</v>
      </c>
    </row>
    <row r="560" spans="1:10" x14ac:dyDescent="0.2">
      <c r="A560" s="163">
        <v>21162</v>
      </c>
      <c r="B560" s="163" t="s">
        <v>1905</v>
      </c>
      <c r="C560" s="163" t="s">
        <v>1906</v>
      </c>
      <c r="D560" s="164">
        <v>43944</v>
      </c>
      <c r="E560" s="164">
        <v>46568</v>
      </c>
      <c r="F560" s="163" t="s">
        <v>1881</v>
      </c>
      <c r="G560" s="163" t="s">
        <v>1882</v>
      </c>
      <c r="H560" s="165">
        <v>6985.22</v>
      </c>
      <c r="I560" s="164">
        <v>46066</v>
      </c>
      <c r="J560" s="163" t="s">
        <v>2550</v>
      </c>
    </row>
    <row r="561" spans="1:10" x14ac:dyDescent="0.2">
      <c r="A561" s="163">
        <v>21161</v>
      </c>
      <c r="B561" s="163" t="s">
        <v>1879</v>
      </c>
      <c r="C561" s="163" t="s">
        <v>1985</v>
      </c>
      <c r="D561" s="164">
        <v>43891</v>
      </c>
      <c r="E561" s="164">
        <v>46660</v>
      </c>
      <c r="F561" s="163" t="s">
        <v>1881</v>
      </c>
      <c r="G561" s="163" t="s">
        <v>1882</v>
      </c>
      <c r="H561" s="165">
        <v>168404.84</v>
      </c>
      <c r="I561" s="164">
        <v>46066</v>
      </c>
      <c r="J561" s="163" t="s">
        <v>2551</v>
      </c>
    </row>
    <row r="562" spans="1:10" x14ac:dyDescent="0.2">
      <c r="A562" s="163">
        <v>21160</v>
      </c>
      <c r="B562" s="163" t="s">
        <v>2063</v>
      </c>
      <c r="C562" s="163" t="s">
        <v>2552</v>
      </c>
      <c r="D562" s="164">
        <v>45531</v>
      </c>
      <c r="E562" s="164">
        <v>45656</v>
      </c>
      <c r="F562" s="163" t="s">
        <v>1881</v>
      </c>
      <c r="G562" s="163" t="s">
        <v>1882</v>
      </c>
      <c r="H562" s="165">
        <v>0</v>
      </c>
      <c r="I562" s="164">
        <v>46066</v>
      </c>
      <c r="J562" s="163" t="s">
        <v>2553</v>
      </c>
    </row>
    <row r="563" spans="1:10" x14ac:dyDescent="0.2">
      <c r="A563" s="163">
        <v>21159</v>
      </c>
      <c r="B563" s="163" t="s">
        <v>1879</v>
      </c>
      <c r="C563" s="163" t="s">
        <v>1985</v>
      </c>
      <c r="D563" s="164">
        <v>43891</v>
      </c>
      <c r="E563" s="164">
        <v>46660</v>
      </c>
      <c r="F563" s="163" t="s">
        <v>1881</v>
      </c>
      <c r="G563" s="163" t="s">
        <v>1882</v>
      </c>
      <c r="H563" s="165">
        <v>308920.15999999997</v>
      </c>
      <c r="I563" s="164">
        <v>46066</v>
      </c>
      <c r="J563" s="163" t="s">
        <v>791</v>
      </c>
    </row>
    <row r="564" spans="1:10" x14ac:dyDescent="0.2">
      <c r="A564" s="163">
        <v>21158</v>
      </c>
      <c r="B564" s="163" t="s">
        <v>1905</v>
      </c>
      <c r="C564" s="163" t="s">
        <v>1906</v>
      </c>
      <c r="D564" s="164">
        <v>43944</v>
      </c>
      <c r="E564" s="164">
        <v>46568</v>
      </c>
      <c r="F564" s="163" t="s">
        <v>1881</v>
      </c>
      <c r="G564" s="163" t="s">
        <v>1882</v>
      </c>
      <c r="H564" s="165">
        <v>0</v>
      </c>
      <c r="I564" s="164">
        <v>46066</v>
      </c>
      <c r="J564" s="163" t="s">
        <v>2554</v>
      </c>
    </row>
    <row r="565" spans="1:10" x14ac:dyDescent="0.2">
      <c r="A565" s="163">
        <v>21157</v>
      </c>
      <c r="B565" s="163" t="s">
        <v>1895</v>
      </c>
      <c r="C565" s="163" t="s">
        <v>1996</v>
      </c>
      <c r="D565" s="164">
        <v>42339</v>
      </c>
      <c r="E565" s="164">
        <v>45504</v>
      </c>
      <c r="F565" s="163" t="s">
        <v>1881</v>
      </c>
      <c r="G565" s="163" t="s">
        <v>1882</v>
      </c>
      <c r="H565" s="165">
        <v>77751.61</v>
      </c>
      <c r="I565" s="164">
        <v>46066</v>
      </c>
      <c r="J565" s="163" t="s">
        <v>2555</v>
      </c>
    </row>
    <row r="566" spans="1:10" x14ac:dyDescent="0.2">
      <c r="A566" s="163">
        <v>21156</v>
      </c>
      <c r="B566" s="163" t="s">
        <v>1888</v>
      </c>
      <c r="C566" s="163" t="s">
        <v>2005</v>
      </c>
      <c r="D566" s="164">
        <v>42668</v>
      </c>
      <c r="E566" s="164">
        <v>45596</v>
      </c>
      <c r="F566" s="163" t="s">
        <v>1881</v>
      </c>
      <c r="G566" s="163" t="s">
        <v>1882</v>
      </c>
      <c r="H566" s="165">
        <v>0</v>
      </c>
      <c r="I566" s="164">
        <v>46066</v>
      </c>
      <c r="J566" s="163" t="s">
        <v>2556</v>
      </c>
    </row>
    <row r="567" spans="1:10" x14ac:dyDescent="0.2">
      <c r="A567" s="163">
        <v>21155</v>
      </c>
      <c r="B567" s="163" t="s">
        <v>1905</v>
      </c>
      <c r="C567" s="163" t="s">
        <v>1906</v>
      </c>
      <c r="D567" s="164">
        <v>43944</v>
      </c>
      <c r="E567" s="164">
        <v>46568</v>
      </c>
      <c r="F567" s="163" t="s">
        <v>1881</v>
      </c>
      <c r="G567" s="163" t="s">
        <v>1882</v>
      </c>
      <c r="H567" s="165">
        <v>6429.77</v>
      </c>
      <c r="I567" s="164">
        <v>46066</v>
      </c>
      <c r="J567" s="163" t="s">
        <v>2557</v>
      </c>
    </row>
    <row r="568" spans="1:10" x14ac:dyDescent="0.2">
      <c r="A568" s="163">
        <v>21154</v>
      </c>
      <c r="B568" s="163" t="s">
        <v>1905</v>
      </c>
      <c r="C568" s="163" t="s">
        <v>1906</v>
      </c>
      <c r="D568" s="164">
        <v>43944</v>
      </c>
      <c r="E568" s="164">
        <v>46568</v>
      </c>
      <c r="F568" s="163" t="s">
        <v>1881</v>
      </c>
      <c r="G568" s="163" t="s">
        <v>1882</v>
      </c>
      <c r="H568" s="165">
        <v>0</v>
      </c>
      <c r="I568" s="164">
        <v>46066</v>
      </c>
      <c r="J568" s="163" t="s">
        <v>2558</v>
      </c>
    </row>
    <row r="569" spans="1:10" x14ac:dyDescent="0.2">
      <c r="A569" s="163">
        <v>21153</v>
      </c>
      <c r="B569" s="163" t="s">
        <v>2107</v>
      </c>
      <c r="C569" s="163" t="s">
        <v>1908</v>
      </c>
      <c r="D569" s="164">
        <v>44036</v>
      </c>
      <c r="E569" s="164">
        <v>46022</v>
      </c>
      <c r="F569" s="163" t="s">
        <v>1881</v>
      </c>
      <c r="G569" s="163" t="s">
        <v>1882</v>
      </c>
      <c r="H569" s="165">
        <v>0</v>
      </c>
      <c r="I569" s="164">
        <v>46066</v>
      </c>
      <c r="J569" s="163" t="s">
        <v>2559</v>
      </c>
    </row>
    <row r="570" spans="1:10" x14ac:dyDescent="0.2">
      <c r="A570" s="163">
        <v>21152</v>
      </c>
      <c r="B570" s="163" t="s">
        <v>1905</v>
      </c>
      <c r="C570" s="163" t="s">
        <v>1906</v>
      </c>
      <c r="D570" s="164">
        <v>43944</v>
      </c>
      <c r="E570" s="164">
        <v>46568</v>
      </c>
      <c r="F570" s="163" t="s">
        <v>1881</v>
      </c>
      <c r="G570" s="163" t="s">
        <v>1882</v>
      </c>
      <c r="H570" s="165">
        <v>33561.800000000003</v>
      </c>
      <c r="I570" s="164">
        <v>46066</v>
      </c>
      <c r="J570" s="163" t="s">
        <v>742</v>
      </c>
    </row>
    <row r="571" spans="1:10" x14ac:dyDescent="0.2">
      <c r="A571" s="163">
        <v>21151</v>
      </c>
      <c r="B571" s="163" t="s">
        <v>2007</v>
      </c>
      <c r="C571" s="163" t="s">
        <v>2008</v>
      </c>
      <c r="D571" s="164">
        <v>42461</v>
      </c>
      <c r="E571" s="164">
        <v>46087</v>
      </c>
      <c r="F571" s="163" t="s">
        <v>1881</v>
      </c>
      <c r="G571" s="163" t="s">
        <v>1882</v>
      </c>
      <c r="H571" s="165">
        <v>0</v>
      </c>
      <c r="I571" s="164">
        <v>46066</v>
      </c>
      <c r="J571" s="163" t="s">
        <v>2560</v>
      </c>
    </row>
    <row r="572" spans="1:10" x14ac:dyDescent="0.2">
      <c r="A572" s="163">
        <v>21150</v>
      </c>
      <c r="B572" s="163" t="s">
        <v>1887</v>
      </c>
      <c r="C572" s="163" t="s">
        <v>2144</v>
      </c>
      <c r="D572" s="164">
        <v>45841</v>
      </c>
      <c r="E572" s="164">
        <v>46234</v>
      </c>
      <c r="F572" s="163" t="s">
        <v>1881</v>
      </c>
      <c r="G572" s="163" t="s">
        <v>1882</v>
      </c>
      <c r="H572" s="165">
        <v>0</v>
      </c>
      <c r="I572" s="164">
        <v>46066</v>
      </c>
      <c r="J572" s="163" t="s">
        <v>2561</v>
      </c>
    </row>
    <row r="573" spans="1:10" x14ac:dyDescent="0.2">
      <c r="A573" s="163">
        <v>21149</v>
      </c>
      <c r="B573" s="163" t="s">
        <v>1905</v>
      </c>
      <c r="C573" s="163" t="s">
        <v>1906</v>
      </c>
      <c r="D573" s="164">
        <v>43944</v>
      </c>
      <c r="E573" s="164">
        <v>46568</v>
      </c>
      <c r="F573" s="163" t="s">
        <v>1881</v>
      </c>
      <c r="G573" s="163" t="s">
        <v>1882</v>
      </c>
      <c r="H573" s="165">
        <v>6426.57</v>
      </c>
      <c r="I573" s="164">
        <v>46066</v>
      </c>
      <c r="J573" s="163" t="s">
        <v>2562</v>
      </c>
    </row>
    <row r="574" spans="1:10" x14ac:dyDescent="0.2">
      <c r="A574" s="163">
        <v>21148</v>
      </c>
      <c r="B574" s="163" t="s">
        <v>1887</v>
      </c>
      <c r="C574" s="163" t="s">
        <v>1978</v>
      </c>
      <c r="D574" s="164">
        <v>44995</v>
      </c>
      <c r="E574" s="164">
        <v>46090</v>
      </c>
      <c r="F574" s="163" t="s">
        <v>1881</v>
      </c>
      <c r="G574" s="163" t="s">
        <v>1882</v>
      </c>
      <c r="H574" s="165">
        <v>0</v>
      </c>
      <c r="I574" s="164">
        <v>46066</v>
      </c>
      <c r="J574" s="163" t="s">
        <v>2563</v>
      </c>
    </row>
    <row r="575" spans="1:10" x14ac:dyDescent="0.2">
      <c r="A575" s="163">
        <v>21147</v>
      </c>
      <c r="B575" s="163" t="s">
        <v>1887</v>
      </c>
      <c r="C575" s="163" t="s">
        <v>2564</v>
      </c>
      <c r="D575" s="164">
        <v>45658</v>
      </c>
      <c r="E575" s="164">
        <v>45659</v>
      </c>
      <c r="F575" s="163" t="s">
        <v>1881</v>
      </c>
      <c r="G575" s="163" t="s">
        <v>1882</v>
      </c>
      <c r="H575" s="165">
        <v>0</v>
      </c>
      <c r="I575" s="164">
        <v>46066</v>
      </c>
      <c r="J575" s="163" t="s">
        <v>2565</v>
      </c>
    </row>
    <row r="576" spans="1:10" x14ac:dyDescent="0.2">
      <c r="A576" s="163">
        <v>21146</v>
      </c>
      <c r="B576" s="163" t="s">
        <v>1879</v>
      </c>
      <c r="C576" s="163" t="s">
        <v>1985</v>
      </c>
      <c r="D576" s="164">
        <v>43891</v>
      </c>
      <c r="E576" s="164">
        <v>46660</v>
      </c>
      <c r="F576" s="163" t="s">
        <v>1881</v>
      </c>
      <c r="G576" s="163" t="s">
        <v>1882</v>
      </c>
      <c r="H576" s="165">
        <v>0</v>
      </c>
      <c r="I576" s="164">
        <v>46066</v>
      </c>
      <c r="J576" s="163" t="s">
        <v>2566</v>
      </c>
    </row>
    <row r="577" spans="1:10" x14ac:dyDescent="0.2">
      <c r="A577" s="163">
        <v>21145</v>
      </c>
      <c r="B577" s="163" t="s">
        <v>1887</v>
      </c>
      <c r="C577" s="163" t="s">
        <v>1978</v>
      </c>
      <c r="D577" s="164">
        <v>44995</v>
      </c>
      <c r="E577" s="164">
        <v>46090</v>
      </c>
      <c r="F577" s="163" t="s">
        <v>1881</v>
      </c>
      <c r="G577" s="163" t="s">
        <v>1882</v>
      </c>
      <c r="H577" s="165">
        <v>592105.18000000005</v>
      </c>
      <c r="I577" s="164">
        <v>46066</v>
      </c>
      <c r="J577" s="163" t="s">
        <v>548</v>
      </c>
    </row>
    <row r="578" spans="1:10" x14ac:dyDescent="0.2">
      <c r="A578" s="163">
        <v>21144</v>
      </c>
      <c r="B578" s="163" t="s">
        <v>1879</v>
      </c>
      <c r="C578" s="163" t="s">
        <v>1985</v>
      </c>
      <c r="D578" s="164">
        <v>43891</v>
      </c>
      <c r="E578" s="164">
        <v>46660</v>
      </c>
      <c r="F578" s="163" t="s">
        <v>1881</v>
      </c>
      <c r="G578" s="163" t="s">
        <v>1882</v>
      </c>
      <c r="H578" s="165">
        <v>0</v>
      </c>
      <c r="I578" s="164">
        <v>46066</v>
      </c>
      <c r="J578" s="163" t="s">
        <v>2567</v>
      </c>
    </row>
    <row r="579" spans="1:10" x14ac:dyDescent="0.2">
      <c r="A579" s="163">
        <v>21143</v>
      </c>
      <c r="B579" s="163" t="s">
        <v>2568</v>
      </c>
      <c r="C579" s="163" t="s">
        <v>2569</v>
      </c>
      <c r="D579" s="164">
        <v>45366</v>
      </c>
      <c r="E579" s="164">
        <v>45688</v>
      </c>
      <c r="F579" s="163" t="s">
        <v>1881</v>
      </c>
      <c r="G579" s="163" t="s">
        <v>1882</v>
      </c>
      <c r="H579" s="165">
        <v>42260.85</v>
      </c>
      <c r="I579" s="164">
        <v>46066</v>
      </c>
      <c r="J579" s="163" t="s">
        <v>542</v>
      </c>
    </row>
    <row r="580" spans="1:10" x14ac:dyDescent="0.2">
      <c r="A580" s="163">
        <v>21142</v>
      </c>
      <c r="B580" s="163" t="s">
        <v>1879</v>
      </c>
      <c r="C580" s="163" t="s">
        <v>1985</v>
      </c>
      <c r="D580" s="164">
        <v>43891</v>
      </c>
      <c r="E580" s="164">
        <v>46660</v>
      </c>
      <c r="F580" s="163" t="s">
        <v>1881</v>
      </c>
      <c r="G580" s="163" t="s">
        <v>1882</v>
      </c>
      <c r="H580" s="165">
        <v>0</v>
      </c>
      <c r="I580" s="164">
        <v>46066</v>
      </c>
      <c r="J580" s="163" t="s">
        <v>2570</v>
      </c>
    </row>
    <row r="581" spans="1:10" x14ac:dyDescent="0.2">
      <c r="A581" s="163">
        <v>21141</v>
      </c>
      <c r="B581" s="163" t="s">
        <v>1895</v>
      </c>
      <c r="C581" s="163" t="s">
        <v>502</v>
      </c>
      <c r="D581" s="164">
        <v>45658</v>
      </c>
      <c r="E581" s="164">
        <v>45659</v>
      </c>
      <c r="F581" s="163" t="s">
        <v>1881</v>
      </c>
      <c r="G581" s="163" t="s">
        <v>2043</v>
      </c>
      <c r="H581" s="165">
        <v>6061.78</v>
      </c>
      <c r="I581" s="164">
        <v>46066</v>
      </c>
      <c r="J581" s="163" t="s">
        <v>2571</v>
      </c>
    </row>
    <row r="582" spans="1:10" x14ac:dyDescent="0.2">
      <c r="A582" s="163">
        <v>21140</v>
      </c>
      <c r="B582" s="163" t="s">
        <v>1905</v>
      </c>
      <c r="C582" s="163" t="s">
        <v>1906</v>
      </c>
      <c r="D582" s="164">
        <v>43944</v>
      </c>
      <c r="E582" s="164">
        <v>46568</v>
      </c>
      <c r="F582" s="163" t="s">
        <v>1881</v>
      </c>
      <c r="G582" s="163" t="s">
        <v>1882</v>
      </c>
      <c r="H582" s="165">
        <v>6232.04</v>
      </c>
      <c r="I582" s="164">
        <v>46066</v>
      </c>
      <c r="J582" s="163" t="s">
        <v>2572</v>
      </c>
    </row>
    <row r="583" spans="1:10" x14ac:dyDescent="0.2">
      <c r="A583" s="163">
        <v>21139</v>
      </c>
      <c r="B583" s="163" t="s">
        <v>1895</v>
      </c>
      <c r="C583" s="163" t="s">
        <v>501</v>
      </c>
      <c r="D583" s="164">
        <v>45658</v>
      </c>
      <c r="E583" s="164">
        <v>45659</v>
      </c>
      <c r="F583" s="163" t="s">
        <v>1881</v>
      </c>
      <c r="G583" s="163" t="s">
        <v>2043</v>
      </c>
      <c r="H583" s="165">
        <v>16823</v>
      </c>
      <c r="I583" s="164">
        <v>46066</v>
      </c>
      <c r="J583" s="163" t="s">
        <v>2573</v>
      </c>
    </row>
    <row r="584" spans="1:10" x14ac:dyDescent="0.2">
      <c r="A584" s="163">
        <v>21138</v>
      </c>
      <c r="B584" s="163" t="s">
        <v>1915</v>
      </c>
      <c r="C584" s="163" t="s">
        <v>145</v>
      </c>
      <c r="D584" s="164">
        <v>45658</v>
      </c>
      <c r="E584" s="164">
        <v>45659</v>
      </c>
      <c r="F584" s="163" t="s">
        <v>1881</v>
      </c>
      <c r="G584" s="163" t="s">
        <v>1882</v>
      </c>
      <c r="H584" s="165">
        <v>0</v>
      </c>
      <c r="I584" s="164">
        <v>46066</v>
      </c>
      <c r="J584" s="163" t="s">
        <v>2574</v>
      </c>
    </row>
    <row r="585" spans="1:10" x14ac:dyDescent="0.2">
      <c r="A585" s="163">
        <v>21137</v>
      </c>
      <c r="B585" s="163" t="s">
        <v>1905</v>
      </c>
      <c r="C585" s="163" t="s">
        <v>1906</v>
      </c>
      <c r="D585" s="164">
        <v>43944</v>
      </c>
      <c r="E585" s="164">
        <v>46568</v>
      </c>
      <c r="F585" s="163" t="s">
        <v>1881</v>
      </c>
      <c r="G585" s="163" t="s">
        <v>1882</v>
      </c>
      <c r="H585" s="165">
        <v>23674.799999999999</v>
      </c>
      <c r="I585" s="164">
        <v>46066</v>
      </c>
      <c r="J585" s="163" t="s">
        <v>681</v>
      </c>
    </row>
    <row r="586" spans="1:10" x14ac:dyDescent="0.2">
      <c r="A586" s="163">
        <v>21136</v>
      </c>
      <c r="B586" s="163" t="s">
        <v>1895</v>
      </c>
      <c r="C586" s="163" t="s">
        <v>485</v>
      </c>
      <c r="D586" s="164">
        <v>45658</v>
      </c>
      <c r="E586" s="164">
        <v>45659</v>
      </c>
      <c r="F586" s="163" t="s">
        <v>1881</v>
      </c>
      <c r="G586" s="163" t="s">
        <v>2043</v>
      </c>
      <c r="H586" s="165">
        <v>3811.72</v>
      </c>
      <c r="I586" s="164">
        <v>46066</v>
      </c>
      <c r="J586" s="163" t="s">
        <v>2575</v>
      </c>
    </row>
    <row r="587" spans="1:10" x14ac:dyDescent="0.2">
      <c r="A587" s="163">
        <v>21135</v>
      </c>
      <c r="B587" s="163" t="s">
        <v>1887</v>
      </c>
      <c r="C587" s="163" t="s">
        <v>1978</v>
      </c>
      <c r="D587" s="164">
        <v>44995</v>
      </c>
      <c r="E587" s="164">
        <v>46090</v>
      </c>
      <c r="F587" s="163" t="s">
        <v>1881</v>
      </c>
      <c r="G587" s="163" t="s">
        <v>1882</v>
      </c>
      <c r="H587" s="165">
        <v>584158.32999999996</v>
      </c>
      <c r="I587" s="164">
        <v>46066</v>
      </c>
      <c r="J587" s="163" t="s">
        <v>559</v>
      </c>
    </row>
    <row r="588" spans="1:10" x14ac:dyDescent="0.2">
      <c r="A588" s="163">
        <v>21134</v>
      </c>
      <c r="B588" s="163" t="s">
        <v>1905</v>
      </c>
      <c r="C588" s="163" t="s">
        <v>1906</v>
      </c>
      <c r="D588" s="164">
        <v>43944</v>
      </c>
      <c r="E588" s="164">
        <v>46568</v>
      </c>
      <c r="F588" s="163" t="s">
        <v>1881</v>
      </c>
      <c r="G588" s="163" t="s">
        <v>1882</v>
      </c>
      <c r="H588" s="165">
        <v>3522.03</v>
      </c>
      <c r="I588" s="164">
        <v>46066</v>
      </c>
      <c r="J588" s="163" t="s">
        <v>1037</v>
      </c>
    </row>
    <row r="589" spans="1:10" x14ac:dyDescent="0.2">
      <c r="A589" s="163">
        <v>21133</v>
      </c>
      <c r="B589" s="163" t="s">
        <v>1895</v>
      </c>
      <c r="C589" s="163" t="s">
        <v>1996</v>
      </c>
      <c r="D589" s="164">
        <v>42339</v>
      </c>
      <c r="E589" s="164">
        <v>45504</v>
      </c>
      <c r="F589" s="163" t="s">
        <v>1881</v>
      </c>
      <c r="G589" s="163" t="s">
        <v>1882</v>
      </c>
      <c r="H589" s="165">
        <v>0</v>
      </c>
      <c r="I589" s="164">
        <v>46066</v>
      </c>
      <c r="J589" s="163" t="s">
        <v>2576</v>
      </c>
    </row>
    <row r="590" spans="1:10" x14ac:dyDescent="0.2">
      <c r="A590" s="163">
        <v>21132</v>
      </c>
      <c r="B590" s="163" t="s">
        <v>1905</v>
      </c>
      <c r="C590" s="163" t="s">
        <v>1906</v>
      </c>
      <c r="D590" s="164">
        <v>43944</v>
      </c>
      <c r="E590" s="164">
        <v>46568</v>
      </c>
      <c r="F590" s="163" t="s">
        <v>1881</v>
      </c>
      <c r="G590" s="163" t="s">
        <v>1882</v>
      </c>
      <c r="H590" s="165">
        <v>33561.800000000003</v>
      </c>
      <c r="I590" s="164">
        <v>46066</v>
      </c>
      <c r="J590" s="163" t="s">
        <v>780</v>
      </c>
    </row>
    <row r="591" spans="1:10" x14ac:dyDescent="0.2">
      <c r="A591" s="163">
        <v>21131</v>
      </c>
      <c r="B591" s="163" t="s">
        <v>1905</v>
      </c>
      <c r="C591" s="163" t="s">
        <v>1906</v>
      </c>
      <c r="D591" s="164">
        <v>43944</v>
      </c>
      <c r="E591" s="164">
        <v>46568</v>
      </c>
      <c r="F591" s="163" t="s">
        <v>1881</v>
      </c>
      <c r="G591" s="163" t="s">
        <v>1882</v>
      </c>
      <c r="H591" s="165">
        <v>21185.66</v>
      </c>
      <c r="I591" s="164">
        <v>46066</v>
      </c>
      <c r="J591" s="163" t="s">
        <v>945</v>
      </c>
    </row>
    <row r="592" spans="1:10" x14ac:dyDescent="0.2">
      <c r="A592" s="163">
        <v>21130</v>
      </c>
      <c r="B592" s="163" t="s">
        <v>1905</v>
      </c>
      <c r="C592" s="163" t="s">
        <v>1906</v>
      </c>
      <c r="D592" s="164">
        <v>43944</v>
      </c>
      <c r="E592" s="164">
        <v>46568</v>
      </c>
      <c r="F592" s="163" t="s">
        <v>1881</v>
      </c>
      <c r="G592" s="163" t="s">
        <v>1882</v>
      </c>
      <c r="H592" s="165">
        <v>7154.72</v>
      </c>
      <c r="I592" s="164">
        <v>46066</v>
      </c>
      <c r="J592" s="163" t="s">
        <v>2577</v>
      </c>
    </row>
    <row r="593" spans="1:10" x14ac:dyDescent="0.2">
      <c r="A593" s="163">
        <v>21129</v>
      </c>
      <c r="B593" s="163" t="s">
        <v>1930</v>
      </c>
      <c r="C593" s="163" t="s">
        <v>1931</v>
      </c>
      <c r="D593" s="164">
        <v>44816</v>
      </c>
      <c r="E593" s="164">
        <v>46354</v>
      </c>
      <c r="F593" s="163" t="s">
        <v>1881</v>
      </c>
      <c r="G593" s="163" t="s">
        <v>1882</v>
      </c>
      <c r="H593" s="165">
        <v>27864.7</v>
      </c>
      <c r="I593" s="164">
        <v>46066</v>
      </c>
      <c r="J593" s="163" t="s">
        <v>539</v>
      </c>
    </row>
    <row r="594" spans="1:10" x14ac:dyDescent="0.2">
      <c r="A594" s="163">
        <v>21128</v>
      </c>
      <c r="B594" s="163" t="s">
        <v>2578</v>
      </c>
      <c r="C594" s="163" t="s">
        <v>476</v>
      </c>
      <c r="D594" s="164">
        <v>45658</v>
      </c>
      <c r="E594" s="164">
        <v>45659</v>
      </c>
      <c r="F594" s="163" t="s">
        <v>1881</v>
      </c>
      <c r="G594" s="163" t="s">
        <v>1882</v>
      </c>
      <c r="H594" s="165">
        <v>0</v>
      </c>
      <c r="I594" s="164">
        <v>46066</v>
      </c>
      <c r="J594" s="163" t="s">
        <v>2579</v>
      </c>
    </row>
    <row r="595" spans="1:10" x14ac:dyDescent="0.2">
      <c r="A595" s="163">
        <v>21127</v>
      </c>
      <c r="B595" s="163" t="s">
        <v>1889</v>
      </c>
      <c r="C595" s="163" t="s">
        <v>1968</v>
      </c>
      <c r="D595" s="164">
        <v>42302</v>
      </c>
      <c r="E595" s="164">
        <v>46320</v>
      </c>
      <c r="F595" s="163" t="s">
        <v>1881</v>
      </c>
      <c r="G595" s="163" t="s">
        <v>1882</v>
      </c>
      <c r="H595" s="165">
        <v>0</v>
      </c>
      <c r="I595" s="164">
        <v>46066</v>
      </c>
      <c r="J595" s="163" t="s">
        <v>2580</v>
      </c>
    </row>
    <row r="596" spans="1:10" x14ac:dyDescent="0.2">
      <c r="A596" s="163">
        <v>21126</v>
      </c>
      <c r="B596" s="163" t="s">
        <v>2380</v>
      </c>
      <c r="C596" s="163" t="s">
        <v>2381</v>
      </c>
      <c r="D596" s="164">
        <v>45429</v>
      </c>
      <c r="E596" s="164">
        <v>45657</v>
      </c>
      <c r="F596" s="163" t="s">
        <v>1881</v>
      </c>
      <c r="G596" s="163" t="s">
        <v>1882</v>
      </c>
      <c r="H596" s="165">
        <v>0</v>
      </c>
      <c r="I596" s="164">
        <v>46066</v>
      </c>
      <c r="J596" s="163" t="s">
        <v>2581</v>
      </c>
    </row>
    <row r="597" spans="1:10" x14ac:dyDescent="0.2">
      <c r="A597" s="163">
        <v>21125</v>
      </c>
      <c r="B597" s="163" t="s">
        <v>1905</v>
      </c>
      <c r="C597" s="163" t="s">
        <v>1906</v>
      </c>
      <c r="D597" s="164">
        <v>43944</v>
      </c>
      <c r="E597" s="164">
        <v>46568</v>
      </c>
      <c r="F597" s="163" t="s">
        <v>1881</v>
      </c>
      <c r="G597" s="163" t="s">
        <v>1882</v>
      </c>
      <c r="H597" s="165">
        <v>0</v>
      </c>
      <c r="I597" s="164">
        <v>46066</v>
      </c>
      <c r="J597" s="163" t="s">
        <v>2582</v>
      </c>
    </row>
    <row r="598" spans="1:10" x14ac:dyDescent="0.2">
      <c r="A598" s="163">
        <v>21124</v>
      </c>
      <c r="B598" s="163" t="s">
        <v>1905</v>
      </c>
      <c r="C598" s="163" t="s">
        <v>1906</v>
      </c>
      <c r="D598" s="164">
        <v>43944</v>
      </c>
      <c r="E598" s="164">
        <v>46568</v>
      </c>
      <c r="F598" s="163" t="s">
        <v>1881</v>
      </c>
      <c r="G598" s="163" t="s">
        <v>1882</v>
      </c>
      <c r="H598" s="165">
        <v>5021.59</v>
      </c>
      <c r="I598" s="164">
        <v>46066</v>
      </c>
      <c r="J598" s="163" t="s">
        <v>2583</v>
      </c>
    </row>
    <row r="599" spans="1:10" x14ac:dyDescent="0.2">
      <c r="A599" s="163">
        <v>21123</v>
      </c>
      <c r="B599" s="163" t="s">
        <v>1905</v>
      </c>
      <c r="C599" s="163" t="s">
        <v>1906</v>
      </c>
      <c r="D599" s="164">
        <v>43944</v>
      </c>
      <c r="E599" s="164">
        <v>46568</v>
      </c>
      <c r="F599" s="163" t="s">
        <v>1881</v>
      </c>
      <c r="G599" s="163" t="s">
        <v>1882</v>
      </c>
      <c r="H599" s="165">
        <v>63047.45</v>
      </c>
      <c r="I599" s="164">
        <v>46066</v>
      </c>
      <c r="J599" s="163" t="s">
        <v>759</v>
      </c>
    </row>
    <row r="600" spans="1:10" x14ac:dyDescent="0.2">
      <c r="A600" s="163">
        <v>21122</v>
      </c>
      <c r="B600" s="163" t="s">
        <v>1905</v>
      </c>
      <c r="C600" s="163" t="s">
        <v>1906</v>
      </c>
      <c r="D600" s="164">
        <v>43944</v>
      </c>
      <c r="E600" s="164">
        <v>46568</v>
      </c>
      <c r="F600" s="163" t="s">
        <v>1881</v>
      </c>
      <c r="G600" s="163" t="s">
        <v>1882</v>
      </c>
      <c r="H600" s="165">
        <v>0</v>
      </c>
      <c r="I600" s="164">
        <v>46066</v>
      </c>
      <c r="J600" s="163" t="s">
        <v>2584</v>
      </c>
    </row>
    <row r="601" spans="1:10" x14ac:dyDescent="0.2">
      <c r="A601" s="163">
        <v>21121</v>
      </c>
      <c r="B601" s="163" t="s">
        <v>1889</v>
      </c>
      <c r="C601" s="163" t="s">
        <v>492</v>
      </c>
      <c r="D601" s="164">
        <v>45658</v>
      </c>
      <c r="E601" s="164">
        <v>45659</v>
      </c>
      <c r="F601" s="163" t="s">
        <v>1881</v>
      </c>
      <c r="G601" s="163" t="s">
        <v>1882</v>
      </c>
      <c r="H601" s="165">
        <v>80538.17</v>
      </c>
      <c r="I601" s="164">
        <v>46066</v>
      </c>
      <c r="J601" s="163" t="s">
        <v>836</v>
      </c>
    </row>
    <row r="602" spans="1:10" x14ac:dyDescent="0.2">
      <c r="A602" s="163">
        <v>21120</v>
      </c>
      <c r="B602" s="163" t="s">
        <v>1891</v>
      </c>
      <c r="C602" s="163" t="s">
        <v>2585</v>
      </c>
      <c r="D602" s="164">
        <v>45366</v>
      </c>
      <c r="E602" s="164">
        <v>45716</v>
      </c>
      <c r="F602" s="163" t="s">
        <v>1881</v>
      </c>
      <c r="G602" s="163" t="s">
        <v>1882</v>
      </c>
      <c r="H602" s="165">
        <v>0</v>
      </c>
      <c r="I602" s="164">
        <v>46066</v>
      </c>
      <c r="J602" s="163" t="s">
        <v>2586</v>
      </c>
    </row>
    <row r="603" spans="1:10" x14ac:dyDescent="0.2">
      <c r="A603" s="163">
        <v>21119</v>
      </c>
      <c r="B603" s="163" t="s">
        <v>1892</v>
      </c>
      <c r="C603" s="163" t="s">
        <v>2183</v>
      </c>
      <c r="D603" s="164">
        <v>45169</v>
      </c>
      <c r="E603" s="164">
        <v>45470</v>
      </c>
      <c r="F603" s="163" t="s">
        <v>1881</v>
      </c>
      <c r="G603" s="163" t="s">
        <v>1882</v>
      </c>
      <c r="H603" s="165">
        <v>8363.92</v>
      </c>
      <c r="I603" s="164">
        <v>46066</v>
      </c>
      <c r="J603" s="163" t="s">
        <v>2587</v>
      </c>
    </row>
    <row r="604" spans="1:10" x14ac:dyDescent="0.2">
      <c r="A604" s="163">
        <v>21118</v>
      </c>
      <c r="B604" s="163" t="s">
        <v>1901</v>
      </c>
      <c r="C604" s="163" t="s">
        <v>2588</v>
      </c>
      <c r="D604" s="164">
        <v>45658</v>
      </c>
      <c r="E604" s="164">
        <v>45659</v>
      </c>
      <c r="F604" s="163" t="s">
        <v>1881</v>
      </c>
      <c r="G604" s="163" t="s">
        <v>1882</v>
      </c>
      <c r="H604" s="165">
        <v>0</v>
      </c>
      <c r="I604" s="164">
        <v>46066</v>
      </c>
      <c r="J604" s="163" t="s">
        <v>2589</v>
      </c>
    </row>
    <row r="605" spans="1:10" x14ac:dyDescent="0.2">
      <c r="A605" s="163">
        <v>21117</v>
      </c>
      <c r="B605" s="163" t="s">
        <v>2305</v>
      </c>
      <c r="C605" s="163" t="s">
        <v>2306</v>
      </c>
      <c r="D605" s="164">
        <v>45463</v>
      </c>
      <c r="E605" s="164">
        <v>46022</v>
      </c>
      <c r="F605" s="163" t="s">
        <v>1881</v>
      </c>
      <c r="G605" s="163" t="s">
        <v>1882</v>
      </c>
      <c r="H605" s="165">
        <v>0</v>
      </c>
      <c r="I605" s="164">
        <v>46066</v>
      </c>
      <c r="J605" s="163" t="s">
        <v>2590</v>
      </c>
    </row>
    <row r="606" spans="1:10" x14ac:dyDescent="0.2">
      <c r="A606" s="163">
        <v>21116</v>
      </c>
      <c r="B606" s="163" t="s">
        <v>2305</v>
      </c>
      <c r="C606" s="163" t="s">
        <v>2306</v>
      </c>
      <c r="D606" s="164">
        <v>45463</v>
      </c>
      <c r="E606" s="164">
        <v>46022</v>
      </c>
      <c r="F606" s="163" t="s">
        <v>1881</v>
      </c>
      <c r="G606" s="163" t="s">
        <v>1882</v>
      </c>
      <c r="H606" s="165">
        <v>0</v>
      </c>
      <c r="I606" s="164">
        <v>46066</v>
      </c>
      <c r="J606" s="163" t="s">
        <v>2591</v>
      </c>
    </row>
    <row r="607" spans="1:10" x14ac:dyDescent="0.2">
      <c r="A607" s="163">
        <v>21115</v>
      </c>
      <c r="B607" s="163" t="s">
        <v>1905</v>
      </c>
      <c r="C607" s="163" t="s">
        <v>1906</v>
      </c>
      <c r="D607" s="164">
        <v>43944</v>
      </c>
      <c r="E607" s="164">
        <v>46568</v>
      </c>
      <c r="F607" s="163" t="s">
        <v>1881</v>
      </c>
      <c r="G607" s="163" t="s">
        <v>1882</v>
      </c>
      <c r="H607" s="165">
        <v>24050.05</v>
      </c>
      <c r="I607" s="164">
        <v>46066</v>
      </c>
      <c r="J607" s="163" t="s">
        <v>2592</v>
      </c>
    </row>
    <row r="608" spans="1:10" x14ac:dyDescent="0.2">
      <c r="A608" s="163">
        <v>21114</v>
      </c>
      <c r="B608" s="163" t="s">
        <v>2310</v>
      </c>
      <c r="C608" s="163" t="s">
        <v>2593</v>
      </c>
      <c r="D608" s="164">
        <v>45731</v>
      </c>
      <c r="E608" s="164">
        <v>46096</v>
      </c>
      <c r="F608" s="163" t="s">
        <v>1881</v>
      </c>
      <c r="G608" s="163" t="s">
        <v>1882</v>
      </c>
      <c r="H608" s="165">
        <v>14618.68</v>
      </c>
      <c r="I608" s="164">
        <v>46066</v>
      </c>
      <c r="J608" s="163" t="s">
        <v>570</v>
      </c>
    </row>
    <row r="609" spans="1:10" x14ac:dyDescent="0.2">
      <c r="A609" s="163">
        <v>21113</v>
      </c>
      <c r="B609" s="163" t="s">
        <v>2152</v>
      </c>
      <c r="C609" s="163" t="s">
        <v>2153</v>
      </c>
      <c r="D609" s="164">
        <v>45323</v>
      </c>
      <c r="E609" s="164">
        <v>47483</v>
      </c>
      <c r="F609" s="163" t="s">
        <v>1881</v>
      </c>
      <c r="G609" s="163" t="s">
        <v>1882</v>
      </c>
      <c r="H609" s="165">
        <v>2156</v>
      </c>
      <c r="I609" s="164">
        <v>46066</v>
      </c>
      <c r="J609" s="163" t="s">
        <v>2594</v>
      </c>
    </row>
    <row r="610" spans="1:10" x14ac:dyDescent="0.2">
      <c r="A610" s="163">
        <v>21112</v>
      </c>
      <c r="B610" s="163" t="s">
        <v>2595</v>
      </c>
      <c r="C610" s="163" t="s">
        <v>2596</v>
      </c>
      <c r="D610" s="164">
        <v>45329</v>
      </c>
      <c r="E610" s="164">
        <v>45412</v>
      </c>
      <c r="F610" s="163" t="s">
        <v>1881</v>
      </c>
      <c r="G610" s="163" t="s">
        <v>1882</v>
      </c>
      <c r="H610" s="165">
        <v>0</v>
      </c>
      <c r="I610" s="164">
        <v>46066</v>
      </c>
      <c r="J610" s="163" t="s">
        <v>2597</v>
      </c>
    </row>
    <row r="611" spans="1:10" x14ac:dyDescent="0.2">
      <c r="A611" s="163">
        <v>21111</v>
      </c>
      <c r="B611" s="163" t="s">
        <v>2010</v>
      </c>
      <c r="C611" s="163" t="s">
        <v>2285</v>
      </c>
      <c r="D611" s="164">
        <v>45131</v>
      </c>
      <c r="E611" s="164">
        <v>45443</v>
      </c>
      <c r="F611" s="163" t="s">
        <v>1881</v>
      </c>
      <c r="G611" s="163" t="s">
        <v>1882</v>
      </c>
      <c r="H611" s="165">
        <v>0</v>
      </c>
      <c r="I611" s="164">
        <v>46066</v>
      </c>
      <c r="J611" s="163" t="s">
        <v>2598</v>
      </c>
    </row>
    <row r="612" spans="1:10" x14ac:dyDescent="0.2">
      <c r="A612" s="163">
        <v>21110</v>
      </c>
      <c r="B612" s="163" t="s">
        <v>1888</v>
      </c>
      <c r="C612" s="163" t="s">
        <v>2005</v>
      </c>
      <c r="D612" s="164">
        <v>42668</v>
      </c>
      <c r="E612" s="164">
        <v>45596</v>
      </c>
      <c r="F612" s="163" t="s">
        <v>1881</v>
      </c>
      <c r="G612" s="163" t="s">
        <v>1882</v>
      </c>
      <c r="H612" s="165">
        <v>0</v>
      </c>
      <c r="I612" s="164">
        <v>46066</v>
      </c>
      <c r="J612" s="163" t="s">
        <v>2599</v>
      </c>
    </row>
    <row r="613" spans="1:10" x14ac:dyDescent="0.2">
      <c r="A613" s="163">
        <v>21109</v>
      </c>
      <c r="B613" s="163" t="s">
        <v>1918</v>
      </c>
      <c r="C613" s="163" t="s">
        <v>379</v>
      </c>
      <c r="D613" s="164">
        <v>45658</v>
      </c>
      <c r="E613" s="164">
        <v>45659</v>
      </c>
      <c r="F613" s="163" t="s">
        <v>1881</v>
      </c>
      <c r="G613" s="163" t="s">
        <v>1882</v>
      </c>
      <c r="H613" s="165">
        <v>3468.35</v>
      </c>
      <c r="I613" s="164">
        <v>46066</v>
      </c>
      <c r="J613" s="163" t="s">
        <v>2600</v>
      </c>
    </row>
    <row r="614" spans="1:10" x14ac:dyDescent="0.2">
      <c r="A614" s="163">
        <v>21108</v>
      </c>
      <c r="B614" s="163" t="s">
        <v>1887</v>
      </c>
      <c r="C614" s="163" t="s">
        <v>591</v>
      </c>
      <c r="D614" s="164">
        <v>45658</v>
      </c>
      <c r="E614" s="164">
        <v>45659</v>
      </c>
      <c r="F614" s="163" t="s">
        <v>1881</v>
      </c>
      <c r="G614" s="163" t="s">
        <v>1882</v>
      </c>
      <c r="H614" s="165">
        <v>53584.88</v>
      </c>
      <c r="I614" s="164">
        <v>46066</v>
      </c>
      <c r="J614" s="163" t="s">
        <v>592</v>
      </c>
    </row>
    <row r="615" spans="1:10" x14ac:dyDescent="0.2">
      <c r="A615" s="163">
        <v>21107</v>
      </c>
      <c r="B615" s="163" t="s">
        <v>1888</v>
      </c>
      <c r="C615" s="163" t="s">
        <v>2005</v>
      </c>
      <c r="D615" s="164">
        <v>42668</v>
      </c>
      <c r="E615" s="164">
        <v>45596</v>
      </c>
      <c r="F615" s="163" t="s">
        <v>1881</v>
      </c>
      <c r="G615" s="163" t="s">
        <v>1882</v>
      </c>
      <c r="H615" s="165">
        <v>0</v>
      </c>
      <c r="I615" s="164">
        <v>46066</v>
      </c>
      <c r="J615" s="163" t="s">
        <v>2601</v>
      </c>
    </row>
    <row r="616" spans="1:10" x14ac:dyDescent="0.2">
      <c r="A616" s="163">
        <v>21106</v>
      </c>
      <c r="B616" s="163" t="s">
        <v>1947</v>
      </c>
      <c r="C616" s="163" t="s">
        <v>2602</v>
      </c>
      <c r="D616" s="164">
        <v>45323</v>
      </c>
      <c r="E616" s="164">
        <v>45657</v>
      </c>
      <c r="F616" s="163" t="s">
        <v>1881</v>
      </c>
      <c r="G616" s="163" t="s">
        <v>1882</v>
      </c>
      <c r="H616" s="165">
        <v>23575</v>
      </c>
      <c r="I616" s="164">
        <v>46066</v>
      </c>
      <c r="J616" s="163" t="s">
        <v>2603</v>
      </c>
    </row>
    <row r="617" spans="1:10" x14ac:dyDescent="0.2">
      <c r="A617" s="163">
        <v>21105</v>
      </c>
      <c r="B617" s="163" t="s">
        <v>2107</v>
      </c>
      <c r="C617" s="163" t="s">
        <v>2266</v>
      </c>
      <c r="D617" s="164">
        <v>44477</v>
      </c>
      <c r="E617" s="164">
        <v>46302</v>
      </c>
      <c r="F617" s="163" t="s">
        <v>1881</v>
      </c>
      <c r="G617" s="163" t="s">
        <v>1882</v>
      </c>
      <c r="H617" s="165">
        <v>0</v>
      </c>
      <c r="I617" s="164">
        <v>46066</v>
      </c>
      <c r="J617" s="163" t="s">
        <v>2604</v>
      </c>
    </row>
    <row r="618" spans="1:10" x14ac:dyDescent="0.2">
      <c r="A618" s="163">
        <v>21104</v>
      </c>
      <c r="B618" s="163" t="s">
        <v>2498</v>
      </c>
      <c r="C618" s="163" t="s">
        <v>2605</v>
      </c>
      <c r="D618" s="164">
        <v>44998</v>
      </c>
      <c r="E618" s="164">
        <v>45230</v>
      </c>
      <c r="F618" s="163" t="s">
        <v>1881</v>
      </c>
      <c r="G618" s="163" t="s">
        <v>1882</v>
      </c>
      <c r="H618" s="165">
        <v>0</v>
      </c>
      <c r="I618" s="164">
        <v>46066</v>
      </c>
      <c r="J618" s="163" t="s">
        <v>2606</v>
      </c>
    </row>
    <row r="619" spans="1:10" x14ac:dyDescent="0.2">
      <c r="A619" s="163">
        <v>21103</v>
      </c>
      <c r="B619" s="163" t="s">
        <v>2607</v>
      </c>
      <c r="C619" s="163" t="s">
        <v>1908</v>
      </c>
      <c r="D619" s="164">
        <v>44036</v>
      </c>
      <c r="E619" s="164">
        <v>46022</v>
      </c>
      <c r="F619" s="163" t="s">
        <v>1881</v>
      </c>
      <c r="G619" s="163" t="s">
        <v>2043</v>
      </c>
      <c r="H619" s="165">
        <v>8241</v>
      </c>
      <c r="I619" s="164">
        <v>46066</v>
      </c>
      <c r="J619" s="163" t="s">
        <v>1036</v>
      </c>
    </row>
    <row r="620" spans="1:10" x14ac:dyDescent="0.2">
      <c r="A620" s="163">
        <v>21102</v>
      </c>
      <c r="B620" s="163" t="s">
        <v>2107</v>
      </c>
      <c r="C620" s="163" t="s">
        <v>2266</v>
      </c>
      <c r="D620" s="164">
        <v>44477</v>
      </c>
      <c r="E620" s="164">
        <v>46302</v>
      </c>
      <c r="F620" s="163" t="s">
        <v>1881</v>
      </c>
      <c r="G620" s="163" t="s">
        <v>1882</v>
      </c>
      <c r="H620" s="165">
        <v>0</v>
      </c>
      <c r="I620" s="164">
        <v>46066</v>
      </c>
      <c r="J620" s="163" t="s">
        <v>2608</v>
      </c>
    </row>
    <row r="621" spans="1:10" x14ac:dyDescent="0.2">
      <c r="A621" s="163">
        <v>21101</v>
      </c>
      <c r="B621" s="163" t="s">
        <v>1888</v>
      </c>
      <c r="C621" s="163" t="s">
        <v>2005</v>
      </c>
      <c r="D621" s="164">
        <v>42668</v>
      </c>
      <c r="E621" s="164">
        <v>45596</v>
      </c>
      <c r="F621" s="163" t="s">
        <v>1881</v>
      </c>
      <c r="G621" s="163" t="s">
        <v>1882</v>
      </c>
      <c r="H621" s="165">
        <v>0</v>
      </c>
      <c r="I621" s="164">
        <v>46066</v>
      </c>
      <c r="J621" s="163" t="s">
        <v>2609</v>
      </c>
    </row>
    <row r="622" spans="1:10" x14ac:dyDescent="0.2">
      <c r="A622" s="163">
        <v>21100</v>
      </c>
      <c r="B622" s="163" t="s">
        <v>1888</v>
      </c>
      <c r="C622" s="163" t="s">
        <v>2005</v>
      </c>
      <c r="D622" s="164">
        <v>42668</v>
      </c>
      <c r="E622" s="164">
        <v>45596</v>
      </c>
      <c r="F622" s="163" t="s">
        <v>1881</v>
      </c>
      <c r="G622" s="163" t="s">
        <v>1882</v>
      </c>
      <c r="H622" s="165">
        <v>0</v>
      </c>
      <c r="I622" s="164">
        <v>46066</v>
      </c>
      <c r="J622" s="163" t="s">
        <v>2610</v>
      </c>
    </row>
    <row r="623" spans="1:10" x14ac:dyDescent="0.2">
      <c r="A623" s="163">
        <v>21099</v>
      </c>
      <c r="B623" s="163" t="s">
        <v>1885</v>
      </c>
      <c r="C623" s="163" t="s">
        <v>2029</v>
      </c>
      <c r="D623" s="164">
        <v>45436</v>
      </c>
      <c r="E623" s="164">
        <v>45657</v>
      </c>
      <c r="F623" s="163" t="s">
        <v>1881</v>
      </c>
      <c r="G623" s="163" t="s">
        <v>1882</v>
      </c>
      <c r="H623" s="165">
        <v>446.95</v>
      </c>
      <c r="I623" s="164">
        <v>46066</v>
      </c>
      <c r="J623" s="163" t="s">
        <v>935</v>
      </c>
    </row>
    <row r="624" spans="1:10" x14ac:dyDescent="0.2">
      <c r="A624" s="163">
        <v>21098</v>
      </c>
      <c r="B624" s="163" t="s">
        <v>2107</v>
      </c>
      <c r="C624" s="163" t="s">
        <v>2611</v>
      </c>
      <c r="D624" s="164">
        <v>45658</v>
      </c>
      <c r="E624" s="164">
        <v>45659</v>
      </c>
      <c r="F624" s="163" t="s">
        <v>1881</v>
      </c>
      <c r="G624" s="163" t="s">
        <v>1882</v>
      </c>
      <c r="H624" s="165">
        <v>0</v>
      </c>
      <c r="I624" s="164">
        <v>46066</v>
      </c>
      <c r="J624" s="163" t="s">
        <v>2612</v>
      </c>
    </row>
    <row r="625" spans="1:10" x14ac:dyDescent="0.2">
      <c r="A625" s="163">
        <v>21097</v>
      </c>
      <c r="B625" s="163" t="s">
        <v>2015</v>
      </c>
      <c r="C625" s="163" t="s">
        <v>41</v>
      </c>
      <c r="D625" s="164">
        <v>45658</v>
      </c>
      <c r="E625" s="164">
        <v>45659</v>
      </c>
      <c r="F625" s="163" t="s">
        <v>1881</v>
      </c>
      <c r="G625" s="163" t="s">
        <v>1882</v>
      </c>
      <c r="H625" s="165">
        <v>0</v>
      </c>
      <c r="I625" s="164">
        <v>46066</v>
      </c>
      <c r="J625" s="163" t="s">
        <v>2613</v>
      </c>
    </row>
    <row r="626" spans="1:10" x14ac:dyDescent="0.2">
      <c r="A626" s="163">
        <v>21096</v>
      </c>
      <c r="B626" s="163" t="s">
        <v>1895</v>
      </c>
      <c r="C626" s="163" t="s">
        <v>1076</v>
      </c>
      <c r="D626" s="164">
        <v>45658</v>
      </c>
      <c r="E626" s="164">
        <v>45659</v>
      </c>
      <c r="F626" s="163" t="s">
        <v>1881</v>
      </c>
      <c r="G626" s="163" t="s">
        <v>2043</v>
      </c>
      <c r="H626" s="165">
        <v>267.39</v>
      </c>
      <c r="I626" s="164">
        <v>46066</v>
      </c>
      <c r="J626" s="163" t="s">
        <v>1077</v>
      </c>
    </row>
    <row r="627" spans="1:10" x14ac:dyDescent="0.2">
      <c r="A627" s="163">
        <v>21095</v>
      </c>
      <c r="B627" s="163" t="s">
        <v>2498</v>
      </c>
      <c r="C627" s="163" t="s">
        <v>2614</v>
      </c>
      <c r="D627" s="164">
        <v>45817</v>
      </c>
      <c r="E627" s="164">
        <v>46022</v>
      </c>
      <c r="F627" s="163" t="s">
        <v>1881</v>
      </c>
      <c r="G627" s="163" t="s">
        <v>1882</v>
      </c>
      <c r="H627" s="165">
        <v>11296</v>
      </c>
      <c r="I627" s="164">
        <v>46066</v>
      </c>
      <c r="J627" s="163" t="s">
        <v>2615</v>
      </c>
    </row>
    <row r="628" spans="1:10" x14ac:dyDescent="0.2">
      <c r="A628" s="163">
        <v>21094</v>
      </c>
      <c r="B628" s="163" t="s">
        <v>1905</v>
      </c>
      <c r="C628" s="163" t="s">
        <v>2616</v>
      </c>
      <c r="D628" s="164">
        <v>44456</v>
      </c>
      <c r="E628" s="164">
        <v>44820</v>
      </c>
      <c r="F628" s="163" t="s">
        <v>1881</v>
      </c>
      <c r="G628" s="163" t="s">
        <v>1882</v>
      </c>
      <c r="H628" s="165">
        <v>0</v>
      </c>
      <c r="I628" s="164">
        <v>46066</v>
      </c>
      <c r="J628" s="163" t="s">
        <v>2617</v>
      </c>
    </row>
    <row r="629" spans="1:10" x14ac:dyDescent="0.2">
      <c r="A629" s="163">
        <v>21093</v>
      </c>
      <c r="B629" s="163" t="s">
        <v>2015</v>
      </c>
      <c r="C629" s="163" t="s">
        <v>2618</v>
      </c>
      <c r="D629" s="164">
        <v>45658</v>
      </c>
      <c r="E629" s="164">
        <v>45659</v>
      </c>
      <c r="F629" s="163" t="s">
        <v>1881</v>
      </c>
      <c r="G629" s="163" t="s">
        <v>1882</v>
      </c>
      <c r="H629" s="165">
        <v>0</v>
      </c>
      <c r="I629" s="164">
        <v>46066</v>
      </c>
      <c r="J629" s="163" t="s">
        <v>2619</v>
      </c>
    </row>
    <row r="630" spans="1:10" x14ac:dyDescent="0.2">
      <c r="A630" s="163">
        <v>21092</v>
      </c>
      <c r="B630" s="163" t="s">
        <v>2063</v>
      </c>
      <c r="C630" s="163" t="s">
        <v>2620</v>
      </c>
      <c r="D630" s="164">
        <v>45658</v>
      </c>
      <c r="E630" s="164">
        <v>45659</v>
      </c>
      <c r="F630" s="163" t="s">
        <v>1881</v>
      </c>
      <c r="G630" s="163" t="s">
        <v>1882</v>
      </c>
      <c r="H630" s="165">
        <v>0</v>
      </c>
      <c r="I630" s="164">
        <v>46066</v>
      </c>
      <c r="J630" s="163" t="s">
        <v>2621</v>
      </c>
    </row>
    <row r="631" spans="1:10" x14ac:dyDescent="0.2">
      <c r="A631" s="163">
        <v>21091</v>
      </c>
      <c r="B631" s="163" t="s">
        <v>2007</v>
      </c>
      <c r="C631" s="163" t="s">
        <v>2008</v>
      </c>
      <c r="D631" s="164">
        <v>42461</v>
      </c>
      <c r="E631" s="164">
        <v>46087</v>
      </c>
      <c r="F631" s="163" t="s">
        <v>1881</v>
      </c>
      <c r="G631" s="163" t="s">
        <v>1882</v>
      </c>
      <c r="H631" s="165">
        <v>0</v>
      </c>
      <c r="I631" s="164">
        <v>46066</v>
      </c>
      <c r="J631" s="163" t="s">
        <v>2622</v>
      </c>
    </row>
    <row r="632" spans="1:10" x14ac:dyDescent="0.2">
      <c r="A632" s="163">
        <v>21090</v>
      </c>
      <c r="B632" s="163" t="s">
        <v>2107</v>
      </c>
      <c r="C632" s="163" t="s">
        <v>2266</v>
      </c>
      <c r="D632" s="164">
        <v>44477</v>
      </c>
      <c r="E632" s="164">
        <v>46302</v>
      </c>
      <c r="F632" s="163" t="s">
        <v>1881</v>
      </c>
      <c r="G632" s="163" t="s">
        <v>1882</v>
      </c>
      <c r="H632" s="165">
        <v>0</v>
      </c>
      <c r="I632" s="164">
        <v>46066</v>
      </c>
      <c r="J632" s="163" t="s">
        <v>2623</v>
      </c>
    </row>
    <row r="633" spans="1:10" x14ac:dyDescent="0.2">
      <c r="A633" s="163">
        <v>21089</v>
      </c>
      <c r="B633" s="163" t="s">
        <v>1885</v>
      </c>
      <c r="C633" s="163" t="s">
        <v>2029</v>
      </c>
      <c r="D633" s="164">
        <v>45436</v>
      </c>
      <c r="E633" s="164">
        <v>45657</v>
      </c>
      <c r="F633" s="163" t="s">
        <v>1881</v>
      </c>
      <c r="G633" s="163" t="s">
        <v>1882</v>
      </c>
      <c r="H633" s="165">
        <v>1066.45</v>
      </c>
      <c r="I633" s="164">
        <v>46066</v>
      </c>
      <c r="J633" s="163" t="s">
        <v>2624</v>
      </c>
    </row>
    <row r="634" spans="1:10" x14ac:dyDescent="0.2">
      <c r="A634" s="163">
        <v>21088</v>
      </c>
      <c r="B634" s="163" t="s">
        <v>1895</v>
      </c>
      <c r="C634" s="163" t="s">
        <v>992</v>
      </c>
      <c r="D634" s="164">
        <v>45658</v>
      </c>
      <c r="E634" s="164">
        <v>45659</v>
      </c>
      <c r="F634" s="163" t="s">
        <v>1881</v>
      </c>
      <c r="G634" s="163" t="s">
        <v>2043</v>
      </c>
      <c r="H634" s="165">
        <v>2242.27</v>
      </c>
      <c r="I634" s="164">
        <v>46066</v>
      </c>
      <c r="J634" s="163" t="s">
        <v>993</v>
      </c>
    </row>
    <row r="635" spans="1:10" x14ac:dyDescent="0.2">
      <c r="A635" s="163">
        <v>21087</v>
      </c>
      <c r="B635" s="163" t="s">
        <v>1947</v>
      </c>
      <c r="C635" s="163" t="s">
        <v>2625</v>
      </c>
      <c r="D635" s="164">
        <v>45323</v>
      </c>
      <c r="E635" s="164">
        <v>45657</v>
      </c>
      <c r="F635" s="163" t="s">
        <v>1881</v>
      </c>
      <c r="G635" s="163" t="s">
        <v>1882</v>
      </c>
      <c r="H635" s="165">
        <v>2241.12</v>
      </c>
      <c r="I635" s="164">
        <v>46066</v>
      </c>
      <c r="J635" s="163" t="s">
        <v>2626</v>
      </c>
    </row>
    <row r="636" spans="1:10" x14ac:dyDescent="0.2">
      <c r="A636" s="163">
        <v>21086</v>
      </c>
      <c r="B636" s="163" t="s">
        <v>1905</v>
      </c>
      <c r="C636" s="163" t="s">
        <v>1906</v>
      </c>
      <c r="D636" s="164">
        <v>43944</v>
      </c>
      <c r="E636" s="164">
        <v>46568</v>
      </c>
      <c r="F636" s="163" t="s">
        <v>1881</v>
      </c>
      <c r="G636" s="163" t="s">
        <v>1882</v>
      </c>
      <c r="H636" s="165">
        <v>0</v>
      </c>
      <c r="I636" s="164">
        <v>46066</v>
      </c>
      <c r="J636" s="163" t="s">
        <v>2627</v>
      </c>
    </row>
    <row r="637" spans="1:10" x14ac:dyDescent="0.2">
      <c r="A637" s="163">
        <v>21085</v>
      </c>
      <c r="B637" s="163" t="s">
        <v>2010</v>
      </c>
      <c r="C637" s="163" t="s">
        <v>1908</v>
      </c>
      <c r="D637" s="164">
        <v>44036</v>
      </c>
      <c r="E637" s="164">
        <v>46022</v>
      </c>
      <c r="F637" s="163" t="s">
        <v>1881</v>
      </c>
      <c r="G637" s="163" t="s">
        <v>1882</v>
      </c>
      <c r="H637" s="165">
        <v>0</v>
      </c>
      <c r="I637" s="164">
        <v>46066</v>
      </c>
      <c r="J637" s="163" t="s">
        <v>2628</v>
      </c>
    </row>
    <row r="638" spans="1:10" x14ac:dyDescent="0.2">
      <c r="A638" s="163">
        <v>21084</v>
      </c>
      <c r="B638" s="163" t="s">
        <v>2152</v>
      </c>
      <c r="C638" s="163" t="s">
        <v>2629</v>
      </c>
      <c r="D638" s="164">
        <v>45446</v>
      </c>
      <c r="E638" s="164">
        <v>46175</v>
      </c>
      <c r="F638" s="163" t="s">
        <v>1881</v>
      </c>
      <c r="G638" s="163" t="s">
        <v>1882</v>
      </c>
      <c r="H638" s="165">
        <v>19168.64</v>
      </c>
      <c r="I638" s="164">
        <v>46066</v>
      </c>
      <c r="J638" s="163" t="s">
        <v>2630</v>
      </c>
    </row>
    <row r="639" spans="1:10" x14ac:dyDescent="0.2">
      <c r="A639" s="163">
        <v>21083</v>
      </c>
      <c r="B639" s="163" t="s">
        <v>1918</v>
      </c>
      <c r="C639" s="163" t="s">
        <v>2631</v>
      </c>
      <c r="D639" s="164">
        <v>45658</v>
      </c>
      <c r="E639" s="164">
        <v>45659</v>
      </c>
      <c r="F639" s="163" t="s">
        <v>1881</v>
      </c>
      <c r="G639" s="163" t="s">
        <v>1882</v>
      </c>
      <c r="H639" s="165">
        <v>0</v>
      </c>
      <c r="I639" s="164">
        <v>46066</v>
      </c>
      <c r="J639" s="163" t="s">
        <v>2632</v>
      </c>
    </row>
    <row r="640" spans="1:10" x14ac:dyDescent="0.2">
      <c r="A640" s="163">
        <v>21082</v>
      </c>
      <c r="B640" s="163" t="s">
        <v>1893</v>
      </c>
      <c r="C640" s="163" t="s">
        <v>2159</v>
      </c>
      <c r="D640" s="164">
        <v>42368</v>
      </c>
      <c r="E640" s="164">
        <v>46203</v>
      </c>
      <c r="F640" s="163" t="s">
        <v>1881</v>
      </c>
      <c r="G640" s="163" t="s">
        <v>1882</v>
      </c>
      <c r="H640" s="165">
        <v>3113.15</v>
      </c>
      <c r="I640" s="164">
        <v>46066</v>
      </c>
      <c r="J640" s="163" t="s">
        <v>2633</v>
      </c>
    </row>
    <row r="641" spans="1:10" x14ac:dyDescent="0.2">
      <c r="A641" s="163">
        <v>21081</v>
      </c>
      <c r="B641" s="163" t="s">
        <v>2197</v>
      </c>
      <c r="C641" s="163" t="s">
        <v>2634</v>
      </c>
      <c r="D641" s="164">
        <v>45658</v>
      </c>
      <c r="E641" s="164">
        <v>45659</v>
      </c>
      <c r="F641" s="163" t="s">
        <v>1881</v>
      </c>
      <c r="G641" s="163" t="s">
        <v>1882</v>
      </c>
      <c r="H641" s="165">
        <v>0</v>
      </c>
      <c r="I641" s="164">
        <v>46066</v>
      </c>
      <c r="J641" s="163" t="s">
        <v>2635</v>
      </c>
    </row>
    <row r="642" spans="1:10" x14ac:dyDescent="0.2">
      <c r="A642" s="163">
        <v>21080</v>
      </c>
      <c r="B642" s="163" t="s">
        <v>2152</v>
      </c>
      <c r="C642" s="163" t="s">
        <v>2636</v>
      </c>
      <c r="D642" s="164">
        <v>42853</v>
      </c>
      <c r="E642" s="164">
        <v>45412</v>
      </c>
      <c r="F642" s="163" t="s">
        <v>1881</v>
      </c>
      <c r="G642" s="163" t="s">
        <v>1882</v>
      </c>
      <c r="H642" s="165">
        <v>0</v>
      </c>
      <c r="I642" s="164">
        <v>46066</v>
      </c>
      <c r="J642" s="163" t="s">
        <v>2637</v>
      </c>
    </row>
    <row r="643" spans="1:10" x14ac:dyDescent="0.2">
      <c r="A643" s="163">
        <v>21079</v>
      </c>
      <c r="B643" s="163" t="s">
        <v>1895</v>
      </c>
      <c r="C643" s="163" t="s">
        <v>961</v>
      </c>
      <c r="D643" s="164">
        <v>45658</v>
      </c>
      <c r="E643" s="164">
        <v>45659</v>
      </c>
      <c r="F643" s="163" t="s">
        <v>1881</v>
      </c>
      <c r="G643" s="163" t="s">
        <v>2043</v>
      </c>
      <c r="H643" s="165">
        <v>4665</v>
      </c>
      <c r="I643" s="164">
        <v>46066</v>
      </c>
      <c r="J643" s="163" t="s">
        <v>962</v>
      </c>
    </row>
    <row r="644" spans="1:10" x14ac:dyDescent="0.2">
      <c r="A644" s="163">
        <v>21078</v>
      </c>
      <c r="B644" s="163" t="s">
        <v>1885</v>
      </c>
      <c r="C644" s="163" t="s">
        <v>2029</v>
      </c>
      <c r="D644" s="164">
        <v>45436</v>
      </c>
      <c r="E644" s="164">
        <v>45657</v>
      </c>
      <c r="F644" s="163" t="s">
        <v>1881</v>
      </c>
      <c r="G644" s="163" t="s">
        <v>1882</v>
      </c>
      <c r="H644" s="165">
        <v>532.23</v>
      </c>
      <c r="I644" s="164">
        <v>46066</v>
      </c>
      <c r="J644" s="163" t="s">
        <v>838</v>
      </c>
    </row>
    <row r="645" spans="1:10" x14ac:dyDescent="0.2">
      <c r="A645" s="163">
        <v>21077</v>
      </c>
      <c r="B645" s="163" t="s">
        <v>1895</v>
      </c>
      <c r="C645" s="163" t="s">
        <v>991</v>
      </c>
      <c r="D645" s="164">
        <v>45658</v>
      </c>
      <c r="E645" s="164">
        <v>45659</v>
      </c>
      <c r="F645" s="163" t="s">
        <v>1881</v>
      </c>
      <c r="G645" s="163" t="s">
        <v>1882</v>
      </c>
      <c r="H645" s="165">
        <v>6843.55</v>
      </c>
      <c r="I645" s="164">
        <v>46066</v>
      </c>
      <c r="J645" s="163" t="s">
        <v>1068</v>
      </c>
    </row>
    <row r="646" spans="1:10" x14ac:dyDescent="0.2">
      <c r="A646" s="163">
        <v>21076</v>
      </c>
      <c r="B646" s="163" t="s">
        <v>2148</v>
      </c>
      <c r="C646" s="163" t="s">
        <v>1908</v>
      </c>
      <c r="D646" s="164">
        <v>44036</v>
      </c>
      <c r="E646" s="164">
        <v>46022</v>
      </c>
      <c r="F646" s="163" t="s">
        <v>1881</v>
      </c>
      <c r="G646" s="163" t="s">
        <v>1882</v>
      </c>
      <c r="H646" s="165">
        <v>0</v>
      </c>
      <c r="I646" s="164">
        <v>46066</v>
      </c>
      <c r="J646" s="163" t="s">
        <v>2638</v>
      </c>
    </row>
    <row r="647" spans="1:10" x14ac:dyDescent="0.2">
      <c r="A647" s="163">
        <v>21075</v>
      </c>
      <c r="B647" s="163" t="s">
        <v>1893</v>
      </c>
      <c r="C647" s="163" t="s">
        <v>2159</v>
      </c>
      <c r="D647" s="164">
        <v>42368</v>
      </c>
      <c r="E647" s="164">
        <v>46203</v>
      </c>
      <c r="F647" s="163" t="s">
        <v>1881</v>
      </c>
      <c r="G647" s="163" t="s">
        <v>1882</v>
      </c>
      <c r="H647" s="165">
        <v>6057.19</v>
      </c>
      <c r="I647" s="164">
        <v>46066</v>
      </c>
      <c r="J647" s="163" t="s">
        <v>2639</v>
      </c>
    </row>
    <row r="648" spans="1:10" x14ac:dyDescent="0.2">
      <c r="A648" s="163">
        <v>21074</v>
      </c>
      <c r="B648" s="163" t="s">
        <v>1895</v>
      </c>
      <c r="C648" s="163" t="s">
        <v>937</v>
      </c>
      <c r="D648" s="164">
        <v>45658</v>
      </c>
      <c r="E648" s="164">
        <v>45659</v>
      </c>
      <c r="F648" s="163" t="s">
        <v>1881</v>
      </c>
      <c r="G648" s="163" t="s">
        <v>2043</v>
      </c>
      <c r="H648" s="165">
        <v>4241</v>
      </c>
      <c r="I648" s="164">
        <v>46066</v>
      </c>
      <c r="J648" s="163" t="s">
        <v>938</v>
      </c>
    </row>
    <row r="649" spans="1:10" x14ac:dyDescent="0.2">
      <c r="A649" s="163">
        <v>21073</v>
      </c>
      <c r="B649" s="163" t="s">
        <v>1905</v>
      </c>
      <c r="C649" s="163" t="s">
        <v>1906</v>
      </c>
      <c r="D649" s="164">
        <v>43944</v>
      </c>
      <c r="E649" s="164">
        <v>46568</v>
      </c>
      <c r="F649" s="163" t="s">
        <v>1881</v>
      </c>
      <c r="G649" s="163" t="s">
        <v>1882</v>
      </c>
      <c r="H649" s="165">
        <v>4460.74</v>
      </c>
      <c r="I649" s="164">
        <v>46066</v>
      </c>
      <c r="J649" s="163" t="s">
        <v>2640</v>
      </c>
    </row>
    <row r="650" spans="1:10" x14ac:dyDescent="0.2">
      <c r="A650" s="163">
        <v>21072</v>
      </c>
      <c r="B650" s="163" t="s">
        <v>1885</v>
      </c>
      <c r="C650" s="163" t="s">
        <v>2029</v>
      </c>
      <c r="D650" s="164">
        <v>45436</v>
      </c>
      <c r="E650" s="164">
        <v>45657</v>
      </c>
      <c r="F650" s="163" t="s">
        <v>1881</v>
      </c>
      <c r="G650" s="163" t="s">
        <v>1882</v>
      </c>
      <c r="H650" s="165">
        <v>3537.45</v>
      </c>
      <c r="I650" s="164">
        <v>46066</v>
      </c>
      <c r="J650" s="163" t="s">
        <v>906</v>
      </c>
    </row>
    <row r="651" spans="1:10" x14ac:dyDescent="0.2">
      <c r="A651" s="163">
        <v>21071</v>
      </c>
      <c r="B651" s="163" t="s">
        <v>1895</v>
      </c>
      <c r="C651" s="163" t="s">
        <v>981</v>
      </c>
      <c r="D651" s="164">
        <v>45658</v>
      </c>
      <c r="E651" s="164">
        <v>45659</v>
      </c>
      <c r="F651" s="163" t="s">
        <v>1881</v>
      </c>
      <c r="G651" s="163" t="s">
        <v>1882</v>
      </c>
      <c r="H651" s="165">
        <v>4574.8</v>
      </c>
      <c r="I651" s="164">
        <v>46066</v>
      </c>
      <c r="J651" s="163" t="s">
        <v>994</v>
      </c>
    </row>
    <row r="652" spans="1:10" x14ac:dyDescent="0.2">
      <c r="A652" s="163">
        <v>21070</v>
      </c>
      <c r="B652" s="163" t="s">
        <v>2119</v>
      </c>
      <c r="C652" s="163" t="s">
        <v>2120</v>
      </c>
      <c r="D652" s="164">
        <v>45194</v>
      </c>
      <c r="E652" s="164">
        <v>45657</v>
      </c>
      <c r="F652" s="163" t="s">
        <v>1881</v>
      </c>
      <c r="G652" s="163" t="s">
        <v>2043</v>
      </c>
      <c r="H652" s="165">
        <v>3279</v>
      </c>
      <c r="I652" s="164">
        <v>46066</v>
      </c>
      <c r="J652" s="163" t="s">
        <v>2641</v>
      </c>
    </row>
    <row r="653" spans="1:10" x14ac:dyDescent="0.2">
      <c r="A653" s="163">
        <v>21069</v>
      </c>
      <c r="B653" s="163" t="s">
        <v>1905</v>
      </c>
      <c r="C653" s="163" t="s">
        <v>1906</v>
      </c>
      <c r="D653" s="164">
        <v>43944</v>
      </c>
      <c r="E653" s="164">
        <v>46568</v>
      </c>
      <c r="F653" s="163" t="s">
        <v>1881</v>
      </c>
      <c r="G653" s="163" t="s">
        <v>1882</v>
      </c>
      <c r="H653" s="165">
        <v>5091.5600000000004</v>
      </c>
      <c r="I653" s="164">
        <v>46066</v>
      </c>
      <c r="J653" s="163" t="s">
        <v>1046</v>
      </c>
    </row>
    <row r="654" spans="1:10" x14ac:dyDescent="0.2">
      <c r="A654" s="163">
        <v>21068</v>
      </c>
      <c r="B654" s="163" t="s">
        <v>1895</v>
      </c>
      <c r="C654" s="163" t="s">
        <v>2642</v>
      </c>
      <c r="D654" s="164">
        <v>45658</v>
      </c>
      <c r="E654" s="164">
        <v>45659</v>
      </c>
      <c r="F654" s="163" t="s">
        <v>1881</v>
      </c>
      <c r="G654" s="163" t="s">
        <v>2043</v>
      </c>
      <c r="H654" s="165">
        <v>4654.45</v>
      </c>
      <c r="I654" s="164">
        <v>46066</v>
      </c>
      <c r="J654" s="163" t="s">
        <v>2643</v>
      </c>
    </row>
    <row r="655" spans="1:10" x14ac:dyDescent="0.2">
      <c r="A655" s="163">
        <v>21067</v>
      </c>
      <c r="B655" s="163" t="s">
        <v>2010</v>
      </c>
      <c r="C655" s="163" t="s">
        <v>649</v>
      </c>
      <c r="D655" s="164">
        <v>45658</v>
      </c>
      <c r="E655" s="164">
        <v>45659</v>
      </c>
      <c r="F655" s="163" t="s">
        <v>1881</v>
      </c>
      <c r="G655" s="163" t="s">
        <v>1882</v>
      </c>
      <c r="H655" s="165">
        <v>26698.43</v>
      </c>
      <c r="I655" s="164">
        <v>46066</v>
      </c>
      <c r="J655" s="163" t="s">
        <v>650</v>
      </c>
    </row>
    <row r="656" spans="1:10" x14ac:dyDescent="0.2">
      <c r="A656" s="163">
        <v>21066</v>
      </c>
      <c r="B656" s="163" t="s">
        <v>1901</v>
      </c>
      <c r="C656" s="163" t="s">
        <v>1501</v>
      </c>
      <c r="D656" s="164">
        <v>45658</v>
      </c>
      <c r="E656" s="164">
        <v>45659</v>
      </c>
      <c r="F656" s="163" t="s">
        <v>1881</v>
      </c>
      <c r="G656" s="163" t="s">
        <v>1882</v>
      </c>
      <c r="H656" s="165">
        <v>1917.03</v>
      </c>
      <c r="I656" s="164">
        <v>46066</v>
      </c>
      <c r="J656" s="163" t="s">
        <v>2644</v>
      </c>
    </row>
    <row r="657" spans="1:10" x14ac:dyDescent="0.2">
      <c r="A657" s="163">
        <v>21065</v>
      </c>
      <c r="B657" s="163" t="s">
        <v>1891</v>
      </c>
      <c r="C657" s="163" t="s">
        <v>2067</v>
      </c>
      <c r="D657" s="164">
        <v>42936</v>
      </c>
      <c r="E657" s="164">
        <v>45657</v>
      </c>
      <c r="F657" s="163" t="s">
        <v>1881</v>
      </c>
      <c r="G657" s="163" t="s">
        <v>1882</v>
      </c>
      <c r="H657" s="165">
        <v>4194.3500000000004</v>
      </c>
      <c r="I657" s="164">
        <v>46066</v>
      </c>
      <c r="J657" s="163" t="s">
        <v>2645</v>
      </c>
    </row>
    <row r="658" spans="1:10" x14ac:dyDescent="0.2">
      <c r="A658" s="163">
        <v>21064</v>
      </c>
      <c r="B658" s="163" t="s">
        <v>2236</v>
      </c>
      <c r="C658" s="163" t="s">
        <v>2646</v>
      </c>
      <c r="D658" s="164">
        <v>45306</v>
      </c>
      <c r="E658" s="164">
        <v>45657</v>
      </c>
      <c r="F658" s="163" t="s">
        <v>1881</v>
      </c>
      <c r="G658" s="163" t="s">
        <v>1882</v>
      </c>
      <c r="H658" s="165">
        <v>12100.05</v>
      </c>
      <c r="I658" s="164">
        <v>46066</v>
      </c>
      <c r="J658" s="163" t="s">
        <v>2647</v>
      </c>
    </row>
    <row r="659" spans="1:10" x14ac:dyDescent="0.2">
      <c r="A659" s="163">
        <v>21063</v>
      </c>
      <c r="B659" s="163" t="s">
        <v>1886</v>
      </c>
      <c r="C659" s="163" t="s">
        <v>1979</v>
      </c>
      <c r="D659" s="164">
        <v>45257</v>
      </c>
      <c r="E659" s="164">
        <v>46349</v>
      </c>
      <c r="F659" s="163" t="s">
        <v>1881</v>
      </c>
      <c r="G659" s="163" t="s">
        <v>1882</v>
      </c>
      <c r="H659" s="165">
        <v>0</v>
      </c>
      <c r="I659" s="164">
        <v>46066</v>
      </c>
      <c r="J659" s="163" t="s">
        <v>2648</v>
      </c>
    </row>
    <row r="660" spans="1:10" x14ac:dyDescent="0.2">
      <c r="A660" s="163">
        <v>21062</v>
      </c>
      <c r="B660" s="163" t="s">
        <v>2649</v>
      </c>
      <c r="C660" s="163" t="s">
        <v>2650</v>
      </c>
      <c r="D660" s="164">
        <v>45658</v>
      </c>
      <c r="E660" s="164">
        <v>45659</v>
      </c>
      <c r="F660" s="163" t="s">
        <v>1881</v>
      </c>
      <c r="G660" s="163" t="s">
        <v>1882</v>
      </c>
      <c r="H660" s="165">
        <v>0</v>
      </c>
      <c r="I660" s="164">
        <v>46066</v>
      </c>
      <c r="J660" s="163" t="s">
        <v>2651</v>
      </c>
    </row>
    <row r="661" spans="1:10" x14ac:dyDescent="0.2">
      <c r="A661" s="163">
        <v>21061</v>
      </c>
      <c r="B661" s="163" t="s">
        <v>1895</v>
      </c>
      <c r="C661" s="163" t="s">
        <v>939</v>
      </c>
      <c r="D661" s="164">
        <v>45658</v>
      </c>
      <c r="E661" s="164">
        <v>45659</v>
      </c>
      <c r="F661" s="163" t="s">
        <v>1881</v>
      </c>
      <c r="G661" s="163" t="s">
        <v>1882</v>
      </c>
      <c r="H661" s="165">
        <v>2652.22</v>
      </c>
      <c r="I661" s="164">
        <v>46066</v>
      </c>
      <c r="J661" s="163" t="s">
        <v>940</v>
      </c>
    </row>
    <row r="662" spans="1:10" x14ac:dyDescent="0.2">
      <c r="A662" s="163">
        <v>21060</v>
      </c>
      <c r="B662" s="163" t="s">
        <v>2001</v>
      </c>
      <c r="C662" s="163" t="s">
        <v>2652</v>
      </c>
      <c r="D662" s="164">
        <v>45849</v>
      </c>
      <c r="E662" s="164">
        <v>46022</v>
      </c>
      <c r="F662" s="163" t="s">
        <v>1881</v>
      </c>
      <c r="G662" s="163" t="s">
        <v>2043</v>
      </c>
      <c r="H662" s="165">
        <v>3779.38</v>
      </c>
      <c r="I662" s="164">
        <v>46066</v>
      </c>
      <c r="J662" s="163" t="s">
        <v>756</v>
      </c>
    </row>
    <row r="663" spans="1:10" x14ac:dyDescent="0.2">
      <c r="A663" s="163">
        <v>21059</v>
      </c>
      <c r="B663" s="163" t="s">
        <v>1885</v>
      </c>
      <c r="C663" s="163" t="s">
        <v>2029</v>
      </c>
      <c r="D663" s="164">
        <v>45436</v>
      </c>
      <c r="E663" s="164">
        <v>45657</v>
      </c>
      <c r="F663" s="163" t="s">
        <v>1881</v>
      </c>
      <c r="G663" s="163" t="s">
        <v>1882</v>
      </c>
      <c r="H663" s="165">
        <v>3565.45</v>
      </c>
      <c r="I663" s="164">
        <v>46066</v>
      </c>
      <c r="J663" s="163" t="s">
        <v>2653</v>
      </c>
    </row>
    <row r="664" spans="1:10" x14ac:dyDescent="0.2">
      <c r="A664" s="163">
        <v>21058</v>
      </c>
      <c r="B664" s="163" t="s">
        <v>1889</v>
      </c>
      <c r="C664" s="163" t="s">
        <v>513</v>
      </c>
      <c r="D664" s="164">
        <v>45658</v>
      </c>
      <c r="E664" s="164">
        <v>45659</v>
      </c>
      <c r="F664" s="163" t="s">
        <v>1881</v>
      </c>
      <c r="G664" s="163" t="s">
        <v>1882</v>
      </c>
      <c r="H664" s="165">
        <v>0</v>
      </c>
      <c r="I664" s="164">
        <v>46066</v>
      </c>
      <c r="J664" s="163" t="s">
        <v>2654</v>
      </c>
    </row>
    <row r="665" spans="1:10" x14ac:dyDescent="0.2">
      <c r="A665" s="163">
        <v>21057</v>
      </c>
      <c r="B665" s="163" t="s">
        <v>2465</v>
      </c>
      <c r="C665" s="163" t="s">
        <v>2466</v>
      </c>
      <c r="D665" s="164">
        <v>45341</v>
      </c>
      <c r="E665" s="164">
        <v>45657</v>
      </c>
      <c r="F665" s="163" t="s">
        <v>1881</v>
      </c>
      <c r="G665" s="163" t="s">
        <v>1882</v>
      </c>
      <c r="H665" s="165">
        <v>8001</v>
      </c>
      <c r="I665" s="164">
        <v>46066</v>
      </c>
      <c r="J665" s="163" t="s">
        <v>1135</v>
      </c>
    </row>
    <row r="666" spans="1:10" x14ac:dyDescent="0.2">
      <c r="A666" s="163">
        <v>21056</v>
      </c>
      <c r="B666" s="163" t="s">
        <v>1895</v>
      </c>
      <c r="C666" s="163" t="s">
        <v>911</v>
      </c>
      <c r="D666" s="164">
        <v>45658</v>
      </c>
      <c r="E666" s="164">
        <v>45659</v>
      </c>
      <c r="F666" s="163" t="s">
        <v>1881</v>
      </c>
      <c r="G666" s="163" t="s">
        <v>2043</v>
      </c>
      <c r="H666" s="165">
        <v>10544.93</v>
      </c>
      <c r="I666" s="164">
        <v>46066</v>
      </c>
      <c r="J666" s="163" t="s">
        <v>2655</v>
      </c>
    </row>
    <row r="667" spans="1:10" x14ac:dyDescent="0.2">
      <c r="A667" s="163">
        <v>21055</v>
      </c>
      <c r="B667" s="163" t="s">
        <v>2112</v>
      </c>
      <c r="C667" s="163" t="s">
        <v>2113</v>
      </c>
      <c r="D667" s="164">
        <v>45627</v>
      </c>
      <c r="E667" s="164">
        <v>46022</v>
      </c>
      <c r="F667" s="163" t="s">
        <v>1881</v>
      </c>
      <c r="G667" s="163" t="s">
        <v>1882</v>
      </c>
      <c r="H667" s="165">
        <v>0</v>
      </c>
      <c r="I667" s="164">
        <v>46066</v>
      </c>
      <c r="J667" s="163" t="s">
        <v>2656</v>
      </c>
    </row>
    <row r="668" spans="1:10" x14ac:dyDescent="0.2">
      <c r="A668" s="163">
        <v>21054</v>
      </c>
      <c r="B668" s="163" t="s">
        <v>1905</v>
      </c>
      <c r="C668" s="163" t="s">
        <v>1906</v>
      </c>
      <c r="D668" s="164">
        <v>43944</v>
      </c>
      <c r="E668" s="164">
        <v>46568</v>
      </c>
      <c r="F668" s="163" t="s">
        <v>1881</v>
      </c>
      <c r="G668" s="163" t="s">
        <v>1882</v>
      </c>
      <c r="H668" s="165">
        <v>1479.08</v>
      </c>
      <c r="I668" s="164">
        <v>46066</v>
      </c>
      <c r="J668" s="163" t="s">
        <v>2657</v>
      </c>
    </row>
    <row r="669" spans="1:10" x14ac:dyDescent="0.2">
      <c r="A669" s="163">
        <v>21053</v>
      </c>
      <c r="B669" s="163" t="s">
        <v>2015</v>
      </c>
      <c r="C669" s="163" t="s">
        <v>1025</v>
      </c>
      <c r="D669" s="164">
        <v>45658</v>
      </c>
      <c r="E669" s="164">
        <v>45659</v>
      </c>
      <c r="F669" s="163" t="s">
        <v>1881</v>
      </c>
      <c r="G669" s="163" t="s">
        <v>2043</v>
      </c>
      <c r="H669" s="165">
        <v>1</v>
      </c>
      <c r="I669" s="164">
        <v>46066</v>
      </c>
      <c r="J669" s="163" t="s">
        <v>2658</v>
      </c>
    </row>
    <row r="670" spans="1:10" x14ac:dyDescent="0.2">
      <c r="A670" s="163">
        <v>21052</v>
      </c>
      <c r="B670" s="163" t="s">
        <v>1895</v>
      </c>
      <c r="C670" s="163" t="s">
        <v>462</v>
      </c>
      <c r="D670" s="164">
        <v>45658</v>
      </c>
      <c r="E670" s="164">
        <v>45659</v>
      </c>
      <c r="F670" s="163" t="s">
        <v>1881</v>
      </c>
      <c r="G670" s="163" t="s">
        <v>2043</v>
      </c>
      <c r="H670" s="165">
        <v>32205</v>
      </c>
      <c r="I670" s="164">
        <v>46066</v>
      </c>
      <c r="J670" s="163" t="s">
        <v>2659</v>
      </c>
    </row>
    <row r="671" spans="1:10" x14ac:dyDescent="0.2">
      <c r="A671" s="163">
        <v>21051</v>
      </c>
      <c r="B671" s="163" t="s">
        <v>2660</v>
      </c>
      <c r="C671" s="163" t="s">
        <v>2661</v>
      </c>
      <c r="D671" s="164">
        <v>45205</v>
      </c>
      <c r="E671" s="164">
        <v>45961</v>
      </c>
      <c r="F671" s="163" t="s">
        <v>1881</v>
      </c>
      <c r="G671" s="163" t="s">
        <v>1882</v>
      </c>
      <c r="H671" s="165">
        <v>0</v>
      </c>
      <c r="I671" s="164">
        <v>46066</v>
      </c>
      <c r="J671" s="163" t="s">
        <v>2662</v>
      </c>
    </row>
    <row r="672" spans="1:10" x14ac:dyDescent="0.2">
      <c r="A672" s="163">
        <v>21050</v>
      </c>
      <c r="B672" s="163" t="s">
        <v>2231</v>
      </c>
      <c r="C672" s="163" t="s">
        <v>2516</v>
      </c>
      <c r="D672" s="164">
        <v>45558</v>
      </c>
      <c r="E672" s="164">
        <v>45748</v>
      </c>
      <c r="F672" s="163" t="s">
        <v>1881</v>
      </c>
      <c r="G672" s="163" t="s">
        <v>1882</v>
      </c>
      <c r="H672" s="165">
        <v>0</v>
      </c>
      <c r="I672" s="164">
        <v>46066</v>
      </c>
      <c r="J672" s="163" t="s">
        <v>2663</v>
      </c>
    </row>
    <row r="673" spans="1:10" x14ac:dyDescent="0.2">
      <c r="A673" s="163">
        <v>21049</v>
      </c>
      <c r="B673" s="163" t="s">
        <v>1885</v>
      </c>
      <c r="C673" s="163" t="s">
        <v>2029</v>
      </c>
      <c r="D673" s="164">
        <v>45436</v>
      </c>
      <c r="E673" s="164">
        <v>45657</v>
      </c>
      <c r="F673" s="163" t="s">
        <v>1881</v>
      </c>
      <c r="G673" s="163" t="s">
        <v>1882</v>
      </c>
      <c r="H673" s="165">
        <v>0</v>
      </c>
      <c r="I673" s="164">
        <v>46066</v>
      </c>
      <c r="J673" s="163" t="s">
        <v>2664</v>
      </c>
    </row>
    <row r="674" spans="1:10" x14ac:dyDescent="0.2">
      <c r="A674" s="163">
        <v>21048</v>
      </c>
      <c r="B674" s="163" t="s">
        <v>1891</v>
      </c>
      <c r="C674" s="163" t="s">
        <v>2067</v>
      </c>
      <c r="D674" s="164">
        <v>42936</v>
      </c>
      <c r="E674" s="164">
        <v>45657</v>
      </c>
      <c r="F674" s="163" t="s">
        <v>1881</v>
      </c>
      <c r="G674" s="163" t="s">
        <v>1882</v>
      </c>
      <c r="H674" s="165">
        <v>0</v>
      </c>
      <c r="I674" s="164">
        <v>46066</v>
      </c>
      <c r="J674" s="163" t="s">
        <v>2665</v>
      </c>
    </row>
    <row r="675" spans="1:10" x14ac:dyDescent="0.2">
      <c r="A675" s="163">
        <v>21047</v>
      </c>
      <c r="B675" s="163" t="s">
        <v>2356</v>
      </c>
      <c r="C675" s="163" t="s">
        <v>2357</v>
      </c>
      <c r="D675" s="164">
        <v>44894</v>
      </c>
      <c r="E675" s="164">
        <v>45657</v>
      </c>
      <c r="F675" s="163" t="s">
        <v>1881</v>
      </c>
      <c r="G675" s="163" t="s">
        <v>1882</v>
      </c>
      <c r="H675" s="165">
        <v>0</v>
      </c>
      <c r="I675" s="164">
        <v>46066</v>
      </c>
      <c r="J675" s="163" t="s">
        <v>2666</v>
      </c>
    </row>
    <row r="676" spans="1:10" x14ac:dyDescent="0.2">
      <c r="A676" s="163">
        <v>21046</v>
      </c>
      <c r="B676" s="163" t="s">
        <v>1887</v>
      </c>
      <c r="C676" s="163" t="s">
        <v>1553</v>
      </c>
      <c r="D676" s="164">
        <v>45658</v>
      </c>
      <c r="E676" s="164">
        <v>45659</v>
      </c>
      <c r="F676" s="163" t="s">
        <v>1881</v>
      </c>
      <c r="G676" s="163" t="s">
        <v>2043</v>
      </c>
      <c r="H676" s="165">
        <v>1962.45</v>
      </c>
      <c r="I676" s="164">
        <v>46066</v>
      </c>
      <c r="J676" s="163" t="s">
        <v>2667</v>
      </c>
    </row>
    <row r="677" spans="1:10" x14ac:dyDescent="0.2">
      <c r="A677" s="163">
        <v>21045</v>
      </c>
      <c r="B677" s="163" t="s">
        <v>1901</v>
      </c>
      <c r="C677" s="163" t="s">
        <v>740</v>
      </c>
      <c r="D677" s="164">
        <v>45658</v>
      </c>
      <c r="E677" s="164">
        <v>45659</v>
      </c>
      <c r="F677" s="163" t="s">
        <v>1881</v>
      </c>
      <c r="G677" s="163" t="s">
        <v>2043</v>
      </c>
      <c r="H677" s="165">
        <v>1872.3</v>
      </c>
      <c r="I677" s="164">
        <v>46066</v>
      </c>
      <c r="J677" s="163" t="s">
        <v>2668</v>
      </c>
    </row>
    <row r="678" spans="1:10" x14ac:dyDescent="0.2">
      <c r="A678" s="163">
        <v>21044</v>
      </c>
      <c r="B678" s="163" t="s">
        <v>1927</v>
      </c>
      <c r="C678" s="163" t="s">
        <v>1559</v>
      </c>
      <c r="D678" s="164">
        <v>45658</v>
      </c>
      <c r="E678" s="164">
        <v>45659</v>
      </c>
      <c r="F678" s="163" t="s">
        <v>1881</v>
      </c>
      <c r="G678" s="163" t="s">
        <v>1882</v>
      </c>
      <c r="H678" s="165">
        <v>1357</v>
      </c>
      <c r="I678" s="164">
        <v>46066</v>
      </c>
      <c r="J678" s="163" t="s">
        <v>2669</v>
      </c>
    </row>
    <row r="679" spans="1:10" x14ac:dyDescent="0.2">
      <c r="A679" s="163">
        <v>21043</v>
      </c>
      <c r="B679" s="163" t="s">
        <v>2007</v>
      </c>
      <c r="C679" s="163" t="s">
        <v>2008</v>
      </c>
      <c r="D679" s="164">
        <v>42461</v>
      </c>
      <c r="E679" s="164">
        <v>46087</v>
      </c>
      <c r="F679" s="163" t="s">
        <v>1881</v>
      </c>
      <c r="G679" s="163" t="s">
        <v>1882</v>
      </c>
      <c r="H679" s="165">
        <v>0</v>
      </c>
      <c r="I679" s="164">
        <v>46066</v>
      </c>
      <c r="J679" s="163" t="s">
        <v>2670</v>
      </c>
    </row>
    <row r="680" spans="1:10" x14ac:dyDescent="0.2">
      <c r="A680" s="163">
        <v>21042</v>
      </c>
      <c r="B680" s="163" t="s">
        <v>1972</v>
      </c>
      <c r="C680" s="163" t="s">
        <v>1973</v>
      </c>
      <c r="D680" s="164">
        <v>45960</v>
      </c>
      <c r="E680" s="164">
        <v>46387</v>
      </c>
      <c r="F680" s="163" t="s">
        <v>1881</v>
      </c>
      <c r="G680" s="163" t="s">
        <v>1882</v>
      </c>
      <c r="H680" s="165">
        <v>0</v>
      </c>
      <c r="I680" s="164">
        <v>46066</v>
      </c>
      <c r="J680" s="163" t="s">
        <v>2671</v>
      </c>
    </row>
    <row r="681" spans="1:10" x14ac:dyDescent="0.2">
      <c r="A681" s="163">
        <v>21041</v>
      </c>
      <c r="B681" s="163" t="s">
        <v>1895</v>
      </c>
      <c r="C681" s="163" t="s">
        <v>909</v>
      </c>
      <c r="D681" s="164">
        <v>45658</v>
      </c>
      <c r="E681" s="164">
        <v>45659</v>
      </c>
      <c r="F681" s="163" t="s">
        <v>1881</v>
      </c>
      <c r="G681" s="163" t="s">
        <v>2043</v>
      </c>
      <c r="H681" s="165">
        <v>1199.58</v>
      </c>
      <c r="I681" s="164">
        <v>46066</v>
      </c>
      <c r="J681" s="163" t="s">
        <v>910</v>
      </c>
    </row>
    <row r="682" spans="1:10" x14ac:dyDescent="0.2">
      <c r="A682" s="163">
        <v>21040</v>
      </c>
      <c r="B682" s="163" t="s">
        <v>2038</v>
      </c>
      <c r="C682" s="163" t="s">
        <v>2039</v>
      </c>
      <c r="D682" s="164">
        <v>44032</v>
      </c>
      <c r="E682" s="164">
        <v>45838</v>
      </c>
      <c r="F682" s="163" t="s">
        <v>1881</v>
      </c>
      <c r="G682" s="163" t="s">
        <v>1882</v>
      </c>
      <c r="H682" s="165">
        <v>0</v>
      </c>
      <c r="I682" s="164">
        <v>46066</v>
      </c>
      <c r="J682" s="163" t="s">
        <v>2672</v>
      </c>
    </row>
    <row r="683" spans="1:10" x14ac:dyDescent="0.2">
      <c r="A683" s="163">
        <v>21039</v>
      </c>
      <c r="B683" s="163" t="s">
        <v>2673</v>
      </c>
      <c r="C683" s="163" t="s">
        <v>2674</v>
      </c>
      <c r="D683" s="164">
        <v>44239</v>
      </c>
      <c r="E683" s="164">
        <v>45334</v>
      </c>
      <c r="F683" s="163" t="s">
        <v>1881</v>
      </c>
      <c r="G683" s="163" t="s">
        <v>1882</v>
      </c>
      <c r="H683" s="165">
        <v>0</v>
      </c>
      <c r="I683" s="164">
        <v>46066</v>
      </c>
      <c r="J683" s="163" t="s">
        <v>2675</v>
      </c>
    </row>
    <row r="684" spans="1:10" x14ac:dyDescent="0.2">
      <c r="A684" s="163">
        <v>21038</v>
      </c>
      <c r="B684" s="163" t="s">
        <v>2301</v>
      </c>
      <c r="C684" s="163" t="s">
        <v>2676</v>
      </c>
      <c r="D684" s="164">
        <v>45658</v>
      </c>
      <c r="E684" s="164">
        <v>45659</v>
      </c>
      <c r="F684" s="163" t="s">
        <v>1881</v>
      </c>
      <c r="G684" s="163" t="s">
        <v>1882</v>
      </c>
      <c r="H684" s="165">
        <v>0</v>
      </c>
      <c r="I684" s="164">
        <v>46066</v>
      </c>
      <c r="J684" s="163" t="s">
        <v>2677</v>
      </c>
    </row>
    <row r="685" spans="1:10" x14ac:dyDescent="0.2">
      <c r="A685" s="163">
        <v>21037</v>
      </c>
      <c r="B685" s="163" t="s">
        <v>2107</v>
      </c>
      <c r="C685" s="163" t="s">
        <v>2266</v>
      </c>
      <c r="D685" s="164">
        <v>44477</v>
      </c>
      <c r="E685" s="164">
        <v>46302</v>
      </c>
      <c r="F685" s="163" t="s">
        <v>1881</v>
      </c>
      <c r="G685" s="163" t="s">
        <v>1882</v>
      </c>
      <c r="H685" s="165">
        <v>0</v>
      </c>
      <c r="I685" s="164">
        <v>46066</v>
      </c>
      <c r="J685" s="163" t="s">
        <v>2678</v>
      </c>
    </row>
    <row r="686" spans="1:10" x14ac:dyDescent="0.2">
      <c r="A686" s="163">
        <v>21036</v>
      </c>
      <c r="B686" s="163" t="s">
        <v>2679</v>
      </c>
      <c r="C686" s="163" t="s">
        <v>2680</v>
      </c>
      <c r="D686" s="164">
        <v>45013</v>
      </c>
      <c r="E686" s="164">
        <v>45291</v>
      </c>
      <c r="F686" s="163" t="s">
        <v>1881</v>
      </c>
      <c r="G686" s="163" t="s">
        <v>1882</v>
      </c>
      <c r="H686" s="165">
        <v>0</v>
      </c>
      <c r="I686" s="164">
        <v>46066</v>
      </c>
      <c r="J686" s="163" t="s">
        <v>2681</v>
      </c>
    </row>
    <row r="687" spans="1:10" x14ac:dyDescent="0.2">
      <c r="A687" s="163">
        <v>21035</v>
      </c>
      <c r="B687" s="163" t="s">
        <v>2063</v>
      </c>
      <c r="C687" s="163" t="s">
        <v>1908</v>
      </c>
      <c r="D687" s="164">
        <v>44036</v>
      </c>
      <c r="E687" s="164">
        <v>46022</v>
      </c>
      <c r="F687" s="163" t="s">
        <v>1881</v>
      </c>
      <c r="G687" s="163" t="s">
        <v>1882</v>
      </c>
      <c r="H687" s="165">
        <v>0</v>
      </c>
      <c r="I687" s="164">
        <v>46066</v>
      </c>
      <c r="J687" s="163" t="s">
        <v>2682</v>
      </c>
    </row>
    <row r="688" spans="1:10" x14ac:dyDescent="0.2">
      <c r="A688" s="163">
        <v>21034</v>
      </c>
      <c r="B688" s="163" t="s">
        <v>2683</v>
      </c>
      <c r="C688" s="163" t="s">
        <v>2684</v>
      </c>
      <c r="D688" s="164">
        <v>45505</v>
      </c>
      <c r="E688" s="164">
        <v>45657</v>
      </c>
      <c r="F688" s="163" t="s">
        <v>1881</v>
      </c>
      <c r="G688" s="163" t="s">
        <v>1882</v>
      </c>
      <c r="H688" s="165">
        <v>0</v>
      </c>
      <c r="I688" s="164">
        <v>46066</v>
      </c>
      <c r="J688" s="163" t="s">
        <v>2685</v>
      </c>
    </row>
    <row r="689" spans="1:10" x14ac:dyDescent="0.2">
      <c r="A689" s="163">
        <v>21033</v>
      </c>
      <c r="B689" s="163" t="s">
        <v>2305</v>
      </c>
      <c r="C689" s="163" t="s">
        <v>2306</v>
      </c>
      <c r="D689" s="164">
        <v>45463</v>
      </c>
      <c r="E689" s="164">
        <v>46022</v>
      </c>
      <c r="F689" s="163" t="s">
        <v>1881</v>
      </c>
      <c r="G689" s="163" t="s">
        <v>1882</v>
      </c>
      <c r="H689" s="165">
        <v>0</v>
      </c>
      <c r="I689" s="164">
        <v>46066</v>
      </c>
      <c r="J689" s="163" t="s">
        <v>2686</v>
      </c>
    </row>
    <row r="690" spans="1:10" x14ac:dyDescent="0.2">
      <c r="A690" s="163">
        <v>21032</v>
      </c>
      <c r="B690" s="163" t="s">
        <v>1889</v>
      </c>
      <c r="C690" s="163" t="s">
        <v>1968</v>
      </c>
      <c r="D690" s="164">
        <v>42302</v>
      </c>
      <c r="E690" s="164">
        <v>46320</v>
      </c>
      <c r="F690" s="163" t="s">
        <v>1881</v>
      </c>
      <c r="G690" s="163" t="s">
        <v>1882</v>
      </c>
      <c r="H690" s="165">
        <v>0</v>
      </c>
      <c r="I690" s="164">
        <v>46066</v>
      </c>
      <c r="J690" s="163" t="s">
        <v>2687</v>
      </c>
    </row>
    <row r="691" spans="1:10" x14ac:dyDescent="0.2">
      <c r="A691" s="163">
        <v>21031</v>
      </c>
      <c r="B691" s="163" t="s">
        <v>1905</v>
      </c>
      <c r="C691" s="163" t="s">
        <v>1906</v>
      </c>
      <c r="D691" s="164">
        <v>43944</v>
      </c>
      <c r="E691" s="164">
        <v>46568</v>
      </c>
      <c r="F691" s="163" t="s">
        <v>1881</v>
      </c>
      <c r="G691" s="163" t="s">
        <v>1882</v>
      </c>
      <c r="H691" s="165">
        <v>0</v>
      </c>
      <c r="I691" s="164">
        <v>46066</v>
      </c>
      <c r="J691" s="163" t="s">
        <v>2688</v>
      </c>
    </row>
    <row r="692" spans="1:10" x14ac:dyDescent="0.2">
      <c r="A692" s="163">
        <v>21030</v>
      </c>
      <c r="B692" s="163" t="s">
        <v>2389</v>
      </c>
      <c r="C692" s="163" t="s">
        <v>489</v>
      </c>
      <c r="D692" s="164">
        <v>45658</v>
      </c>
      <c r="E692" s="164">
        <v>45659</v>
      </c>
      <c r="F692" s="163" t="s">
        <v>1881</v>
      </c>
      <c r="G692" s="163" t="s">
        <v>1882</v>
      </c>
      <c r="H692" s="165">
        <v>0</v>
      </c>
      <c r="I692" s="164">
        <v>46066</v>
      </c>
      <c r="J692" s="163" t="s">
        <v>2689</v>
      </c>
    </row>
  </sheetData>
  <autoFilter ref="A1:J692" xr:uid="{00000000-0009-0000-00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69BF-148C-4710-8063-C0434DB931C3}">
  <dimension ref="A1:Z1021"/>
  <sheetViews>
    <sheetView workbookViewId="0">
      <pane ySplit="1" topLeftCell="A2" activePane="bottomLeft" state="frozen"/>
      <selection activeCell="A2" sqref="A2:A692"/>
      <selection pane="bottomLeft" activeCell="A2" sqref="A2:A692"/>
    </sheetView>
  </sheetViews>
  <sheetFormatPr defaultColWidth="11.21875" defaultRowHeight="15" customHeight="1" x14ac:dyDescent="0.25"/>
  <cols>
    <col min="1" max="1" width="15.88671875" style="148" customWidth="1"/>
    <col min="2" max="2" width="41.6640625" style="148" customWidth="1"/>
    <col min="3" max="3" width="14" style="148" customWidth="1"/>
    <col min="4" max="4" width="18.6640625" style="148" customWidth="1"/>
    <col min="5" max="5" width="41.21875" style="148" customWidth="1"/>
    <col min="6" max="6" width="12" style="148" customWidth="1"/>
    <col min="7" max="7" width="38.109375" style="148" customWidth="1"/>
    <col min="8" max="8" width="9.109375" style="148" customWidth="1"/>
    <col min="9" max="9" width="8.6640625" style="148" customWidth="1"/>
    <col min="10" max="10" width="11.5546875" style="148" customWidth="1"/>
    <col min="11" max="11" width="6.77734375" style="148" customWidth="1"/>
    <col min="12" max="12" width="17.88671875" style="148" hidden="1" customWidth="1"/>
    <col min="13" max="26" width="6.77734375" style="148" customWidth="1"/>
    <col min="27" max="16384" width="11.21875" style="148"/>
  </cols>
  <sheetData>
    <row r="1" spans="1:26" x14ac:dyDescent="0.25">
      <c r="A1" s="143" t="s">
        <v>1176</v>
      </c>
      <c r="B1" s="143" t="s">
        <v>1177</v>
      </c>
      <c r="C1" s="144" t="s">
        <v>1178</v>
      </c>
      <c r="D1" s="145" t="s">
        <v>1179</v>
      </c>
      <c r="E1" s="143" t="s">
        <v>1180</v>
      </c>
      <c r="F1" s="143" t="s">
        <v>1181</v>
      </c>
      <c r="G1" s="143" t="s">
        <v>1182</v>
      </c>
      <c r="H1" s="143" t="s">
        <v>1183</v>
      </c>
      <c r="I1" s="143" t="s">
        <v>1184</v>
      </c>
      <c r="J1" s="143" t="s">
        <v>1185</v>
      </c>
      <c r="K1" s="146"/>
      <c r="L1" s="145" t="s">
        <v>1186</v>
      </c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x14ac:dyDescent="0.25">
      <c r="A2" s="149" t="s">
        <v>1187</v>
      </c>
      <c r="B2" s="149" t="s">
        <v>1188</v>
      </c>
      <c r="C2" s="150" t="s">
        <v>1053</v>
      </c>
      <c r="D2" s="151">
        <f>VLOOKUP(C2,'[1]SAP Contract #s'!A:B,2,FALSE)</f>
        <v>21668</v>
      </c>
      <c r="E2" s="149" t="s">
        <v>1189</v>
      </c>
      <c r="F2" s="149" t="s">
        <v>1190</v>
      </c>
      <c r="G2" s="149" t="s">
        <v>1191</v>
      </c>
      <c r="H2" s="152">
        <v>46021</v>
      </c>
      <c r="I2" s="152">
        <v>46386</v>
      </c>
      <c r="J2" s="149" t="s">
        <v>1192</v>
      </c>
      <c r="K2" s="153"/>
    </row>
    <row r="3" spans="1:26" x14ac:dyDescent="0.25">
      <c r="A3" s="154" t="s">
        <v>1193</v>
      </c>
      <c r="B3" s="154" t="s">
        <v>1194</v>
      </c>
      <c r="C3" s="155" t="s">
        <v>400</v>
      </c>
      <c r="D3" s="156">
        <f>VLOOKUP(C3,'[1]SAP Contract #s'!A:B,2,FALSE)</f>
        <v>21545</v>
      </c>
      <c r="E3" s="154" t="s">
        <v>1195</v>
      </c>
      <c r="F3" s="154" t="s">
        <v>1190</v>
      </c>
      <c r="G3" s="154" t="s">
        <v>1196</v>
      </c>
      <c r="H3" s="157">
        <v>45747</v>
      </c>
      <c r="I3" s="157">
        <v>46235</v>
      </c>
      <c r="J3" s="154" t="s">
        <v>1192</v>
      </c>
      <c r="K3" s="153"/>
    </row>
    <row r="4" spans="1:26" x14ac:dyDescent="0.25">
      <c r="A4" s="149" t="s">
        <v>1197</v>
      </c>
      <c r="B4" s="149" t="s">
        <v>1198</v>
      </c>
      <c r="C4" s="150" t="s">
        <v>1199</v>
      </c>
      <c r="D4" s="151">
        <f>VLOOKUP(C4,'[1]SAP Contract #s'!A:B,2,FALSE)</f>
        <v>21279</v>
      </c>
      <c r="E4" s="149" t="s">
        <v>1200</v>
      </c>
      <c r="F4" s="149" t="s">
        <v>1190</v>
      </c>
      <c r="G4" s="149" t="s">
        <v>1201</v>
      </c>
      <c r="H4" s="152">
        <v>45992</v>
      </c>
      <c r="I4" s="152">
        <v>46752</v>
      </c>
      <c r="J4" s="149" t="s">
        <v>1202</v>
      </c>
      <c r="K4" s="153"/>
    </row>
    <row r="5" spans="1:26" x14ac:dyDescent="0.25">
      <c r="A5" s="154" t="s">
        <v>1197</v>
      </c>
      <c r="B5" s="154" t="s">
        <v>1198</v>
      </c>
      <c r="C5" s="155" t="s">
        <v>965</v>
      </c>
      <c r="D5" s="156">
        <f>VLOOKUP(C5,'[1]SAP Contract #s'!A:B,2,FALSE)</f>
        <v>21280</v>
      </c>
      <c r="E5" s="154" t="s">
        <v>1203</v>
      </c>
      <c r="F5" s="154" t="s">
        <v>1190</v>
      </c>
      <c r="G5" s="154" t="s">
        <v>1201</v>
      </c>
      <c r="H5" s="157">
        <v>45992</v>
      </c>
      <c r="I5" s="157">
        <v>46752</v>
      </c>
      <c r="J5" s="154" t="s">
        <v>1202</v>
      </c>
      <c r="K5" s="153"/>
    </row>
    <row r="6" spans="1:26" x14ac:dyDescent="0.25">
      <c r="A6" s="149" t="s">
        <v>1197</v>
      </c>
      <c r="B6" s="149" t="s">
        <v>1198</v>
      </c>
      <c r="C6" s="150" t="s">
        <v>980</v>
      </c>
      <c r="D6" s="151">
        <f>VLOOKUP(C6,'[1]SAP Contract #s'!A:B,2,FALSE)</f>
        <v>21549</v>
      </c>
      <c r="E6" s="149" t="s">
        <v>1204</v>
      </c>
      <c r="F6" s="149" t="s">
        <v>1190</v>
      </c>
      <c r="G6" s="149" t="s">
        <v>1205</v>
      </c>
      <c r="H6" s="152">
        <v>45943</v>
      </c>
      <c r="I6" s="152">
        <v>46387</v>
      </c>
      <c r="J6" s="149" t="s">
        <v>1192</v>
      </c>
      <c r="K6" s="153"/>
    </row>
    <row r="7" spans="1:26" x14ac:dyDescent="0.25">
      <c r="A7" s="154" t="s">
        <v>1206</v>
      </c>
      <c r="B7" s="154" t="s">
        <v>1207</v>
      </c>
      <c r="C7" s="155" t="s">
        <v>346</v>
      </c>
      <c r="D7" s="156">
        <f>VLOOKUP(C7,'[1]SAP Contract #s'!A:B,2,FALSE)</f>
        <v>21171</v>
      </c>
      <c r="E7" s="154" t="s">
        <v>1208</v>
      </c>
      <c r="F7" s="154" t="s">
        <v>1190</v>
      </c>
      <c r="G7" s="154" t="s">
        <v>1209</v>
      </c>
      <c r="H7" s="157">
        <v>45089</v>
      </c>
      <c r="I7" s="157">
        <v>46112</v>
      </c>
      <c r="J7" s="154" t="s">
        <v>1210</v>
      </c>
      <c r="K7" s="153"/>
    </row>
    <row r="8" spans="1:26" x14ac:dyDescent="0.25">
      <c r="A8" s="149" t="s">
        <v>1211</v>
      </c>
      <c r="B8" s="149" t="s">
        <v>1212</v>
      </c>
      <c r="C8" s="150" t="s">
        <v>722</v>
      </c>
      <c r="D8" s="151">
        <f>VLOOKUP(C8,'[1]SAP Contract #s'!A:B,2,FALSE)</f>
        <v>21484</v>
      </c>
      <c r="E8" s="149" t="s">
        <v>1213</v>
      </c>
      <c r="F8" s="149" t="s">
        <v>1190</v>
      </c>
      <c r="G8" s="149" t="s">
        <v>1214</v>
      </c>
      <c r="H8" s="152">
        <v>45839</v>
      </c>
      <c r="I8" s="152">
        <v>46598</v>
      </c>
      <c r="J8" s="149" t="s">
        <v>1192</v>
      </c>
      <c r="K8" s="153"/>
    </row>
    <row r="9" spans="1:26" x14ac:dyDescent="0.25">
      <c r="A9" s="154" t="s">
        <v>1215</v>
      </c>
      <c r="B9" s="154" t="s">
        <v>1216</v>
      </c>
      <c r="C9" s="155" t="s">
        <v>455</v>
      </c>
      <c r="D9" s="156">
        <f>VLOOKUP(C9,'[1]SAP Contract #s'!A:B,2,FALSE)</f>
        <v>21621</v>
      </c>
      <c r="E9" s="154" t="s">
        <v>1217</v>
      </c>
      <c r="F9" s="154" t="s">
        <v>1190</v>
      </c>
      <c r="G9" s="154" t="s">
        <v>1218</v>
      </c>
      <c r="H9" s="157">
        <v>45597</v>
      </c>
      <c r="I9" s="157">
        <v>46326</v>
      </c>
      <c r="J9" s="154" t="s">
        <v>1219</v>
      </c>
      <c r="K9" s="153"/>
    </row>
    <row r="10" spans="1:26" x14ac:dyDescent="0.25">
      <c r="A10" s="149" t="s">
        <v>1220</v>
      </c>
      <c r="B10" s="149" t="s">
        <v>1221</v>
      </c>
      <c r="C10" s="150" t="s">
        <v>823</v>
      </c>
      <c r="D10" s="151">
        <f>VLOOKUP(C10,'[1]SAP Contract #s'!A:B,2,FALSE)</f>
        <v>21486</v>
      </c>
      <c r="E10" s="149" t="s">
        <v>1222</v>
      </c>
      <c r="F10" s="149" t="s">
        <v>1190</v>
      </c>
      <c r="G10" s="149" t="s">
        <v>1218</v>
      </c>
      <c r="H10" s="152">
        <v>45915</v>
      </c>
      <c r="I10" s="152">
        <v>46752</v>
      </c>
      <c r="J10" s="149" t="s">
        <v>1219</v>
      </c>
      <c r="K10" s="153"/>
    </row>
    <row r="11" spans="1:26" x14ac:dyDescent="0.25">
      <c r="A11" s="154" t="s">
        <v>1220</v>
      </c>
      <c r="B11" s="154" t="s">
        <v>1221</v>
      </c>
      <c r="C11" s="155" t="s">
        <v>840</v>
      </c>
      <c r="D11" s="156">
        <f>VLOOKUP(C11,'[1]SAP Contract #s'!A:B,2,FALSE)</f>
        <v>21518</v>
      </c>
      <c r="E11" s="154" t="s">
        <v>1223</v>
      </c>
      <c r="F11" s="154" t="s">
        <v>1190</v>
      </c>
      <c r="G11" s="154" t="s">
        <v>1218</v>
      </c>
      <c r="H11" s="157">
        <v>45915</v>
      </c>
      <c r="I11" s="157">
        <v>46752</v>
      </c>
      <c r="J11" s="154" t="s">
        <v>1219</v>
      </c>
      <c r="K11" s="153"/>
    </row>
    <row r="12" spans="1:26" x14ac:dyDescent="0.25">
      <c r="A12" s="149" t="s">
        <v>1224</v>
      </c>
      <c r="B12" s="149" t="s">
        <v>1225</v>
      </c>
      <c r="C12" s="150" t="s">
        <v>908</v>
      </c>
      <c r="D12" s="151">
        <f>VLOOKUP(C12,'[1]SAP Contract #s'!A:B,2,FALSE)</f>
        <v>21265</v>
      </c>
      <c r="E12" s="149" t="s">
        <v>1226</v>
      </c>
      <c r="F12" s="149" t="s">
        <v>1190</v>
      </c>
      <c r="G12" s="149" t="s">
        <v>1218</v>
      </c>
      <c r="H12" s="152">
        <v>45915</v>
      </c>
      <c r="I12" s="152">
        <v>46752</v>
      </c>
      <c r="J12" s="149" t="s">
        <v>1219</v>
      </c>
      <c r="K12" s="153"/>
    </row>
    <row r="13" spans="1:26" x14ac:dyDescent="0.25">
      <c r="A13" s="154" t="s">
        <v>1224</v>
      </c>
      <c r="B13" s="154" t="s">
        <v>1225</v>
      </c>
      <c r="C13" s="155" t="s">
        <v>825</v>
      </c>
      <c r="D13" s="156">
        <f>VLOOKUP(C13,'[1]SAP Contract #s'!A:B,2,FALSE)</f>
        <v>21527</v>
      </c>
      <c r="E13" s="154" t="s">
        <v>1227</v>
      </c>
      <c r="F13" s="154" t="s">
        <v>1190</v>
      </c>
      <c r="G13" s="154" t="s">
        <v>1218</v>
      </c>
      <c r="H13" s="157">
        <v>45915</v>
      </c>
      <c r="I13" s="157">
        <v>46752</v>
      </c>
      <c r="J13" s="154" t="s">
        <v>1219</v>
      </c>
      <c r="K13" s="153"/>
    </row>
    <row r="14" spans="1:26" x14ac:dyDescent="0.25">
      <c r="A14" s="149" t="s">
        <v>1228</v>
      </c>
      <c r="B14" s="149" t="s">
        <v>1229</v>
      </c>
      <c r="C14" s="150" t="s">
        <v>909</v>
      </c>
      <c r="D14" s="151">
        <f>VLOOKUP(C14,'[1]SAP Contract #s'!A:B,2,FALSE)</f>
        <v>21041</v>
      </c>
      <c r="E14" s="149" t="s">
        <v>1230</v>
      </c>
      <c r="F14" s="149" t="s">
        <v>1190</v>
      </c>
      <c r="G14" s="149" t="s">
        <v>1218</v>
      </c>
      <c r="H14" s="152">
        <v>45959</v>
      </c>
      <c r="I14" s="152">
        <v>46112</v>
      </c>
      <c r="J14" s="149" t="s">
        <v>1192</v>
      </c>
      <c r="K14" s="153"/>
    </row>
    <row r="15" spans="1:26" x14ac:dyDescent="0.25">
      <c r="A15" s="154" t="s">
        <v>1228</v>
      </c>
      <c r="B15" s="154" t="s">
        <v>1229</v>
      </c>
      <c r="C15" s="155" t="s">
        <v>462</v>
      </c>
      <c r="D15" s="156">
        <f>VLOOKUP(C15,'[1]SAP Contract #s'!A:B,2,FALSE)</f>
        <v>21052</v>
      </c>
      <c r="E15" s="154" t="s">
        <v>1231</v>
      </c>
      <c r="F15" s="154" t="s">
        <v>1190</v>
      </c>
      <c r="G15" s="154" t="s">
        <v>1218</v>
      </c>
      <c r="H15" s="157">
        <v>45748</v>
      </c>
      <c r="I15" s="157">
        <v>45930</v>
      </c>
      <c r="J15" s="154" t="s">
        <v>1192</v>
      </c>
      <c r="K15" s="153"/>
    </row>
    <row r="16" spans="1:26" x14ac:dyDescent="0.25">
      <c r="A16" s="149" t="s">
        <v>1228</v>
      </c>
      <c r="B16" s="149" t="s">
        <v>1229</v>
      </c>
      <c r="C16" s="150" t="s">
        <v>911</v>
      </c>
      <c r="D16" s="151">
        <f>VLOOKUP(C16,'[1]SAP Contract #s'!A:B,2,FALSE)</f>
        <v>21056</v>
      </c>
      <c r="E16" s="149" t="s">
        <v>1232</v>
      </c>
      <c r="F16" s="149" t="s">
        <v>1190</v>
      </c>
      <c r="G16" s="149" t="s">
        <v>1218</v>
      </c>
      <c r="H16" s="152">
        <v>45964</v>
      </c>
      <c r="I16" s="152">
        <v>46112</v>
      </c>
      <c r="J16" s="149" t="s">
        <v>1192</v>
      </c>
      <c r="K16" s="153"/>
    </row>
    <row r="17" spans="1:11" x14ac:dyDescent="0.25">
      <c r="A17" s="154" t="s">
        <v>1228</v>
      </c>
      <c r="B17" s="154" t="s">
        <v>1229</v>
      </c>
      <c r="C17" s="155" t="s">
        <v>939</v>
      </c>
      <c r="D17" s="156">
        <f>VLOOKUP(C17,'[1]SAP Contract #s'!A:B,2,FALSE)</f>
        <v>21061</v>
      </c>
      <c r="E17" s="154" t="s">
        <v>1233</v>
      </c>
      <c r="F17" s="154" t="s">
        <v>1190</v>
      </c>
      <c r="G17" s="154" t="s">
        <v>1218</v>
      </c>
      <c r="H17" s="157">
        <v>45955</v>
      </c>
      <c r="I17" s="157">
        <v>46387</v>
      </c>
      <c r="J17" s="154" t="s">
        <v>1192</v>
      </c>
      <c r="K17" s="153"/>
    </row>
    <row r="18" spans="1:11" x14ac:dyDescent="0.25">
      <c r="A18" s="149" t="s">
        <v>1228</v>
      </c>
      <c r="B18" s="149" t="s">
        <v>1229</v>
      </c>
      <c r="C18" s="150" t="s">
        <v>981</v>
      </c>
      <c r="D18" s="151">
        <f>VLOOKUP(C18,'[1]SAP Contract #s'!A:B,2,FALSE)</f>
        <v>21071</v>
      </c>
      <c r="E18" s="149" t="s">
        <v>1234</v>
      </c>
      <c r="F18" s="149" t="s">
        <v>1190</v>
      </c>
      <c r="G18" s="149" t="s">
        <v>1218</v>
      </c>
      <c r="H18" s="152">
        <v>45994</v>
      </c>
      <c r="I18" s="152">
        <v>46387</v>
      </c>
      <c r="J18" s="149" t="s">
        <v>1192</v>
      </c>
      <c r="K18" s="153"/>
    </row>
    <row r="19" spans="1:11" x14ac:dyDescent="0.25">
      <c r="A19" s="154" t="s">
        <v>1228</v>
      </c>
      <c r="B19" s="154" t="s">
        <v>1229</v>
      </c>
      <c r="C19" s="155" t="s">
        <v>937</v>
      </c>
      <c r="D19" s="156">
        <f>VLOOKUP(C19,'[1]SAP Contract #s'!A:B,2,FALSE)</f>
        <v>21074</v>
      </c>
      <c r="E19" s="154" t="s">
        <v>1235</v>
      </c>
      <c r="F19" s="154" t="s">
        <v>1190</v>
      </c>
      <c r="G19" s="154" t="s">
        <v>1218</v>
      </c>
      <c r="H19" s="157">
        <v>45973</v>
      </c>
      <c r="I19" s="157">
        <v>46112</v>
      </c>
      <c r="J19" s="154" t="s">
        <v>1192</v>
      </c>
      <c r="K19" s="153"/>
    </row>
    <row r="20" spans="1:11" x14ac:dyDescent="0.25">
      <c r="A20" s="149" t="s">
        <v>1228</v>
      </c>
      <c r="B20" s="149" t="s">
        <v>1229</v>
      </c>
      <c r="C20" s="150" t="s">
        <v>991</v>
      </c>
      <c r="D20" s="151">
        <f>VLOOKUP(C20,'[1]SAP Contract #s'!A:B,2,FALSE)</f>
        <v>21077</v>
      </c>
      <c r="E20" s="149" t="s">
        <v>1236</v>
      </c>
      <c r="F20" s="149" t="s">
        <v>1190</v>
      </c>
      <c r="G20" s="149" t="s">
        <v>1218</v>
      </c>
      <c r="H20" s="152">
        <v>46013</v>
      </c>
      <c r="I20" s="152">
        <v>46387</v>
      </c>
      <c r="J20" s="149" t="s">
        <v>1192</v>
      </c>
      <c r="K20" s="153"/>
    </row>
    <row r="21" spans="1:11" x14ac:dyDescent="0.25">
      <c r="A21" s="154" t="s">
        <v>1228</v>
      </c>
      <c r="B21" s="154" t="s">
        <v>1229</v>
      </c>
      <c r="C21" s="155" t="s">
        <v>961</v>
      </c>
      <c r="D21" s="156">
        <f>VLOOKUP(C21,'[1]SAP Contract #s'!A:B,2,FALSE)</f>
        <v>21079</v>
      </c>
      <c r="E21" s="154" t="s">
        <v>1237</v>
      </c>
      <c r="F21" s="154" t="s">
        <v>1190</v>
      </c>
      <c r="G21" s="154" t="s">
        <v>1218</v>
      </c>
      <c r="H21" s="157">
        <v>46001</v>
      </c>
      <c r="I21" s="157">
        <v>46179</v>
      </c>
      <c r="J21" s="154" t="s">
        <v>1192</v>
      </c>
      <c r="K21" s="153"/>
    </row>
    <row r="22" spans="1:11" x14ac:dyDescent="0.25">
      <c r="A22" s="149" t="s">
        <v>1228</v>
      </c>
      <c r="B22" s="149" t="s">
        <v>1229</v>
      </c>
      <c r="C22" s="150" t="s">
        <v>992</v>
      </c>
      <c r="D22" s="151">
        <f>VLOOKUP(C22,'[1]SAP Contract #s'!A:B,2,FALSE)</f>
        <v>21088</v>
      </c>
      <c r="E22" s="149" t="s">
        <v>1238</v>
      </c>
      <c r="F22" s="149" t="s">
        <v>1190</v>
      </c>
      <c r="G22" s="149" t="s">
        <v>1218</v>
      </c>
      <c r="H22" s="152">
        <v>46013</v>
      </c>
      <c r="I22" s="152">
        <v>46387</v>
      </c>
      <c r="J22" s="149" t="s">
        <v>1192</v>
      </c>
      <c r="K22" s="153"/>
    </row>
    <row r="23" spans="1:11" x14ac:dyDescent="0.25">
      <c r="A23" s="154" t="s">
        <v>1228</v>
      </c>
      <c r="B23" s="154" t="s">
        <v>1229</v>
      </c>
      <c r="C23" s="155" t="s">
        <v>1076</v>
      </c>
      <c r="D23" s="156">
        <f>VLOOKUP(C23,'[1]SAP Contract #s'!A:B,2,FALSE)</f>
        <v>21096</v>
      </c>
      <c r="E23" s="154" t="s">
        <v>1239</v>
      </c>
      <c r="F23" s="154" t="s">
        <v>1190</v>
      </c>
      <c r="G23" s="154" t="s">
        <v>1218</v>
      </c>
      <c r="H23" s="157">
        <v>46013</v>
      </c>
      <c r="I23" s="157">
        <v>46387</v>
      </c>
      <c r="J23" s="154" t="s">
        <v>1192</v>
      </c>
      <c r="K23" s="153"/>
    </row>
    <row r="24" spans="1:11" x14ac:dyDescent="0.25">
      <c r="A24" s="149" t="s">
        <v>1228</v>
      </c>
      <c r="B24" s="149" t="s">
        <v>1229</v>
      </c>
      <c r="C24" s="150" t="s">
        <v>485</v>
      </c>
      <c r="D24" s="151">
        <f>VLOOKUP(C24,'[1]SAP Contract #s'!A:B,2,FALSE)</f>
        <v>21136</v>
      </c>
      <c r="E24" s="149" t="s">
        <v>1240</v>
      </c>
      <c r="F24" s="149" t="s">
        <v>1190</v>
      </c>
      <c r="G24" s="149" t="s">
        <v>1218</v>
      </c>
      <c r="H24" s="152">
        <v>45783</v>
      </c>
      <c r="I24" s="152">
        <v>45786</v>
      </c>
      <c r="J24" s="149" t="s">
        <v>1192</v>
      </c>
      <c r="K24" s="153"/>
    </row>
    <row r="25" spans="1:11" x14ac:dyDescent="0.25">
      <c r="A25" s="154" t="s">
        <v>1228</v>
      </c>
      <c r="B25" s="154" t="s">
        <v>1229</v>
      </c>
      <c r="C25" s="155" t="s">
        <v>501</v>
      </c>
      <c r="D25" s="156">
        <f>VLOOKUP(C25,'[1]SAP Contract #s'!A:B,2,FALSE)</f>
        <v>21139</v>
      </c>
      <c r="E25" s="154" t="s">
        <v>1241</v>
      </c>
      <c r="F25" s="154" t="s">
        <v>1190</v>
      </c>
      <c r="G25" s="154" t="s">
        <v>1218</v>
      </c>
      <c r="H25" s="157">
        <v>45783</v>
      </c>
      <c r="I25" s="157">
        <v>45898</v>
      </c>
      <c r="J25" s="154" t="s">
        <v>1192</v>
      </c>
      <c r="K25" s="153"/>
    </row>
    <row r="26" spans="1:11" x14ac:dyDescent="0.25">
      <c r="A26" s="149" t="s">
        <v>1228</v>
      </c>
      <c r="B26" s="149" t="s">
        <v>1229</v>
      </c>
      <c r="C26" s="150" t="s">
        <v>576</v>
      </c>
      <c r="D26" s="151">
        <f>VLOOKUP(C26,'[1]SAP Contract #s'!A:B,2,FALSE)</f>
        <v>21194</v>
      </c>
      <c r="E26" s="149" t="s">
        <v>1242</v>
      </c>
      <c r="F26" s="149" t="s">
        <v>1190</v>
      </c>
      <c r="G26" s="149" t="s">
        <v>1218</v>
      </c>
      <c r="H26" s="152">
        <v>45796</v>
      </c>
      <c r="I26" s="152">
        <v>46022</v>
      </c>
      <c r="J26" s="149" t="s">
        <v>1192</v>
      </c>
      <c r="K26" s="153"/>
    </row>
    <row r="27" spans="1:11" x14ac:dyDescent="0.25">
      <c r="A27" s="154" t="s">
        <v>1228</v>
      </c>
      <c r="B27" s="154" t="s">
        <v>1229</v>
      </c>
      <c r="C27" s="155" t="s">
        <v>597</v>
      </c>
      <c r="D27" s="156">
        <f>VLOOKUP(C27,'[1]SAP Contract #s'!A:B,2,FALSE)</f>
        <v>21198</v>
      </c>
      <c r="E27" s="154" t="s">
        <v>1243</v>
      </c>
      <c r="F27" s="154" t="s">
        <v>1190</v>
      </c>
      <c r="G27" s="154" t="s">
        <v>1218</v>
      </c>
      <c r="H27" s="157">
        <v>45817</v>
      </c>
      <c r="I27" s="157">
        <v>46022</v>
      </c>
      <c r="J27" s="154" t="s">
        <v>1192</v>
      </c>
      <c r="K27" s="153"/>
    </row>
    <row r="28" spans="1:11" x14ac:dyDescent="0.25">
      <c r="A28" s="149" t="s">
        <v>1228</v>
      </c>
      <c r="B28" s="149" t="s">
        <v>1229</v>
      </c>
      <c r="C28" s="150" t="s">
        <v>809</v>
      </c>
      <c r="D28" s="151">
        <f>VLOOKUP(C28,'[1]SAP Contract #s'!A:B,2,FALSE)</f>
        <v>21261</v>
      </c>
      <c r="E28" s="149" t="s">
        <v>1244</v>
      </c>
      <c r="F28" s="149" t="s">
        <v>1190</v>
      </c>
      <c r="G28" s="149" t="s">
        <v>1218</v>
      </c>
      <c r="H28" s="152">
        <v>45894</v>
      </c>
      <c r="I28" s="152">
        <v>46112</v>
      </c>
      <c r="J28" s="149" t="s">
        <v>1192</v>
      </c>
      <c r="K28" s="153"/>
    </row>
    <row r="29" spans="1:11" x14ac:dyDescent="0.25">
      <c r="A29" s="154" t="s">
        <v>1228</v>
      </c>
      <c r="B29" s="154" t="s">
        <v>1229</v>
      </c>
      <c r="C29" s="155" t="s">
        <v>848</v>
      </c>
      <c r="D29" s="156">
        <f>VLOOKUP(C29,'[1]SAP Contract #s'!A:B,2,FALSE)</f>
        <v>21269</v>
      </c>
      <c r="E29" s="154" t="s">
        <v>1245</v>
      </c>
      <c r="F29" s="154" t="s">
        <v>1190</v>
      </c>
      <c r="G29" s="154" t="s">
        <v>1218</v>
      </c>
      <c r="H29" s="157">
        <v>45915</v>
      </c>
      <c r="I29" s="157">
        <v>46112</v>
      </c>
      <c r="J29" s="154" t="s">
        <v>1192</v>
      </c>
      <c r="K29" s="153"/>
    </row>
    <row r="30" spans="1:11" x14ac:dyDescent="0.25">
      <c r="A30" s="149" t="s">
        <v>1228</v>
      </c>
      <c r="B30" s="149" t="s">
        <v>1229</v>
      </c>
      <c r="C30" s="150" t="s">
        <v>892</v>
      </c>
      <c r="D30" s="151">
        <f>VLOOKUP(C30,'[1]SAP Contract #s'!A:B,2,FALSE)</f>
        <v>21271</v>
      </c>
      <c r="E30" s="149" t="s">
        <v>1246</v>
      </c>
      <c r="F30" s="149" t="s">
        <v>1190</v>
      </c>
      <c r="G30" s="149" t="s">
        <v>1218</v>
      </c>
      <c r="H30" s="152">
        <v>45930</v>
      </c>
      <c r="I30" s="152">
        <v>46112</v>
      </c>
      <c r="J30" s="149" t="s">
        <v>1192</v>
      </c>
      <c r="K30" s="153"/>
    </row>
    <row r="31" spans="1:11" x14ac:dyDescent="0.25">
      <c r="A31" s="154" t="s">
        <v>1228</v>
      </c>
      <c r="B31" s="154" t="s">
        <v>1229</v>
      </c>
      <c r="C31" s="155" t="s">
        <v>1044</v>
      </c>
      <c r="D31" s="156">
        <f>VLOOKUP(C31,'[1]SAP Contract #s'!A:B,2,FALSE)</f>
        <v>21282</v>
      </c>
      <c r="E31" s="154" t="s">
        <v>1247</v>
      </c>
      <c r="F31" s="154" t="s">
        <v>1190</v>
      </c>
      <c r="G31" s="154" t="s">
        <v>1218</v>
      </c>
      <c r="H31" s="157">
        <v>46050</v>
      </c>
      <c r="I31" s="157">
        <v>46387</v>
      </c>
      <c r="J31" s="154" t="s">
        <v>1192</v>
      </c>
      <c r="K31" s="153"/>
    </row>
    <row r="32" spans="1:11" x14ac:dyDescent="0.25">
      <c r="A32" s="149" t="s">
        <v>1228</v>
      </c>
      <c r="B32" s="149" t="s">
        <v>1229</v>
      </c>
      <c r="C32" s="150" t="s">
        <v>1248</v>
      </c>
      <c r="D32" s="151">
        <f>VLOOKUP(C32,'[1]SAP Contract #s'!A:B,2,FALSE)</f>
        <v>21283</v>
      </c>
      <c r="E32" s="149" t="s">
        <v>1249</v>
      </c>
      <c r="F32" s="149" t="s">
        <v>1190</v>
      </c>
      <c r="G32" s="149" t="s">
        <v>1218</v>
      </c>
      <c r="H32" s="152">
        <v>46050</v>
      </c>
      <c r="I32" s="152">
        <v>46387</v>
      </c>
      <c r="J32" s="149" t="s">
        <v>1192</v>
      </c>
      <c r="K32" s="153"/>
    </row>
    <row r="33" spans="1:11" x14ac:dyDescent="0.25">
      <c r="A33" s="154" t="s">
        <v>1228</v>
      </c>
      <c r="B33" s="154" t="s">
        <v>1229</v>
      </c>
      <c r="C33" s="155" t="s">
        <v>509</v>
      </c>
      <c r="D33" s="156">
        <f>VLOOKUP(C33,'[1]SAP Contract #s'!A:B,2,FALSE)</f>
        <v>21298</v>
      </c>
      <c r="E33" s="154" t="s">
        <v>1250</v>
      </c>
      <c r="F33" s="154" t="s">
        <v>1190</v>
      </c>
      <c r="G33" s="154" t="s">
        <v>1218</v>
      </c>
      <c r="H33" s="157">
        <v>45715</v>
      </c>
      <c r="I33" s="157">
        <v>45740</v>
      </c>
      <c r="J33" s="154" t="s">
        <v>1192</v>
      </c>
      <c r="K33" s="153"/>
    </row>
    <row r="34" spans="1:11" x14ac:dyDescent="0.25">
      <c r="A34" s="149" t="s">
        <v>1228</v>
      </c>
      <c r="B34" s="149" t="s">
        <v>1229</v>
      </c>
      <c r="C34" s="150" t="s">
        <v>460</v>
      </c>
      <c r="D34" s="151">
        <f>VLOOKUP(C34,'[1]SAP Contract #s'!A:B,2,FALSE)</f>
        <v>21299</v>
      </c>
      <c r="E34" s="149" t="s">
        <v>1251</v>
      </c>
      <c r="F34" s="149" t="s">
        <v>1190</v>
      </c>
      <c r="G34" s="149" t="s">
        <v>1218</v>
      </c>
      <c r="H34" s="152">
        <v>45748</v>
      </c>
      <c r="I34" s="152">
        <v>45961</v>
      </c>
      <c r="J34" s="149" t="s">
        <v>1192</v>
      </c>
      <c r="K34" s="153"/>
    </row>
    <row r="35" spans="1:11" x14ac:dyDescent="0.25">
      <c r="A35" s="154" t="s">
        <v>1228</v>
      </c>
      <c r="B35" s="154" t="s">
        <v>1229</v>
      </c>
      <c r="C35" s="155" t="s">
        <v>766</v>
      </c>
      <c r="D35" s="156">
        <f>VLOOKUP(C35,'[1]SAP Contract #s'!A:B,2,FALSE)</f>
        <v>21324</v>
      </c>
      <c r="E35" s="154" t="s">
        <v>1252</v>
      </c>
      <c r="F35" s="154" t="s">
        <v>1190</v>
      </c>
      <c r="G35" s="154" t="s">
        <v>1218</v>
      </c>
      <c r="H35" s="157">
        <v>45901</v>
      </c>
      <c r="I35" s="157">
        <v>46112</v>
      </c>
      <c r="J35" s="154" t="s">
        <v>1192</v>
      </c>
      <c r="K35" s="153"/>
    </row>
    <row r="36" spans="1:11" x14ac:dyDescent="0.25">
      <c r="A36" s="149" t="s">
        <v>1228</v>
      </c>
      <c r="B36" s="149" t="s">
        <v>1229</v>
      </c>
      <c r="C36" s="150" t="s">
        <v>968</v>
      </c>
      <c r="D36" s="151">
        <f>VLOOKUP(C36,'[1]SAP Contract #s'!A:B,2,FALSE)</f>
        <v>21331</v>
      </c>
      <c r="E36" s="149" t="s">
        <v>1253</v>
      </c>
      <c r="F36" s="149" t="s">
        <v>1190</v>
      </c>
      <c r="G36" s="149" t="s">
        <v>1218</v>
      </c>
      <c r="H36" s="152">
        <v>45964</v>
      </c>
      <c r="I36" s="152">
        <v>46112</v>
      </c>
      <c r="J36" s="149" t="s">
        <v>1192</v>
      </c>
      <c r="K36" s="153"/>
    </row>
    <row r="37" spans="1:11" x14ac:dyDescent="0.25">
      <c r="A37" s="154" t="s">
        <v>1228</v>
      </c>
      <c r="B37" s="154" t="s">
        <v>1229</v>
      </c>
      <c r="C37" s="155" t="s">
        <v>578</v>
      </c>
      <c r="D37" s="156">
        <f>VLOOKUP(C37,'[1]SAP Contract #s'!A:B,2,FALSE)</f>
        <v>21343</v>
      </c>
      <c r="E37" s="154" t="s">
        <v>1254</v>
      </c>
      <c r="F37" s="154" t="s">
        <v>1190</v>
      </c>
      <c r="G37" s="154" t="s">
        <v>1218</v>
      </c>
      <c r="H37" s="157">
        <v>45809</v>
      </c>
      <c r="I37" s="157">
        <v>46022</v>
      </c>
      <c r="J37" s="154" t="s">
        <v>1192</v>
      </c>
      <c r="K37" s="153"/>
    </row>
    <row r="38" spans="1:11" x14ac:dyDescent="0.25">
      <c r="A38" s="149" t="s">
        <v>1228</v>
      </c>
      <c r="B38" s="149" t="s">
        <v>1229</v>
      </c>
      <c r="C38" s="150" t="s">
        <v>912</v>
      </c>
      <c r="D38" s="151">
        <f>VLOOKUP(C38,'[1]SAP Contract #s'!A:B,2,FALSE)</f>
        <v>21370</v>
      </c>
      <c r="E38" s="149" t="s">
        <v>1255</v>
      </c>
      <c r="F38" s="149" t="s">
        <v>1190</v>
      </c>
      <c r="G38" s="149" t="s">
        <v>1218</v>
      </c>
      <c r="H38" s="152">
        <v>45964</v>
      </c>
      <c r="I38" s="152">
        <v>46112</v>
      </c>
      <c r="J38" s="149" t="s">
        <v>1192</v>
      </c>
      <c r="K38" s="153"/>
    </row>
    <row r="39" spans="1:11" x14ac:dyDescent="0.25">
      <c r="A39" s="154" t="s">
        <v>1228</v>
      </c>
      <c r="B39" s="154" t="s">
        <v>1229</v>
      </c>
      <c r="C39" s="155" t="s">
        <v>795</v>
      </c>
      <c r="D39" s="156">
        <f>VLOOKUP(C39,'[1]SAP Contract #s'!A:B,2,FALSE)</f>
        <v>21383</v>
      </c>
      <c r="E39" s="154" t="s">
        <v>1255</v>
      </c>
      <c r="F39" s="154" t="s">
        <v>1190</v>
      </c>
      <c r="G39" s="154" t="s">
        <v>1218</v>
      </c>
      <c r="H39" s="157">
        <v>45817</v>
      </c>
      <c r="I39" s="157">
        <v>46022</v>
      </c>
      <c r="J39" s="154" t="s">
        <v>1192</v>
      </c>
      <c r="K39" s="153"/>
    </row>
    <row r="40" spans="1:11" x14ac:dyDescent="0.25">
      <c r="A40" s="149" t="s">
        <v>1228</v>
      </c>
      <c r="B40" s="149" t="s">
        <v>1229</v>
      </c>
      <c r="C40" s="150" t="s">
        <v>811</v>
      </c>
      <c r="D40" s="151">
        <f>VLOOKUP(C40,'[1]SAP Contract #s'!A:B,2,FALSE)</f>
        <v>21432</v>
      </c>
      <c r="E40" s="149" t="s">
        <v>1256</v>
      </c>
      <c r="F40" s="149" t="s">
        <v>1190</v>
      </c>
      <c r="G40" s="149" t="s">
        <v>1218</v>
      </c>
      <c r="H40" s="152">
        <v>45894</v>
      </c>
      <c r="I40" s="152">
        <v>46112</v>
      </c>
      <c r="J40" s="149" t="s">
        <v>1192</v>
      </c>
      <c r="K40" s="153"/>
    </row>
    <row r="41" spans="1:11" x14ac:dyDescent="0.25">
      <c r="A41" s="154" t="s">
        <v>1228</v>
      </c>
      <c r="B41" s="154" t="s">
        <v>1229</v>
      </c>
      <c r="C41" s="155" t="s">
        <v>618</v>
      </c>
      <c r="D41" s="156">
        <f>VLOOKUP(C41,'[1]SAP Contract #s'!A:B,2,FALSE)</f>
        <v>21455</v>
      </c>
      <c r="E41" s="154" t="s">
        <v>1257</v>
      </c>
      <c r="F41" s="154" t="s">
        <v>1190</v>
      </c>
      <c r="G41" s="154" t="s">
        <v>1218</v>
      </c>
      <c r="H41" s="157">
        <v>45839</v>
      </c>
      <c r="I41" s="157">
        <v>45900</v>
      </c>
      <c r="J41" s="154" t="s">
        <v>1192</v>
      </c>
      <c r="K41" s="153"/>
    </row>
    <row r="42" spans="1:11" x14ac:dyDescent="0.25">
      <c r="A42" s="149" t="s">
        <v>1228</v>
      </c>
      <c r="B42" s="149" t="s">
        <v>1229</v>
      </c>
      <c r="C42" s="150" t="s">
        <v>1258</v>
      </c>
      <c r="D42" s="151">
        <f>VLOOKUP(C42,'[1]SAP Contract #s'!A:B,2,FALSE)</f>
        <v>21459</v>
      </c>
      <c r="E42" s="149" t="s">
        <v>1259</v>
      </c>
      <c r="F42" s="149" t="s">
        <v>1190</v>
      </c>
      <c r="G42" s="149" t="s">
        <v>1218</v>
      </c>
      <c r="H42" s="152">
        <v>45839</v>
      </c>
      <c r="I42" s="152">
        <v>46116</v>
      </c>
      <c r="J42" s="149" t="s">
        <v>1192</v>
      </c>
      <c r="K42" s="153"/>
    </row>
    <row r="43" spans="1:11" x14ac:dyDescent="0.25">
      <c r="A43" s="154" t="s">
        <v>1228</v>
      </c>
      <c r="B43" s="154" t="s">
        <v>1229</v>
      </c>
      <c r="C43" s="155" t="s">
        <v>821</v>
      </c>
      <c r="D43" s="156">
        <f>VLOOKUP(C43,'[1]SAP Contract #s'!A:B,2,FALSE)</f>
        <v>21460</v>
      </c>
      <c r="E43" s="154" t="s">
        <v>1260</v>
      </c>
      <c r="F43" s="154" t="s">
        <v>1190</v>
      </c>
      <c r="G43" s="154" t="s">
        <v>1218</v>
      </c>
      <c r="H43" s="157">
        <v>45909</v>
      </c>
      <c r="I43" s="157">
        <v>46112</v>
      </c>
      <c r="J43" s="154" t="s">
        <v>1192</v>
      </c>
      <c r="K43" s="153"/>
    </row>
    <row r="44" spans="1:11" x14ac:dyDescent="0.25">
      <c r="A44" s="149" t="s">
        <v>1228</v>
      </c>
      <c r="B44" s="149" t="s">
        <v>1229</v>
      </c>
      <c r="C44" s="150" t="s">
        <v>644</v>
      </c>
      <c r="D44" s="151">
        <f>VLOOKUP(C44,'[1]SAP Contract #s'!A:B,2,FALSE)</f>
        <v>21462</v>
      </c>
      <c r="E44" s="149" t="s">
        <v>1261</v>
      </c>
      <c r="F44" s="149" t="s">
        <v>1190</v>
      </c>
      <c r="G44" s="149" t="s">
        <v>1218</v>
      </c>
      <c r="H44" s="152">
        <v>45840</v>
      </c>
      <c r="I44" s="152">
        <v>45900</v>
      </c>
      <c r="J44" s="149" t="s">
        <v>1192</v>
      </c>
      <c r="K44" s="153"/>
    </row>
    <row r="45" spans="1:11" x14ac:dyDescent="0.25">
      <c r="A45" s="154" t="s">
        <v>1228</v>
      </c>
      <c r="B45" s="154" t="s">
        <v>1229</v>
      </c>
      <c r="C45" s="155" t="s">
        <v>1262</v>
      </c>
      <c r="D45" s="156">
        <f>VLOOKUP(C45,'[1]SAP Contract #s'!A:B,2,FALSE)</f>
        <v>21470</v>
      </c>
      <c r="E45" s="154" t="s">
        <v>1263</v>
      </c>
      <c r="F45" s="154" t="s">
        <v>1190</v>
      </c>
      <c r="G45" s="154" t="s">
        <v>1218</v>
      </c>
      <c r="H45" s="157">
        <v>45866</v>
      </c>
      <c r="I45" s="157">
        <v>46387</v>
      </c>
      <c r="J45" s="154" t="s">
        <v>1192</v>
      </c>
      <c r="K45" s="153"/>
    </row>
    <row r="46" spans="1:11" ht="15.75" customHeight="1" x14ac:dyDescent="0.25">
      <c r="A46" s="149" t="s">
        <v>1228</v>
      </c>
      <c r="B46" s="149" t="s">
        <v>1229</v>
      </c>
      <c r="C46" s="150" t="s">
        <v>1010</v>
      </c>
      <c r="D46" s="151">
        <f>VLOOKUP(C46,'[1]SAP Contract #s'!A:B,2,FALSE)</f>
        <v>21500</v>
      </c>
      <c r="E46" s="149" t="s">
        <v>1264</v>
      </c>
      <c r="F46" s="149" t="s">
        <v>1190</v>
      </c>
      <c r="G46" s="149" t="s">
        <v>1218</v>
      </c>
      <c r="H46" s="152">
        <v>46020</v>
      </c>
      <c r="I46" s="152">
        <v>46387</v>
      </c>
      <c r="J46" s="149" t="s">
        <v>1192</v>
      </c>
      <c r="K46" s="153"/>
    </row>
    <row r="47" spans="1:11" ht="15.75" customHeight="1" x14ac:dyDescent="0.25">
      <c r="A47" s="154" t="s">
        <v>1228</v>
      </c>
      <c r="B47" s="154" t="s">
        <v>1229</v>
      </c>
      <c r="C47" s="155" t="s">
        <v>997</v>
      </c>
      <c r="D47" s="156">
        <f>VLOOKUP(C47,'[1]SAP Contract #s'!A:B,2,FALSE)</f>
        <v>21502</v>
      </c>
      <c r="E47" s="154" t="s">
        <v>1265</v>
      </c>
      <c r="F47" s="154" t="s">
        <v>1190</v>
      </c>
      <c r="G47" s="154" t="s">
        <v>1218</v>
      </c>
      <c r="H47" s="157">
        <v>46020</v>
      </c>
      <c r="I47" s="157">
        <v>46112</v>
      </c>
      <c r="J47" s="154" t="s">
        <v>1192</v>
      </c>
      <c r="K47" s="153"/>
    </row>
    <row r="48" spans="1:11" ht="15.75" customHeight="1" x14ac:dyDescent="0.25">
      <c r="A48" s="149" t="s">
        <v>1228</v>
      </c>
      <c r="B48" s="149" t="s">
        <v>1229</v>
      </c>
      <c r="C48" s="150" t="s">
        <v>765</v>
      </c>
      <c r="D48" s="151">
        <f>VLOOKUP(C48,'[1]SAP Contract #s'!A:B,2,FALSE)</f>
        <v>21503</v>
      </c>
      <c r="E48" s="149" t="s">
        <v>1266</v>
      </c>
      <c r="F48" s="149" t="s">
        <v>1190</v>
      </c>
      <c r="G48" s="149" t="s">
        <v>1218</v>
      </c>
      <c r="H48" s="152">
        <v>45880</v>
      </c>
      <c r="I48" s="152">
        <v>46235</v>
      </c>
      <c r="J48" s="149" t="s">
        <v>1192</v>
      </c>
      <c r="K48" s="153"/>
    </row>
    <row r="49" spans="1:11" ht="15.75" customHeight="1" x14ac:dyDescent="0.25">
      <c r="A49" s="154" t="s">
        <v>1228</v>
      </c>
      <c r="B49" s="154" t="s">
        <v>1229</v>
      </c>
      <c r="C49" s="155" t="s">
        <v>777</v>
      </c>
      <c r="D49" s="156">
        <f>VLOOKUP(C49,'[1]SAP Contract #s'!A:B,2,FALSE)</f>
        <v>21507</v>
      </c>
      <c r="E49" s="154" t="s">
        <v>1267</v>
      </c>
      <c r="F49" s="154" t="s">
        <v>1190</v>
      </c>
      <c r="G49" s="154" t="s">
        <v>1218</v>
      </c>
      <c r="H49" s="157">
        <v>45880</v>
      </c>
      <c r="I49" s="157">
        <v>46112</v>
      </c>
      <c r="J49" s="154" t="s">
        <v>1192</v>
      </c>
      <c r="K49" s="153"/>
    </row>
    <row r="50" spans="1:11" ht="15.75" customHeight="1" x14ac:dyDescent="0.25">
      <c r="A50" s="149" t="s">
        <v>1228</v>
      </c>
      <c r="B50" s="149" t="s">
        <v>1229</v>
      </c>
      <c r="C50" s="150" t="s">
        <v>1055</v>
      </c>
      <c r="D50" s="151">
        <f>VLOOKUP(C50,'[1]SAP Contract #s'!A:B,2,FALSE)</f>
        <v>21509</v>
      </c>
      <c r="E50" s="149" t="s">
        <v>1268</v>
      </c>
      <c r="F50" s="149" t="s">
        <v>1190</v>
      </c>
      <c r="G50" s="149" t="s">
        <v>1218</v>
      </c>
      <c r="H50" s="152">
        <v>46052</v>
      </c>
      <c r="I50" s="152">
        <v>46387</v>
      </c>
      <c r="J50" s="149" t="s">
        <v>1192</v>
      </c>
      <c r="K50" s="153"/>
    </row>
    <row r="51" spans="1:11" ht="15.75" customHeight="1" x14ac:dyDescent="0.25">
      <c r="A51" s="154" t="s">
        <v>1228</v>
      </c>
      <c r="B51" s="154" t="s">
        <v>1229</v>
      </c>
      <c r="C51" s="155" t="s">
        <v>865</v>
      </c>
      <c r="D51" s="156">
        <f>VLOOKUP(C51,'[1]SAP Contract #s'!A:B,2,FALSE)</f>
        <v>21533</v>
      </c>
      <c r="E51" s="154" t="s">
        <v>1269</v>
      </c>
      <c r="F51" s="154" t="s">
        <v>1190</v>
      </c>
      <c r="G51" s="154" t="s">
        <v>1218</v>
      </c>
      <c r="H51" s="157">
        <v>45929</v>
      </c>
      <c r="I51" s="157">
        <v>46112</v>
      </c>
      <c r="J51" s="154" t="s">
        <v>1192</v>
      </c>
      <c r="K51" s="153"/>
    </row>
    <row r="52" spans="1:11" ht="15.75" customHeight="1" x14ac:dyDescent="0.25">
      <c r="A52" s="149" t="s">
        <v>1228</v>
      </c>
      <c r="B52" s="149" t="s">
        <v>1229</v>
      </c>
      <c r="C52" s="150" t="s">
        <v>867</v>
      </c>
      <c r="D52" s="151">
        <f>VLOOKUP(C52,'[1]SAP Contract #s'!A:B,2,FALSE)</f>
        <v>21537</v>
      </c>
      <c r="E52" s="149" t="s">
        <v>1270</v>
      </c>
      <c r="F52" s="149" t="s">
        <v>1190</v>
      </c>
      <c r="G52" s="149" t="s">
        <v>1218</v>
      </c>
      <c r="H52" s="152">
        <v>45943</v>
      </c>
      <c r="I52" s="152">
        <v>46112</v>
      </c>
      <c r="J52" s="149" t="s">
        <v>1192</v>
      </c>
      <c r="K52" s="153"/>
    </row>
    <row r="53" spans="1:11" ht="15.75" customHeight="1" x14ac:dyDescent="0.25">
      <c r="A53" s="154" t="s">
        <v>1228</v>
      </c>
      <c r="B53" s="154" t="s">
        <v>1229</v>
      </c>
      <c r="C53" s="155" t="s">
        <v>883</v>
      </c>
      <c r="D53" s="156">
        <f>VLOOKUP(C53,'[1]SAP Contract #s'!A:B,2,FALSE)</f>
        <v>21546</v>
      </c>
      <c r="E53" s="154" t="s">
        <v>1271</v>
      </c>
      <c r="F53" s="154" t="s">
        <v>1190</v>
      </c>
      <c r="G53" s="154" t="s">
        <v>1218</v>
      </c>
      <c r="H53" s="157">
        <v>45943</v>
      </c>
      <c r="I53" s="157">
        <v>46112</v>
      </c>
      <c r="J53" s="154" t="s">
        <v>1192</v>
      </c>
      <c r="K53" s="153"/>
    </row>
    <row r="54" spans="1:11" ht="15.75" customHeight="1" x14ac:dyDescent="0.25">
      <c r="A54" s="149" t="s">
        <v>1228</v>
      </c>
      <c r="B54" s="149" t="s">
        <v>1229</v>
      </c>
      <c r="C54" s="150" t="s">
        <v>982</v>
      </c>
      <c r="D54" s="151">
        <f>VLOOKUP(C54,'[1]SAP Contract #s'!A:B,2,FALSE)</f>
        <v>21552</v>
      </c>
      <c r="E54" s="149" t="s">
        <v>1272</v>
      </c>
      <c r="F54" s="149" t="s">
        <v>1190</v>
      </c>
      <c r="G54" s="149" t="s">
        <v>1218</v>
      </c>
      <c r="H54" s="152">
        <v>45950</v>
      </c>
      <c r="I54" s="152">
        <v>46387</v>
      </c>
      <c r="J54" s="149" t="s">
        <v>1192</v>
      </c>
      <c r="K54" s="153"/>
    </row>
    <row r="55" spans="1:11" ht="15.75" customHeight="1" x14ac:dyDescent="0.25">
      <c r="A55" s="154" t="s">
        <v>1228</v>
      </c>
      <c r="B55" s="154" t="s">
        <v>1229</v>
      </c>
      <c r="C55" s="155" t="s">
        <v>967</v>
      </c>
      <c r="D55" s="156">
        <f>VLOOKUP(C55,'[1]SAP Contract #s'!A:B,2,FALSE)</f>
        <v>21553</v>
      </c>
      <c r="E55" s="154" t="s">
        <v>1273</v>
      </c>
      <c r="F55" s="154" t="s">
        <v>1190</v>
      </c>
      <c r="G55" s="154" t="s">
        <v>1218</v>
      </c>
      <c r="H55" s="157">
        <v>45959</v>
      </c>
      <c r="I55" s="157">
        <v>46112</v>
      </c>
      <c r="J55" s="154" t="s">
        <v>1192</v>
      </c>
      <c r="K55" s="153"/>
    </row>
    <row r="56" spans="1:11" ht="15.75" customHeight="1" x14ac:dyDescent="0.25">
      <c r="A56" s="149" t="s">
        <v>1228</v>
      </c>
      <c r="B56" s="149" t="s">
        <v>1229</v>
      </c>
      <c r="C56" s="150" t="s">
        <v>923</v>
      </c>
      <c r="D56" s="151">
        <f>VLOOKUP(C56,'[1]SAP Contract #s'!A:B,2,FALSE)</f>
        <v>21559</v>
      </c>
      <c r="E56" s="149" t="s">
        <v>1274</v>
      </c>
      <c r="F56" s="149" t="s">
        <v>1190</v>
      </c>
      <c r="G56" s="149" t="s">
        <v>1218</v>
      </c>
      <c r="H56" s="152">
        <v>45964</v>
      </c>
      <c r="I56" s="152">
        <v>46112</v>
      </c>
      <c r="J56" s="149" t="s">
        <v>1192</v>
      </c>
      <c r="K56" s="153"/>
    </row>
    <row r="57" spans="1:11" ht="15.75" customHeight="1" x14ac:dyDescent="0.25">
      <c r="A57" s="154" t="s">
        <v>1228</v>
      </c>
      <c r="B57" s="154" t="s">
        <v>1229</v>
      </c>
      <c r="C57" s="155" t="s">
        <v>741</v>
      </c>
      <c r="D57" s="156">
        <f>VLOOKUP(C57,'[1]SAP Contract #s'!A:B,2,FALSE)</f>
        <v>21623</v>
      </c>
      <c r="E57" s="154" t="s">
        <v>1275</v>
      </c>
      <c r="F57" s="154" t="s">
        <v>1190</v>
      </c>
      <c r="G57" s="154" t="s">
        <v>1218</v>
      </c>
      <c r="H57" s="157">
        <v>45365</v>
      </c>
      <c r="I57" s="157">
        <v>46112</v>
      </c>
      <c r="J57" s="154" t="s">
        <v>1219</v>
      </c>
      <c r="K57" s="153"/>
    </row>
    <row r="58" spans="1:11" ht="15.75" customHeight="1" x14ac:dyDescent="0.25">
      <c r="A58" s="149" t="s">
        <v>1228</v>
      </c>
      <c r="B58" s="149" t="s">
        <v>1229</v>
      </c>
      <c r="C58" s="150" t="s">
        <v>1276</v>
      </c>
      <c r="D58" s="151">
        <v>21878</v>
      </c>
      <c r="E58" s="149" t="s">
        <v>1277</v>
      </c>
      <c r="F58" s="149" t="s">
        <v>1190</v>
      </c>
      <c r="G58" s="149" t="s">
        <v>1218</v>
      </c>
      <c r="H58" s="152">
        <v>46069</v>
      </c>
      <c r="I58" s="152">
        <v>46113</v>
      </c>
      <c r="J58" s="149" t="s">
        <v>1192</v>
      </c>
      <c r="K58" s="153"/>
    </row>
    <row r="59" spans="1:11" ht="15.75" customHeight="1" x14ac:dyDescent="0.25">
      <c r="A59" s="154" t="s">
        <v>1228</v>
      </c>
      <c r="B59" s="154" t="s">
        <v>1229</v>
      </c>
      <c r="C59" s="155" t="s">
        <v>1095</v>
      </c>
      <c r="D59" s="156">
        <v>21888</v>
      </c>
      <c r="E59" s="154" t="s">
        <v>1278</v>
      </c>
      <c r="F59" s="154" t="s">
        <v>1190</v>
      </c>
      <c r="G59" s="154" t="s">
        <v>1218</v>
      </c>
      <c r="H59" s="157">
        <v>46063</v>
      </c>
      <c r="I59" s="157">
        <v>46066</v>
      </c>
      <c r="J59" s="154" t="s">
        <v>1192</v>
      </c>
      <c r="K59" s="153"/>
    </row>
    <row r="60" spans="1:11" ht="15.75" customHeight="1" x14ac:dyDescent="0.25">
      <c r="A60" s="149" t="s">
        <v>1228</v>
      </c>
      <c r="B60" s="149" t="s">
        <v>1229</v>
      </c>
      <c r="C60" s="150" t="s">
        <v>1279</v>
      </c>
      <c r="D60" s="151">
        <v>21850</v>
      </c>
      <c r="E60" s="149" t="s">
        <v>1280</v>
      </c>
      <c r="F60" s="149" t="s">
        <v>1190</v>
      </c>
      <c r="G60" s="149" t="s">
        <v>1281</v>
      </c>
      <c r="H60" s="152">
        <v>46071</v>
      </c>
      <c r="I60" s="152">
        <v>46387</v>
      </c>
      <c r="J60" s="149" t="s">
        <v>1192</v>
      </c>
      <c r="K60" s="153"/>
    </row>
    <row r="61" spans="1:11" ht="15.75" customHeight="1" x14ac:dyDescent="0.25">
      <c r="A61" s="154" t="s">
        <v>1228</v>
      </c>
      <c r="B61" s="154" t="s">
        <v>1229</v>
      </c>
      <c r="C61" s="155" t="s">
        <v>1282</v>
      </c>
      <c r="D61" s="156">
        <v>21891</v>
      </c>
      <c r="E61" s="154" t="s">
        <v>1283</v>
      </c>
      <c r="F61" s="154" t="s">
        <v>1190</v>
      </c>
      <c r="G61" s="154" t="s">
        <v>1281</v>
      </c>
      <c r="H61" s="157">
        <v>46076</v>
      </c>
      <c r="I61" s="157">
        <v>46203</v>
      </c>
      <c r="J61" s="154" t="s">
        <v>1192</v>
      </c>
      <c r="K61" s="153"/>
    </row>
    <row r="62" spans="1:11" ht="15.75" customHeight="1" x14ac:dyDescent="0.25">
      <c r="A62" s="149" t="s">
        <v>1228</v>
      </c>
      <c r="B62" s="149" t="s">
        <v>1229</v>
      </c>
      <c r="C62" s="150" t="s">
        <v>1284</v>
      </c>
      <c r="D62" s="151">
        <v>21893</v>
      </c>
      <c r="E62" s="149" t="s">
        <v>1285</v>
      </c>
      <c r="F62" s="149" t="s">
        <v>1190</v>
      </c>
      <c r="G62" s="149" t="s">
        <v>1281</v>
      </c>
      <c r="H62" s="152">
        <v>46082</v>
      </c>
      <c r="I62" s="152">
        <v>46387</v>
      </c>
      <c r="J62" s="149" t="s">
        <v>1192</v>
      </c>
      <c r="K62" s="153"/>
    </row>
    <row r="63" spans="1:11" ht="15.75" customHeight="1" x14ac:dyDescent="0.25">
      <c r="A63" s="154" t="s">
        <v>1228</v>
      </c>
      <c r="B63" s="154" t="s">
        <v>1229</v>
      </c>
      <c r="C63" s="155" t="s">
        <v>1286</v>
      </c>
      <c r="D63" s="156">
        <v>21879</v>
      </c>
      <c r="E63" s="154" t="s">
        <v>1287</v>
      </c>
      <c r="F63" s="154" t="s">
        <v>1190</v>
      </c>
      <c r="G63" s="154" t="s">
        <v>1281</v>
      </c>
      <c r="H63" s="157">
        <v>46082</v>
      </c>
      <c r="I63" s="157">
        <v>46387</v>
      </c>
      <c r="J63" s="154" t="s">
        <v>1192</v>
      </c>
      <c r="K63" s="153"/>
    </row>
    <row r="64" spans="1:11" ht="15.75" customHeight="1" x14ac:dyDescent="0.25">
      <c r="A64" s="149" t="s">
        <v>1228</v>
      </c>
      <c r="B64" s="149" t="s">
        <v>1229</v>
      </c>
      <c r="C64" s="150" t="s">
        <v>1288</v>
      </c>
      <c r="D64" s="151">
        <v>21880</v>
      </c>
      <c r="E64" s="149" t="s">
        <v>1289</v>
      </c>
      <c r="F64" s="149" t="s">
        <v>1190</v>
      </c>
      <c r="G64" s="149" t="s">
        <v>1281</v>
      </c>
      <c r="H64" s="152">
        <v>46076</v>
      </c>
      <c r="I64" s="152">
        <v>46752</v>
      </c>
      <c r="J64" s="149" t="s">
        <v>1219</v>
      </c>
      <c r="K64" s="153"/>
    </row>
    <row r="65" spans="1:11" ht="15.75" customHeight="1" x14ac:dyDescent="0.25">
      <c r="A65" s="154" t="s">
        <v>1228</v>
      </c>
      <c r="B65" s="154" t="s">
        <v>1229</v>
      </c>
      <c r="C65" s="155" t="s">
        <v>1290</v>
      </c>
      <c r="D65" s="156">
        <v>21881</v>
      </c>
      <c r="E65" s="154" t="s">
        <v>1291</v>
      </c>
      <c r="F65" s="154" t="s">
        <v>1190</v>
      </c>
      <c r="G65" s="154" t="s">
        <v>1281</v>
      </c>
      <c r="H65" s="157">
        <v>46076</v>
      </c>
      <c r="I65" s="157">
        <v>46752</v>
      </c>
      <c r="J65" s="154" t="s">
        <v>1219</v>
      </c>
      <c r="K65" s="153"/>
    </row>
    <row r="66" spans="1:11" ht="15.75" customHeight="1" x14ac:dyDescent="0.25">
      <c r="A66" s="149" t="s">
        <v>1228</v>
      </c>
      <c r="B66" s="149" t="s">
        <v>1229</v>
      </c>
      <c r="C66" s="150" t="s">
        <v>1292</v>
      </c>
      <c r="D66" s="151">
        <v>21882</v>
      </c>
      <c r="E66" s="149" t="s">
        <v>1293</v>
      </c>
      <c r="F66" s="149" t="s">
        <v>1190</v>
      </c>
      <c r="G66" s="149" t="s">
        <v>1281</v>
      </c>
      <c r="H66" s="152">
        <v>46076</v>
      </c>
      <c r="I66" s="152">
        <v>46752</v>
      </c>
      <c r="J66" s="149" t="s">
        <v>1219</v>
      </c>
      <c r="K66" s="153"/>
    </row>
    <row r="67" spans="1:11" ht="15.75" customHeight="1" x14ac:dyDescent="0.25">
      <c r="A67" s="154" t="s">
        <v>1228</v>
      </c>
      <c r="B67" s="154" t="s">
        <v>1229</v>
      </c>
      <c r="C67" s="155" t="s">
        <v>1294</v>
      </c>
      <c r="D67" s="156">
        <v>21883</v>
      </c>
      <c r="E67" s="154" t="s">
        <v>1295</v>
      </c>
      <c r="F67" s="154" t="s">
        <v>1190</v>
      </c>
      <c r="G67" s="154" t="s">
        <v>1281</v>
      </c>
      <c r="H67" s="157">
        <v>46076</v>
      </c>
      <c r="I67" s="157">
        <v>46752</v>
      </c>
      <c r="J67" s="154" t="s">
        <v>1219</v>
      </c>
      <c r="K67" s="153"/>
    </row>
    <row r="68" spans="1:11" ht="15.75" customHeight="1" x14ac:dyDescent="0.25">
      <c r="A68" s="149" t="s">
        <v>1228</v>
      </c>
      <c r="B68" s="149" t="s">
        <v>1229</v>
      </c>
      <c r="C68" s="150" t="s">
        <v>1296</v>
      </c>
      <c r="D68" s="151">
        <v>21884</v>
      </c>
      <c r="E68" s="149" t="s">
        <v>1297</v>
      </c>
      <c r="F68" s="149" t="s">
        <v>1190</v>
      </c>
      <c r="G68" s="149" t="s">
        <v>1281</v>
      </c>
      <c r="H68" s="152">
        <v>46076</v>
      </c>
      <c r="I68" s="152">
        <v>46752</v>
      </c>
      <c r="J68" s="149" t="s">
        <v>1219</v>
      </c>
      <c r="K68" s="153"/>
    </row>
    <row r="69" spans="1:11" ht="15.75" customHeight="1" x14ac:dyDescent="0.25">
      <c r="A69" s="154" t="s">
        <v>1228</v>
      </c>
      <c r="B69" s="154" t="s">
        <v>1229</v>
      </c>
      <c r="C69" s="155" t="s">
        <v>1298</v>
      </c>
      <c r="D69" s="156">
        <v>21885</v>
      </c>
      <c r="E69" s="154" t="s">
        <v>1299</v>
      </c>
      <c r="F69" s="154" t="s">
        <v>1190</v>
      </c>
      <c r="G69" s="154" t="s">
        <v>1281</v>
      </c>
      <c r="H69" s="157">
        <v>46076</v>
      </c>
      <c r="I69" s="157">
        <v>46752</v>
      </c>
      <c r="J69" s="154" t="s">
        <v>1219</v>
      </c>
      <c r="K69" s="153"/>
    </row>
    <row r="70" spans="1:11" ht="15.75" customHeight="1" x14ac:dyDescent="0.25">
      <c r="A70" s="149" t="s">
        <v>1228</v>
      </c>
      <c r="B70" s="149" t="s">
        <v>1229</v>
      </c>
      <c r="C70" s="150" t="s">
        <v>1300</v>
      </c>
      <c r="D70" s="151">
        <v>21886</v>
      </c>
      <c r="E70" s="149" t="s">
        <v>1301</v>
      </c>
      <c r="F70" s="149" t="s">
        <v>1190</v>
      </c>
      <c r="G70" s="149" t="s">
        <v>1281</v>
      </c>
      <c r="H70" s="152">
        <v>46076</v>
      </c>
      <c r="I70" s="152">
        <v>46752</v>
      </c>
      <c r="J70" s="149" t="s">
        <v>1219</v>
      </c>
      <c r="K70" s="153"/>
    </row>
    <row r="71" spans="1:11" ht="15.75" customHeight="1" x14ac:dyDescent="0.25">
      <c r="A71" s="154" t="s">
        <v>1228</v>
      </c>
      <c r="B71" s="154" t="s">
        <v>1229</v>
      </c>
      <c r="C71" s="155" t="s">
        <v>1302</v>
      </c>
      <c r="D71" s="156">
        <v>21887</v>
      </c>
      <c r="E71" s="154" t="s">
        <v>1303</v>
      </c>
      <c r="F71" s="154" t="s">
        <v>1190</v>
      </c>
      <c r="G71" s="154" t="s">
        <v>1281</v>
      </c>
      <c r="H71" s="157">
        <v>46076</v>
      </c>
      <c r="I71" s="157">
        <v>46752</v>
      </c>
      <c r="J71" s="154" t="s">
        <v>1219</v>
      </c>
      <c r="K71" s="153"/>
    </row>
    <row r="72" spans="1:11" ht="15.75" customHeight="1" x14ac:dyDescent="0.25">
      <c r="A72" s="149" t="s">
        <v>1228</v>
      </c>
      <c r="B72" s="149" t="s">
        <v>1229</v>
      </c>
      <c r="C72" s="150" t="s">
        <v>1304</v>
      </c>
      <c r="D72" s="151">
        <v>21892</v>
      </c>
      <c r="E72" s="149" t="s">
        <v>1305</v>
      </c>
      <c r="F72" s="149" t="s">
        <v>1190</v>
      </c>
      <c r="G72" s="149" t="s">
        <v>1281</v>
      </c>
      <c r="H72" s="152">
        <v>46082</v>
      </c>
      <c r="I72" s="152">
        <v>46387</v>
      </c>
      <c r="J72" s="149" t="s">
        <v>1192</v>
      </c>
      <c r="K72" s="153"/>
    </row>
    <row r="73" spans="1:11" ht="15.75" customHeight="1" x14ac:dyDescent="0.25">
      <c r="A73" s="154" t="s">
        <v>1228</v>
      </c>
      <c r="B73" s="154" t="s">
        <v>1229</v>
      </c>
      <c r="C73" s="155" t="s">
        <v>1306</v>
      </c>
      <c r="D73" s="156">
        <v>21889</v>
      </c>
      <c r="E73" s="154" t="s">
        <v>1307</v>
      </c>
      <c r="F73" s="154" t="s">
        <v>1190</v>
      </c>
      <c r="G73" s="154" t="s">
        <v>1281</v>
      </c>
      <c r="H73" s="157">
        <v>46076</v>
      </c>
      <c r="I73" s="157">
        <v>46387</v>
      </c>
      <c r="J73" s="154" t="s">
        <v>1192</v>
      </c>
      <c r="K73" s="153"/>
    </row>
    <row r="74" spans="1:11" ht="15.75" customHeight="1" x14ac:dyDescent="0.25">
      <c r="A74" s="149" t="s">
        <v>1228</v>
      </c>
      <c r="B74" s="149" t="s">
        <v>1229</v>
      </c>
      <c r="C74" s="150" t="s">
        <v>1308</v>
      </c>
      <c r="D74" s="151">
        <v>21890</v>
      </c>
      <c r="E74" s="149" t="s">
        <v>1309</v>
      </c>
      <c r="F74" s="149" t="s">
        <v>1190</v>
      </c>
      <c r="G74" s="149" t="s">
        <v>1281</v>
      </c>
      <c r="H74" s="152">
        <v>46076</v>
      </c>
      <c r="I74" s="152">
        <v>46387</v>
      </c>
      <c r="J74" s="149" t="s">
        <v>1192</v>
      </c>
      <c r="K74" s="153"/>
    </row>
    <row r="75" spans="1:11" ht="15.75" customHeight="1" x14ac:dyDescent="0.25">
      <c r="A75" s="154" t="s">
        <v>1310</v>
      </c>
      <c r="B75" s="154" t="s">
        <v>1229</v>
      </c>
      <c r="C75" s="155" t="s">
        <v>1311</v>
      </c>
      <c r="D75" s="156">
        <f>VLOOKUP(C75,'[1]SAP Contract #s'!A:B,2,FALSE)</f>
        <v>21157</v>
      </c>
      <c r="E75" s="154" t="s">
        <v>1312</v>
      </c>
      <c r="F75" s="154" t="s">
        <v>1190</v>
      </c>
      <c r="G75" s="154" t="s">
        <v>1218</v>
      </c>
      <c r="H75" s="157">
        <v>45978</v>
      </c>
      <c r="I75" s="157">
        <v>46112</v>
      </c>
      <c r="J75" s="154" t="s">
        <v>1192</v>
      </c>
      <c r="K75" s="153"/>
    </row>
    <row r="76" spans="1:11" ht="15.75" customHeight="1" x14ac:dyDescent="0.25">
      <c r="A76" s="149" t="s">
        <v>1310</v>
      </c>
      <c r="B76" s="149" t="s">
        <v>1229</v>
      </c>
      <c r="C76" s="150" t="s">
        <v>1146</v>
      </c>
      <c r="D76" s="151">
        <f>VLOOKUP(C76,'[1]SAP Contract #s'!A:B,2,FALSE)</f>
        <v>21565</v>
      </c>
      <c r="E76" s="149" t="s">
        <v>1313</v>
      </c>
      <c r="F76" s="149" t="s">
        <v>1190</v>
      </c>
      <c r="G76" s="149" t="s">
        <v>1218</v>
      </c>
      <c r="H76" s="152">
        <v>45978</v>
      </c>
      <c r="I76" s="152">
        <v>46108</v>
      </c>
      <c r="J76" s="149" t="s">
        <v>1192</v>
      </c>
      <c r="K76" s="153"/>
    </row>
    <row r="77" spans="1:11" ht="15.75" customHeight="1" x14ac:dyDescent="0.25">
      <c r="A77" s="154" t="s">
        <v>1314</v>
      </c>
      <c r="B77" s="154" t="s">
        <v>1315</v>
      </c>
      <c r="C77" s="155" t="s">
        <v>856</v>
      </c>
      <c r="D77" s="156">
        <f>VLOOKUP(C77,'[1]SAP Contract #s'!A:B,2,FALSE)</f>
        <v>21165</v>
      </c>
      <c r="E77" s="154" t="s">
        <v>1316</v>
      </c>
      <c r="F77" s="154" t="s">
        <v>1190</v>
      </c>
      <c r="G77" s="154" t="s">
        <v>1317</v>
      </c>
      <c r="H77" s="157">
        <v>45936</v>
      </c>
      <c r="I77" s="157">
        <v>46142</v>
      </c>
      <c r="J77" s="154" t="s">
        <v>1192</v>
      </c>
      <c r="K77" s="153"/>
    </row>
    <row r="78" spans="1:11" ht="15.75" customHeight="1" x14ac:dyDescent="0.25">
      <c r="A78" s="149" t="s">
        <v>1318</v>
      </c>
      <c r="B78" s="149" t="s">
        <v>1319</v>
      </c>
      <c r="C78" s="150" t="s">
        <v>796</v>
      </c>
      <c r="D78" s="151">
        <f>VLOOKUP(C78,'[1]SAP Contract #s'!A:B,2,FALSE)</f>
        <v>21263</v>
      </c>
      <c r="E78" s="149" t="s">
        <v>1320</v>
      </c>
      <c r="F78" s="149" t="s">
        <v>1190</v>
      </c>
      <c r="G78" s="149" t="s">
        <v>1321</v>
      </c>
      <c r="H78" s="152">
        <v>45905</v>
      </c>
      <c r="I78" s="152">
        <v>46112</v>
      </c>
      <c r="J78" s="149" t="s">
        <v>1192</v>
      </c>
      <c r="K78" s="153"/>
    </row>
    <row r="79" spans="1:11" ht="15.75" customHeight="1" x14ac:dyDescent="0.25">
      <c r="A79" s="154" t="s">
        <v>1322</v>
      </c>
      <c r="B79" s="154" t="s">
        <v>1323</v>
      </c>
      <c r="C79" s="155" t="s">
        <v>152</v>
      </c>
      <c r="D79" s="156">
        <f>VLOOKUP(C79,'[1]SAP Contract #s'!A:B,2,FALSE)</f>
        <v>21421</v>
      </c>
      <c r="E79" s="154" t="s">
        <v>1324</v>
      </c>
      <c r="F79" s="154" t="s">
        <v>1190</v>
      </c>
      <c r="G79" s="154" t="s">
        <v>1325</v>
      </c>
      <c r="H79" s="157">
        <v>45555</v>
      </c>
      <c r="I79" s="157">
        <v>45808</v>
      </c>
      <c r="J79" s="154" t="s">
        <v>1192</v>
      </c>
      <c r="K79" s="153"/>
    </row>
    <row r="80" spans="1:11" ht="15.75" customHeight="1" x14ac:dyDescent="0.25">
      <c r="A80" s="149" t="s">
        <v>1326</v>
      </c>
      <c r="B80" s="149" t="s">
        <v>1327</v>
      </c>
      <c r="C80" s="150" t="s">
        <v>44</v>
      </c>
      <c r="D80" s="151">
        <f>VLOOKUP(C80,'[1]SAP Contract #s'!A:B,2,FALSE)</f>
        <v>21065</v>
      </c>
      <c r="E80" s="149" t="s">
        <v>1328</v>
      </c>
      <c r="F80" s="149" t="s">
        <v>1190</v>
      </c>
      <c r="G80" s="149" t="s">
        <v>1329</v>
      </c>
      <c r="H80" s="152">
        <v>42370</v>
      </c>
      <c r="I80" s="152">
        <v>46387</v>
      </c>
      <c r="J80" s="149" t="s">
        <v>1330</v>
      </c>
      <c r="K80" s="153"/>
    </row>
    <row r="81" spans="1:11" ht="15.75" customHeight="1" x14ac:dyDescent="0.25">
      <c r="A81" s="154" t="s">
        <v>1326</v>
      </c>
      <c r="B81" s="154" t="s">
        <v>1327</v>
      </c>
      <c r="C81" s="155" t="s">
        <v>983</v>
      </c>
      <c r="D81" s="156">
        <f>VLOOKUP(C81,'[1]SAP Contract #s'!A:B,2,FALSE)</f>
        <v>21219</v>
      </c>
      <c r="E81" s="154" t="s">
        <v>1331</v>
      </c>
      <c r="F81" s="154" t="s">
        <v>1190</v>
      </c>
      <c r="G81" s="154" t="s">
        <v>1329</v>
      </c>
      <c r="H81" s="157">
        <v>46013</v>
      </c>
      <c r="I81" s="157">
        <v>46080</v>
      </c>
      <c r="J81" s="154" t="s">
        <v>1192</v>
      </c>
      <c r="K81" s="153"/>
    </row>
    <row r="82" spans="1:11" ht="15.75" customHeight="1" x14ac:dyDescent="0.25">
      <c r="A82" s="149" t="s">
        <v>1332</v>
      </c>
      <c r="B82" s="149" t="s">
        <v>1333</v>
      </c>
      <c r="C82" s="150" t="s">
        <v>352</v>
      </c>
      <c r="D82" s="151">
        <f>VLOOKUP(C82,'[1]SAP Contract #s'!A:B,2,FALSE)</f>
        <v>21526</v>
      </c>
      <c r="E82" s="149" t="s">
        <v>1334</v>
      </c>
      <c r="F82" s="149" t="s">
        <v>1190</v>
      </c>
      <c r="G82" s="149" t="s">
        <v>1329</v>
      </c>
      <c r="H82" s="152">
        <v>45684</v>
      </c>
      <c r="I82" s="152">
        <v>46022</v>
      </c>
      <c r="J82" s="149" t="s">
        <v>1192</v>
      </c>
      <c r="K82" s="153"/>
    </row>
    <row r="83" spans="1:11" ht="15.75" customHeight="1" x14ac:dyDescent="0.25">
      <c r="A83" s="154" t="s">
        <v>1335</v>
      </c>
      <c r="B83" s="154" t="s">
        <v>1336</v>
      </c>
      <c r="C83" s="155" t="s">
        <v>1045</v>
      </c>
      <c r="D83" s="156">
        <f>VLOOKUP(C83,'[1]SAP Contract #s'!A:B,2,FALSE)</f>
        <v>21303</v>
      </c>
      <c r="E83" s="154" t="s">
        <v>1337</v>
      </c>
      <c r="F83" s="154" t="s">
        <v>1190</v>
      </c>
      <c r="G83" s="154" t="s">
        <v>1338</v>
      </c>
      <c r="H83" s="157">
        <v>46052</v>
      </c>
      <c r="I83" s="157">
        <v>46080</v>
      </c>
      <c r="J83" s="154" t="s">
        <v>1330</v>
      </c>
      <c r="K83" s="153"/>
    </row>
    <row r="84" spans="1:11" ht="15.75" customHeight="1" x14ac:dyDescent="0.25">
      <c r="A84" s="149" t="s">
        <v>1335</v>
      </c>
      <c r="B84" s="149" t="s">
        <v>1336</v>
      </c>
      <c r="C84" s="150" t="s">
        <v>42</v>
      </c>
      <c r="D84" s="151">
        <f>VLOOKUP(C84,'[1]SAP Contract #s'!A:B,2,FALSE)</f>
        <v>21670</v>
      </c>
      <c r="E84" s="149" t="s">
        <v>1339</v>
      </c>
      <c r="F84" s="149" t="s">
        <v>1190</v>
      </c>
      <c r="G84" s="149" t="s">
        <v>1338</v>
      </c>
      <c r="H84" s="152">
        <v>42736</v>
      </c>
      <c r="I84" s="152">
        <v>46022</v>
      </c>
      <c r="J84" s="149" t="s">
        <v>1330</v>
      </c>
      <c r="K84" s="153"/>
    </row>
    <row r="85" spans="1:11" ht="15.75" customHeight="1" x14ac:dyDescent="0.25">
      <c r="A85" s="154" t="s">
        <v>1335</v>
      </c>
      <c r="B85" s="154" t="s">
        <v>1336</v>
      </c>
      <c r="C85" s="155" t="s">
        <v>1094</v>
      </c>
      <c r="D85" s="156">
        <v>21875</v>
      </c>
      <c r="E85" s="154" t="s">
        <v>1340</v>
      </c>
      <c r="F85" s="154" t="s">
        <v>1190</v>
      </c>
      <c r="G85" s="154" t="s">
        <v>1338</v>
      </c>
      <c r="H85" s="157">
        <v>46057</v>
      </c>
      <c r="I85" s="157">
        <v>46142</v>
      </c>
      <c r="J85" s="154" t="s">
        <v>1330</v>
      </c>
      <c r="K85" s="153"/>
    </row>
    <row r="86" spans="1:11" ht="15.75" customHeight="1" x14ac:dyDescent="0.25">
      <c r="A86" s="149" t="s">
        <v>1341</v>
      </c>
      <c r="B86" s="149" t="s">
        <v>1342</v>
      </c>
      <c r="C86" s="150" t="s">
        <v>1343</v>
      </c>
      <c r="D86" s="151">
        <f>VLOOKUP(C86,'[1]SAP Contract #s'!A:B,2,FALSE)</f>
        <v>21183</v>
      </c>
      <c r="E86" s="149" t="s">
        <v>1344</v>
      </c>
      <c r="F86" s="149" t="s">
        <v>1190</v>
      </c>
      <c r="G86" s="149" t="s">
        <v>1345</v>
      </c>
      <c r="H86" s="152">
        <v>45857</v>
      </c>
      <c r="I86" s="152">
        <v>46934</v>
      </c>
      <c r="J86" s="149" t="s">
        <v>1219</v>
      </c>
      <c r="K86" s="153"/>
    </row>
    <row r="87" spans="1:11" ht="15.75" customHeight="1" x14ac:dyDescent="0.25">
      <c r="A87" s="154" t="s">
        <v>1346</v>
      </c>
      <c r="B87" s="154" t="s">
        <v>1347</v>
      </c>
      <c r="C87" s="155" t="s">
        <v>321</v>
      </c>
      <c r="D87" s="156">
        <f>VLOOKUP(C87,'[1]SAP Contract #s'!A:B,2,FALSE)</f>
        <v>21494</v>
      </c>
      <c r="E87" s="154" t="s">
        <v>1348</v>
      </c>
      <c r="F87" s="154" t="s">
        <v>1190</v>
      </c>
      <c r="G87" s="154" t="s">
        <v>1349</v>
      </c>
      <c r="H87" s="157">
        <v>45663</v>
      </c>
      <c r="I87" s="157">
        <v>46418</v>
      </c>
      <c r="J87" s="154" t="s">
        <v>1192</v>
      </c>
      <c r="K87" s="153"/>
    </row>
    <row r="88" spans="1:11" ht="15.75" customHeight="1" x14ac:dyDescent="0.25">
      <c r="A88" s="149" t="s">
        <v>1350</v>
      </c>
      <c r="B88" s="149" t="s">
        <v>1351</v>
      </c>
      <c r="C88" s="150" t="s">
        <v>64</v>
      </c>
      <c r="D88" s="151">
        <f>VLOOKUP(C88,'[1]SAP Contract #s'!A:B,2,FALSE)</f>
        <v>21119</v>
      </c>
      <c r="E88" s="149" t="s">
        <v>1352</v>
      </c>
      <c r="F88" s="149" t="s">
        <v>1190</v>
      </c>
      <c r="G88" s="149" t="s">
        <v>1353</v>
      </c>
      <c r="H88" s="152">
        <v>45173</v>
      </c>
      <c r="I88" s="152">
        <v>46022</v>
      </c>
      <c r="J88" s="149" t="s">
        <v>1330</v>
      </c>
      <c r="K88" s="153"/>
    </row>
    <row r="89" spans="1:11" ht="15.75" customHeight="1" x14ac:dyDescent="0.25">
      <c r="A89" s="154" t="s">
        <v>1354</v>
      </c>
      <c r="B89" s="154" t="s">
        <v>1355</v>
      </c>
      <c r="C89" s="155" t="s">
        <v>101</v>
      </c>
      <c r="D89" s="156">
        <f>VLOOKUP(C89,'[1]SAP Contract #s'!A:B,2,FALSE)</f>
        <v>21488</v>
      </c>
      <c r="E89" s="154" t="s">
        <v>1356</v>
      </c>
      <c r="F89" s="154" t="s">
        <v>1190</v>
      </c>
      <c r="G89" s="154" t="s">
        <v>1353</v>
      </c>
      <c r="H89" s="157">
        <v>45369</v>
      </c>
      <c r="I89" s="157">
        <v>45869</v>
      </c>
      <c r="J89" s="154" t="s">
        <v>1192</v>
      </c>
      <c r="K89" s="153"/>
    </row>
    <row r="90" spans="1:11" ht="15.75" customHeight="1" x14ac:dyDescent="0.25">
      <c r="A90" s="149" t="s">
        <v>1357</v>
      </c>
      <c r="B90" s="149" t="s">
        <v>1358</v>
      </c>
      <c r="C90" s="150" t="s">
        <v>184</v>
      </c>
      <c r="D90" s="151">
        <f>VLOOKUP(C90,'[1]SAP Contract #s'!A:B,2,FALSE)</f>
        <v>21514</v>
      </c>
      <c r="E90" s="149" t="s">
        <v>1359</v>
      </c>
      <c r="F90" s="149" t="s">
        <v>1190</v>
      </c>
      <c r="G90" s="149" t="s">
        <v>1353</v>
      </c>
      <c r="H90" s="152">
        <v>45663</v>
      </c>
      <c r="I90" s="152">
        <v>46022</v>
      </c>
      <c r="J90" s="149" t="s">
        <v>1192</v>
      </c>
      <c r="K90" s="153"/>
    </row>
    <row r="91" spans="1:11" ht="15.75" customHeight="1" x14ac:dyDescent="0.25">
      <c r="A91" s="154" t="s">
        <v>1360</v>
      </c>
      <c r="B91" s="154" t="s">
        <v>1361</v>
      </c>
      <c r="C91" s="155" t="s">
        <v>579</v>
      </c>
      <c r="D91" s="156">
        <f>VLOOKUP(C91,'[1]SAP Contract #s'!A:B,2,FALSE)</f>
        <v>21221</v>
      </c>
      <c r="E91" s="154" t="s">
        <v>1362</v>
      </c>
      <c r="F91" s="154" t="s">
        <v>1190</v>
      </c>
      <c r="G91" s="154" t="s">
        <v>1353</v>
      </c>
      <c r="H91" s="157">
        <v>45784</v>
      </c>
      <c r="I91" s="157">
        <v>46053</v>
      </c>
      <c r="J91" s="154" t="s">
        <v>1192</v>
      </c>
      <c r="K91" s="153"/>
    </row>
    <row r="92" spans="1:11" ht="15.75" customHeight="1" x14ac:dyDescent="0.25">
      <c r="A92" s="149" t="s">
        <v>1363</v>
      </c>
      <c r="B92" s="149" t="s">
        <v>1364</v>
      </c>
      <c r="C92" s="150" t="s">
        <v>1365</v>
      </c>
      <c r="D92" s="151">
        <v>21897</v>
      </c>
      <c r="E92" s="149" t="s">
        <v>1366</v>
      </c>
      <c r="F92" s="149" t="s">
        <v>1190</v>
      </c>
      <c r="G92" s="149" t="s">
        <v>1367</v>
      </c>
      <c r="H92" s="152">
        <v>46069</v>
      </c>
      <c r="I92" s="152">
        <v>46173</v>
      </c>
      <c r="J92" s="149" t="s">
        <v>1192</v>
      </c>
      <c r="K92" s="153"/>
    </row>
    <row r="93" spans="1:11" ht="15.75" customHeight="1" x14ac:dyDescent="0.25">
      <c r="A93" s="154" t="s">
        <v>1368</v>
      </c>
      <c r="B93" s="154" t="s">
        <v>1369</v>
      </c>
      <c r="C93" s="155" t="s">
        <v>347</v>
      </c>
      <c r="D93" s="156">
        <f>VLOOKUP(C93,'[1]SAP Contract #s'!A:B,2,FALSE)</f>
        <v>21412</v>
      </c>
      <c r="E93" s="154" t="s">
        <v>1370</v>
      </c>
      <c r="F93" s="154" t="s">
        <v>1190</v>
      </c>
      <c r="G93" s="154" t="s">
        <v>1371</v>
      </c>
      <c r="H93" s="157">
        <v>45224</v>
      </c>
      <c r="I93" s="157">
        <v>46142</v>
      </c>
      <c r="J93" s="154" t="s">
        <v>1372</v>
      </c>
      <c r="K93" s="153"/>
    </row>
    <row r="94" spans="1:11" ht="15.75" customHeight="1" x14ac:dyDescent="0.25">
      <c r="A94" s="149" t="s">
        <v>1373</v>
      </c>
      <c r="B94" s="149" t="s">
        <v>1374</v>
      </c>
      <c r="C94" s="150" t="s">
        <v>734</v>
      </c>
      <c r="D94" s="151">
        <f>VLOOKUP(C94,'[1]SAP Contract #s'!A:B,2,FALSE)</f>
        <v>21407</v>
      </c>
      <c r="E94" s="149" t="s">
        <v>1375</v>
      </c>
      <c r="F94" s="149" t="s">
        <v>1190</v>
      </c>
      <c r="G94" s="149" t="s">
        <v>1371</v>
      </c>
      <c r="H94" s="152">
        <v>45868</v>
      </c>
      <c r="I94" s="152">
        <v>46320</v>
      </c>
      <c r="J94" s="149" t="s">
        <v>1210</v>
      </c>
      <c r="K94" s="153"/>
    </row>
    <row r="95" spans="1:11" ht="15.75" customHeight="1" x14ac:dyDescent="0.25">
      <c r="A95" s="154" t="s">
        <v>1376</v>
      </c>
      <c r="B95" s="154" t="s">
        <v>1377</v>
      </c>
      <c r="C95" s="155" t="s">
        <v>1043</v>
      </c>
      <c r="D95" s="156">
        <f>VLOOKUP(C95,'[1]SAP Contract #s'!A:B,2,FALSE)</f>
        <v>21402</v>
      </c>
      <c r="E95" s="154" t="s">
        <v>1378</v>
      </c>
      <c r="F95" s="154" t="s">
        <v>1190</v>
      </c>
      <c r="G95" s="154" t="s">
        <v>1371</v>
      </c>
      <c r="H95" s="157">
        <v>46006</v>
      </c>
      <c r="I95" s="157">
        <v>46265</v>
      </c>
      <c r="J95" s="154" t="s">
        <v>1192</v>
      </c>
      <c r="K95" s="153"/>
    </row>
    <row r="96" spans="1:11" ht="15.75" customHeight="1" x14ac:dyDescent="0.25">
      <c r="A96" s="149" t="s">
        <v>1379</v>
      </c>
      <c r="B96" s="149" t="s">
        <v>1380</v>
      </c>
      <c r="C96" s="150" t="s">
        <v>873</v>
      </c>
      <c r="D96" s="151">
        <f>VLOOKUP(C96,'[1]SAP Contract #s'!A:B,2,FALSE)</f>
        <v>21415</v>
      </c>
      <c r="E96" s="149" t="s">
        <v>1381</v>
      </c>
      <c r="F96" s="149" t="s">
        <v>1190</v>
      </c>
      <c r="G96" s="149" t="s">
        <v>1371</v>
      </c>
      <c r="H96" s="152">
        <v>45943</v>
      </c>
      <c r="I96" s="152">
        <v>46327</v>
      </c>
      <c r="J96" s="149" t="s">
        <v>1210</v>
      </c>
      <c r="K96" s="153"/>
    </row>
    <row r="97" spans="1:11" ht="15.75" customHeight="1" x14ac:dyDescent="0.25">
      <c r="A97" s="154" t="s">
        <v>1382</v>
      </c>
      <c r="B97" s="154" t="s">
        <v>1383</v>
      </c>
      <c r="C97" s="155" t="s">
        <v>1030</v>
      </c>
      <c r="D97" s="156">
        <f>VLOOKUP(C97,'[1]SAP Contract #s'!A:B,2,FALSE)</f>
        <v>21273</v>
      </c>
      <c r="E97" s="154" t="s">
        <v>1384</v>
      </c>
      <c r="F97" s="154" t="s">
        <v>1190</v>
      </c>
      <c r="G97" s="154" t="s">
        <v>1385</v>
      </c>
      <c r="H97" s="157">
        <v>45047</v>
      </c>
      <c r="I97" s="157">
        <v>46203</v>
      </c>
      <c r="J97" s="154" t="s">
        <v>1219</v>
      </c>
      <c r="K97" s="153"/>
    </row>
    <row r="98" spans="1:11" ht="15.75" customHeight="1" x14ac:dyDescent="0.25">
      <c r="A98" s="149" t="s">
        <v>1382</v>
      </c>
      <c r="B98" s="149" t="s">
        <v>1383</v>
      </c>
      <c r="C98" s="150" t="s">
        <v>102</v>
      </c>
      <c r="D98" s="151">
        <f>VLOOKUP(C98,'[1]SAP Contract #s'!A:B,2,FALSE)</f>
        <v>21290</v>
      </c>
      <c r="E98" s="149" t="s">
        <v>1386</v>
      </c>
      <c r="F98" s="149" t="s">
        <v>1190</v>
      </c>
      <c r="G98" s="149" t="s">
        <v>1385</v>
      </c>
      <c r="H98" s="152">
        <v>45006</v>
      </c>
      <c r="I98" s="152">
        <v>46387</v>
      </c>
      <c r="J98" s="149" t="s">
        <v>1219</v>
      </c>
      <c r="K98" s="153"/>
    </row>
    <row r="99" spans="1:11" ht="15.75" customHeight="1" x14ac:dyDescent="0.25">
      <c r="A99" s="154" t="s">
        <v>1382</v>
      </c>
      <c r="B99" s="154" t="s">
        <v>1383</v>
      </c>
      <c r="C99" s="155" t="s">
        <v>127</v>
      </c>
      <c r="D99" s="156">
        <f>VLOOKUP(C99,'[1]SAP Contract #s'!A:B,2,FALSE)</f>
        <v>21307</v>
      </c>
      <c r="E99" s="154" t="s">
        <v>1387</v>
      </c>
      <c r="F99" s="154" t="s">
        <v>1190</v>
      </c>
      <c r="G99" s="154" t="s">
        <v>1385</v>
      </c>
      <c r="H99" s="157">
        <v>45000</v>
      </c>
      <c r="I99" s="157">
        <v>46387</v>
      </c>
      <c r="J99" s="154" t="s">
        <v>1219</v>
      </c>
      <c r="K99" s="153"/>
    </row>
    <row r="100" spans="1:11" ht="15.75" customHeight="1" x14ac:dyDescent="0.25">
      <c r="A100" s="149" t="s">
        <v>1382</v>
      </c>
      <c r="B100" s="149" t="s">
        <v>1383</v>
      </c>
      <c r="C100" s="150" t="s">
        <v>609</v>
      </c>
      <c r="D100" s="151">
        <f>VLOOKUP(C100,'[1]SAP Contract #s'!A:B,2,FALSE)</f>
        <v>21554</v>
      </c>
      <c r="E100" s="149" t="s">
        <v>1388</v>
      </c>
      <c r="F100" s="149" t="s">
        <v>1190</v>
      </c>
      <c r="G100" s="149" t="s">
        <v>1385</v>
      </c>
      <c r="H100" s="152">
        <v>45772</v>
      </c>
      <c r="I100" s="152">
        <v>46387</v>
      </c>
      <c r="J100" s="149" t="s">
        <v>1219</v>
      </c>
      <c r="K100" s="153"/>
    </row>
    <row r="101" spans="1:11" ht="15.75" customHeight="1" x14ac:dyDescent="0.25">
      <c r="A101" s="154" t="s">
        <v>1382</v>
      </c>
      <c r="B101" s="154" t="s">
        <v>1383</v>
      </c>
      <c r="C101" s="155" t="s">
        <v>600</v>
      </c>
      <c r="D101" s="156">
        <f>VLOOKUP(C101,'[1]SAP Contract #s'!A:B,2,FALSE)</f>
        <v>21557</v>
      </c>
      <c r="E101" s="154" t="s">
        <v>1389</v>
      </c>
      <c r="F101" s="154" t="s">
        <v>1190</v>
      </c>
      <c r="G101" s="154" t="s">
        <v>1385</v>
      </c>
      <c r="H101" s="157">
        <v>45565</v>
      </c>
      <c r="I101" s="157">
        <v>46052</v>
      </c>
      <c r="J101" s="154" t="s">
        <v>1219</v>
      </c>
      <c r="K101" s="153"/>
    </row>
    <row r="102" spans="1:11" ht="15.75" customHeight="1" x14ac:dyDescent="0.25">
      <c r="A102" s="149" t="s">
        <v>1382</v>
      </c>
      <c r="B102" s="149" t="s">
        <v>1383</v>
      </c>
      <c r="C102" s="150" t="s">
        <v>130</v>
      </c>
      <c r="D102" s="151">
        <f>VLOOKUP(C102,'[1]SAP Contract #s'!A:B,2,FALSE)</f>
        <v>21591</v>
      </c>
      <c r="E102" s="149" t="s">
        <v>1390</v>
      </c>
      <c r="F102" s="149" t="s">
        <v>1190</v>
      </c>
      <c r="G102" s="149" t="s">
        <v>1385</v>
      </c>
      <c r="H102" s="152">
        <v>44851</v>
      </c>
      <c r="I102" s="152">
        <v>46599</v>
      </c>
      <c r="J102" s="149" t="s">
        <v>1219</v>
      </c>
      <c r="K102" s="153"/>
    </row>
    <row r="103" spans="1:11" ht="15.75" customHeight="1" x14ac:dyDescent="0.25">
      <c r="A103" s="154" t="s">
        <v>1391</v>
      </c>
      <c r="B103" s="154" t="s">
        <v>1392</v>
      </c>
      <c r="C103" s="155" t="s">
        <v>47</v>
      </c>
      <c r="D103" s="156">
        <f>VLOOKUP(C103,'[1]SAP Contract #s'!A:B,2,FALSE)</f>
        <v>21572</v>
      </c>
      <c r="E103" s="154" t="s">
        <v>1393</v>
      </c>
      <c r="F103" s="154" t="s">
        <v>1190</v>
      </c>
      <c r="G103" s="154" t="s">
        <v>1394</v>
      </c>
      <c r="H103" s="157">
        <v>44865</v>
      </c>
      <c r="I103" s="157">
        <v>46174</v>
      </c>
      <c r="J103" s="154" t="s">
        <v>1330</v>
      </c>
      <c r="K103" s="153"/>
    </row>
    <row r="104" spans="1:11" ht="15.75" customHeight="1" x14ac:dyDescent="0.25">
      <c r="A104" s="149" t="s">
        <v>1395</v>
      </c>
      <c r="B104" s="149" t="s">
        <v>1396</v>
      </c>
      <c r="C104" s="150" t="s">
        <v>872</v>
      </c>
      <c r="D104" s="151">
        <f>VLOOKUP(C104,'[1]SAP Contract #s'!A:B,2,FALSE)</f>
        <v>21262</v>
      </c>
      <c r="E104" s="149" t="s">
        <v>1397</v>
      </c>
      <c r="F104" s="149" t="s">
        <v>1190</v>
      </c>
      <c r="G104" s="149" t="s">
        <v>1398</v>
      </c>
      <c r="H104" s="152">
        <v>45896</v>
      </c>
      <c r="I104" s="152">
        <v>46234</v>
      </c>
      <c r="J104" s="149" t="s">
        <v>1192</v>
      </c>
      <c r="K104" s="153"/>
    </row>
    <row r="105" spans="1:11" ht="15.75" customHeight="1" x14ac:dyDescent="0.25">
      <c r="A105" s="154" t="s">
        <v>1395</v>
      </c>
      <c r="B105" s="154" t="s">
        <v>1396</v>
      </c>
      <c r="C105" s="155" t="s">
        <v>930</v>
      </c>
      <c r="D105" s="156">
        <f>VLOOKUP(C105,'[1]SAP Contract #s'!A:B,2,FALSE)</f>
        <v>21440</v>
      </c>
      <c r="E105" s="154" t="s">
        <v>1399</v>
      </c>
      <c r="F105" s="154" t="s">
        <v>1190</v>
      </c>
      <c r="G105" s="154" t="s">
        <v>1398</v>
      </c>
      <c r="H105" s="157">
        <v>45992</v>
      </c>
      <c r="I105" s="157">
        <v>46112</v>
      </c>
      <c r="J105" s="154" t="s">
        <v>1192</v>
      </c>
      <c r="K105" s="153"/>
    </row>
    <row r="106" spans="1:11" ht="15.75" customHeight="1" x14ac:dyDescent="0.25">
      <c r="A106" s="149" t="s">
        <v>1395</v>
      </c>
      <c r="B106" s="149" t="s">
        <v>1396</v>
      </c>
      <c r="C106" s="150" t="s">
        <v>1400</v>
      </c>
      <c r="D106" s="151">
        <f>VLOOKUP(C106,'[1]SAP Contract #s'!A:B,2,FALSE)</f>
        <v>21450</v>
      </c>
      <c r="E106" s="149" t="s">
        <v>1401</v>
      </c>
      <c r="F106" s="149" t="s">
        <v>1190</v>
      </c>
      <c r="G106" s="149" t="s">
        <v>1394</v>
      </c>
      <c r="H106" s="152">
        <v>45999</v>
      </c>
      <c r="I106" s="152">
        <v>46112</v>
      </c>
      <c r="J106" s="149" t="s">
        <v>1192</v>
      </c>
      <c r="K106" s="153"/>
    </row>
    <row r="107" spans="1:11" ht="15.75" customHeight="1" x14ac:dyDescent="0.25">
      <c r="A107" s="154" t="s">
        <v>1395</v>
      </c>
      <c r="B107" s="154" t="s">
        <v>1396</v>
      </c>
      <c r="C107" s="155" t="s">
        <v>878</v>
      </c>
      <c r="D107" s="156">
        <f>VLOOKUP(C107,'[1]SAP Contract #s'!A:B,2,FALSE)</f>
        <v>21548</v>
      </c>
      <c r="E107" s="154" t="s">
        <v>1402</v>
      </c>
      <c r="F107" s="154" t="s">
        <v>1190</v>
      </c>
      <c r="G107" s="154" t="s">
        <v>1398</v>
      </c>
      <c r="H107" s="157">
        <v>45943</v>
      </c>
      <c r="I107" s="157">
        <v>46112</v>
      </c>
      <c r="J107" s="154" t="s">
        <v>1192</v>
      </c>
      <c r="K107" s="153"/>
    </row>
    <row r="108" spans="1:11" ht="15.75" customHeight="1" x14ac:dyDescent="0.25">
      <c r="A108" s="149" t="s">
        <v>1395</v>
      </c>
      <c r="B108" s="149" t="s">
        <v>1396</v>
      </c>
      <c r="C108" s="150" t="s">
        <v>616</v>
      </c>
      <c r="D108" s="151">
        <f>VLOOKUP(C108,'[1]SAP Contract #s'!A:B,2,FALSE)</f>
        <v>21569</v>
      </c>
      <c r="E108" s="149" t="s">
        <v>1403</v>
      </c>
      <c r="F108" s="149" t="s">
        <v>1190</v>
      </c>
      <c r="G108" s="149" t="s">
        <v>1398</v>
      </c>
      <c r="H108" s="152">
        <v>45789</v>
      </c>
      <c r="I108" s="152">
        <v>46022</v>
      </c>
      <c r="J108" s="149" t="s">
        <v>1219</v>
      </c>
      <c r="K108" s="153"/>
    </row>
    <row r="109" spans="1:11" ht="15.75" customHeight="1" x14ac:dyDescent="0.25">
      <c r="A109" s="154" t="s">
        <v>1395</v>
      </c>
      <c r="B109" s="154" t="s">
        <v>1396</v>
      </c>
      <c r="C109" s="155" t="s">
        <v>1404</v>
      </c>
      <c r="D109" s="156">
        <v>21899</v>
      </c>
      <c r="E109" s="154" t="s">
        <v>1405</v>
      </c>
      <c r="F109" s="154" t="s">
        <v>1190</v>
      </c>
      <c r="G109" s="154" t="s">
        <v>1406</v>
      </c>
      <c r="H109" s="157">
        <v>46076</v>
      </c>
      <c r="I109" s="157">
        <v>46203</v>
      </c>
      <c r="J109" s="154" t="s">
        <v>1192</v>
      </c>
      <c r="K109" s="153"/>
    </row>
    <row r="110" spans="1:11" ht="15.75" customHeight="1" x14ac:dyDescent="0.25">
      <c r="A110" s="149" t="s">
        <v>1407</v>
      </c>
      <c r="B110" s="149" t="s">
        <v>1408</v>
      </c>
      <c r="C110" s="150" t="s">
        <v>107</v>
      </c>
      <c r="D110" s="151">
        <f>VLOOKUP(C110,'[1]SAP Contract #s'!A:B,2,FALSE)</f>
        <v>21113</v>
      </c>
      <c r="E110" s="149" t="s">
        <v>1409</v>
      </c>
      <c r="F110" s="149" t="s">
        <v>1190</v>
      </c>
      <c r="G110" s="149" t="s">
        <v>1410</v>
      </c>
      <c r="H110" s="152">
        <v>45341</v>
      </c>
      <c r="I110" s="152">
        <v>47483</v>
      </c>
      <c r="J110" s="149" t="s">
        <v>1219</v>
      </c>
      <c r="K110" s="153"/>
    </row>
    <row r="111" spans="1:11" ht="15.75" customHeight="1" x14ac:dyDescent="0.25">
      <c r="A111" s="154" t="s">
        <v>1411</v>
      </c>
      <c r="B111" s="154" t="s">
        <v>1412</v>
      </c>
      <c r="C111" s="158" t="s">
        <v>1413</v>
      </c>
      <c r="E111" s="154" t="s">
        <v>1414</v>
      </c>
      <c r="F111" s="154" t="s">
        <v>1190</v>
      </c>
      <c r="G111" s="154" t="s">
        <v>1415</v>
      </c>
      <c r="H111" s="157">
        <v>45586</v>
      </c>
      <c r="I111" s="157">
        <v>46387</v>
      </c>
      <c r="J111" s="154" t="s">
        <v>1219</v>
      </c>
      <c r="K111" s="153"/>
    </row>
    <row r="112" spans="1:11" ht="15.75" customHeight="1" x14ac:dyDescent="0.25">
      <c r="A112" s="149" t="s">
        <v>1416</v>
      </c>
      <c r="B112" s="149" t="s">
        <v>1417</v>
      </c>
      <c r="C112" s="150" t="s">
        <v>757</v>
      </c>
      <c r="D112" s="151">
        <f>VLOOKUP(C112,'[1]SAP Contract #s'!A:B,2,FALSE)</f>
        <v>21201</v>
      </c>
      <c r="E112" s="149" t="s">
        <v>1418</v>
      </c>
      <c r="F112" s="149" t="s">
        <v>1190</v>
      </c>
      <c r="G112" s="149" t="s">
        <v>1415</v>
      </c>
      <c r="H112" s="152">
        <v>45885</v>
      </c>
      <c r="I112" s="152">
        <v>46752</v>
      </c>
      <c r="J112" s="149" t="s">
        <v>1219</v>
      </c>
      <c r="K112" s="153"/>
    </row>
    <row r="113" spans="1:11" ht="15.75" customHeight="1" x14ac:dyDescent="0.25">
      <c r="A113" s="154" t="s">
        <v>1419</v>
      </c>
      <c r="B113" s="154" t="s">
        <v>1420</v>
      </c>
      <c r="C113" s="155" t="s">
        <v>1088</v>
      </c>
      <c r="D113" s="156">
        <f>VLOOKUP(C113,'[1]SAP Contract #s'!A:B,2,FALSE)</f>
        <v>21191</v>
      </c>
      <c r="E113" s="154" t="s">
        <v>1421</v>
      </c>
      <c r="F113" s="154" t="s">
        <v>1190</v>
      </c>
      <c r="G113" s="154" t="s">
        <v>1415</v>
      </c>
      <c r="H113" s="157">
        <v>45901</v>
      </c>
      <c r="I113" s="157">
        <v>45925</v>
      </c>
      <c r="J113" s="154" t="s">
        <v>1372</v>
      </c>
      <c r="K113" s="153"/>
    </row>
    <row r="114" spans="1:11" ht="15.75" customHeight="1" x14ac:dyDescent="0.25">
      <c r="A114" s="149" t="s">
        <v>1422</v>
      </c>
      <c r="B114" s="149" t="s">
        <v>1423</v>
      </c>
      <c r="C114" s="150" t="s">
        <v>649</v>
      </c>
      <c r="D114" s="151">
        <f>VLOOKUP(C114,'[1]SAP Contract #s'!A:B,2,FALSE)</f>
        <v>21067</v>
      </c>
      <c r="E114" s="149" t="s">
        <v>1424</v>
      </c>
      <c r="F114" s="149" t="s">
        <v>1190</v>
      </c>
      <c r="G114" s="149" t="s">
        <v>1425</v>
      </c>
      <c r="H114" s="152">
        <v>45809</v>
      </c>
      <c r="I114" s="152">
        <v>46234</v>
      </c>
      <c r="J114" s="149" t="s">
        <v>1192</v>
      </c>
      <c r="K114" s="153"/>
    </row>
    <row r="115" spans="1:11" ht="15.75" customHeight="1" x14ac:dyDescent="0.25">
      <c r="A115" s="154" t="s">
        <v>1426</v>
      </c>
      <c r="B115" s="154" t="s">
        <v>1427</v>
      </c>
      <c r="C115" s="155" t="s">
        <v>807</v>
      </c>
      <c r="D115" s="156">
        <f>VLOOKUP(C115,'[1]SAP Contract #s'!A:B,2,FALSE)</f>
        <v>21687</v>
      </c>
      <c r="E115" s="154" t="s">
        <v>1428</v>
      </c>
      <c r="F115" s="154" t="s">
        <v>1190</v>
      </c>
      <c r="G115" s="154" t="s">
        <v>1429</v>
      </c>
      <c r="H115" s="157">
        <v>45915</v>
      </c>
      <c r="I115" s="157">
        <v>45961</v>
      </c>
      <c r="J115" s="154" t="s">
        <v>1192</v>
      </c>
      <c r="K115" s="153"/>
    </row>
    <row r="116" spans="1:11" ht="15.75" customHeight="1" x14ac:dyDescent="0.25">
      <c r="A116" s="149" t="s">
        <v>1430</v>
      </c>
      <c r="B116" s="149" t="s">
        <v>1431</v>
      </c>
      <c r="C116" s="150" t="s">
        <v>1432</v>
      </c>
      <c r="D116" s="151">
        <f>VLOOKUP(C116,'[1]SAP Contract #s'!A:B,2,FALSE)</f>
        <v>21059</v>
      </c>
      <c r="E116" s="149" t="s">
        <v>1433</v>
      </c>
      <c r="F116" s="149" t="s">
        <v>1190</v>
      </c>
      <c r="G116" s="149" t="s">
        <v>1434</v>
      </c>
      <c r="H116" s="152">
        <v>45838</v>
      </c>
      <c r="I116" s="152">
        <v>46203</v>
      </c>
      <c r="J116" s="149" t="s">
        <v>1192</v>
      </c>
      <c r="K116" s="153"/>
    </row>
    <row r="117" spans="1:11" ht="15.75" customHeight="1" x14ac:dyDescent="0.25">
      <c r="A117" s="154" t="s">
        <v>1430</v>
      </c>
      <c r="B117" s="154" t="s">
        <v>1431</v>
      </c>
      <c r="C117" s="155" t="s">
        <v>905</v>
      </c>
      <c r="D117" s="156">
        <f>VLOOKUP(C117,'[1]SAP Contract #s'!A:B,2,FALSE)</f>
        <v>21072</v>
      </c>
      <c r="E117" s="154" t="s">
        <v>1435</v>
      </c>
      <c r="F117" s="154" t="s">
        <v>1190</v>
      </c>
      <c r="G117" s="154" t="s">
        <v>1434</v>
      </c>
      <c r="H117" s="157">
        <v>45827</v>
      </c>
      <c r="I117" s="157">
        <v>46203</v>
      </c>
      <c r="J117" s="154" t="s">
        <v>1192</v>
      </c>
      <c r="K117" s="153"/>
    </row>
    <row r="118" spans="1:11" ht="15.75" customHeight="1" x14ac:dyDescent="0.25">
      <c r="A118" s="149" t="s">
        <v>1430</v>
      </c>
      <c r="B118" s="149" t="s">
        <v>1431</v>
      </c>
      <c r="C118" s="150" t="s">
        <v>837</v>
      </c>
      <c r="D118" s="151">
        <f>VLOOKUP(C118,'[1]SAP Contract #s'!A:B,2,FALSE)</f>
        <v>21078</v>
      </c>
      <c r="E118" s="149" t="s">
        <v>1436</v>
      </c>
      <c r="F118" s="149" t="s">
        <v>1190</v>
      </c>
      <c r="G118" s="149" t="s">
        <v>1434</v>
      </c>
      <c r="H118" s="152">
        <v>45933</v>
      </c>
      <c r="I118" s="152">
        <v>46203</v>
      </c>
      <c r="J118" s="149" t="s">
        <v>1192</v>
      </c>
      <c r="K118" s="153"/>
    </row>
    <row r="119" spans="1:11" ht="15.75" customHeight="1" x14ac:dyDescent="0.25">
      <c r="A119" s="154" t="s">
        <v>1430</v>
      </c>
      <c r="B119" s="154" t="s">
        <v>1431</v>
      </c>
      <c r="C119" s="155" t="s">
        <v>860</v>
      </c>
      <c r="D119" s="156">
        <f>VLOOKUP(C119,'[1]SAP Contract #s'!A:B,2,FALSE)</f>
        <v>21089</v>
      </c>
      <c r="E119" s="154" t="s">
        <v>1437</v>
      </c>
      <c r="F119" s="154" t="s">
        <v>1190</v>
      </c>
      <c r="G119" s="154" t="s">
        <v>1434</v>
      </c>
      <c r="H119" s="157">
        <v>45945</v>
      </c>
      <c r="I119" s="157">
        <v>46203</v>
      </c>
      <c r="J119" s="154" t="s">
        <v>1192</v>
      </c>
      <c r="K119" s="153"/>
    </row>
    <row r="120" spans="1:11" ht="15.75" customHeight="1" x14ac:dyDescent="0.25">
      <c r="A120" s="149" t="s">
        <v>1430</v>
      </c>
      <c r="B120" s="149" t="s">
        <v>1431</v>
      </c>
      <c r="C120" s="150" t="s">
        <v>934</v>
      </c>
      <c r="D120" s="151">
        <f>VLOOKUP(C120,'[1]SAP Contract #s'!A:B,2,FALSE)</f>
        <v>21099</v>
      </c>
      <c r="E120" s="149" t="s">
        <v>1438</v>
      </c>
      <c r="F120" s="149" t="s">
        <v>1190</v>
      </c>
      <c r="G120" s="149" t="s">
        <v>1434</v>
      </c>
      <c r="H120" s="152">
        <v>45987</v>
      </c>
      <c r="I120" s="152">
        <v>46203</v>
      </c>
      <c r="J120" s="149" t="s">
        <v>1192</v>
      </c>
      <c r="K120" s="153"/>
    </row>
    <row r="121" spans="1:11" ht="15.75" customHeight="1" x14ac:dyDescent="0.25">
      <c r="A121" s="154" t="s">
        <v>1430</v>
      </c>
      <c r="B121" s="154" t="s">
        <v>1431</v>
      </c>
      <c r="C121" s="155" t="s">
        <v>556</v>
      </c>
      <c r="D121" s="156">
        <f>VLOOKUP(C121,'[1]SAP Contract #s'!A:B,2,FALSE)</f>
        <v>21381</v>
      </c>
      <c r="E121" s="154" t="s">
        <v>1439</v>
      </c>
      <c r="F121" s="154" t="s">
        <v>1190</v>
      </c>
      <c r="G121" s="154" t="s">
        <v>1434</v>
      </c>
      <c r="H121" s="157">
        <v>45748</v>
      </c>
      <c r="I121" s="157">
        <v>46203</v>
      </c>
      <c r="J121" s="154" t="s">
        <v>1192</v>
      </c>
      <c r="K121" s="153"/>
    </row>
    <row r="122" spans="1:11" ht="15.75" customHeight="1" x14ac:dyDescent="0.25">
      <c r="A122" s="149" t="s">
        <v>1430</v>
      </c>
      <c r="B122" s="149" t="s">
        <v>1431</v>
      </c>
      <c r="C122" s="150" t="s">
        <v>1440</v>
      </c>
      <c r="D122" s="151">
        <f>VLOOKUP(C122,'[1]SAP Contract #s'!A:B,2,FALSE)</f>
        <v>21443</v>
      </c>
      <c r="E122" s="149" t="s">
        <v>1441</v>
      </c>
      <c r="F122" s="149" t="s">
        <v>1190</v>
      </c>
      <c r="G122" s="149" t="s">
        <v>1434</v>
      </c>
      <c r="H122" s="152">
        <v>45827</v>
      </c>
      <c r="I122" s="152">
        <v>46203</v>
      </c>
      <c r="J122" s="149" t="s">
        <v>1192</v>
      </c>
      <c r="K122" s="153"/>
    </row>
    <row r="123" spans="1:11" ht="15.75" customHeight="1" x14ac:dyDescent="0.25">
      <c r="A123" s="154" t="s">
        <v>1430</v>
      </c>
      <c r="B123" s="154" t="s">
        <v>1431</v>
      </c>
      <c r="C123" s="155" t="s">
        <v>1126</v>
      </c>
      <c r="D123" s="156">
        <v>21906</v>
      </c>
      <c r="E123" s="154" t="s">
        <v>1127</v>
      </c>
      <c r="F123" s="154" t="s">
        <v>1190</v>
      </c>
      <c r="G123" s="154" t="s">
        <v>1442</v>
      </c>
      <c r="H123" s="157">
        <v>46076</v>
      </c>
      <c r="I123" s="157">
        <v>46441</v>
      </c>
      <c r="J123" s="154" t="s">
        <v>1192</v>
      </c>
      <c r="K123" s="153"/>
    </row>
    <row r="124" spans="1:11" ht="15.75" customHeight="1" x14ac:dyDescent="0.25">
      <c r="A124" s="149" t="s">
        <v>1443</v>
      </c>
      <c r="B124" s="149" t="s">
        <v>1444</v>
      </c>
      <c r="C124" s="150" t="s">
        <v>751</v>
      </c>
      <c r="D124" s="151">
        <f>VLOOKUP(C124,'[1]SAP Contract #s'!A:B,2,FALSE)</f>
        <v>21075</v>
      </c>
      <c r="E124" s="149" t="s">
        <v>1445</v>
      </c>
      <c r="F124" s="149" t="s">
        <v>1190</v>
      </c>
      <c r="G124" s="149" t="s">
        <v>1446</v>
      </c>
      <c r="H124" s="152">
        <v>45862</v>
      </c>
      <c r="I124" s="152">
        <v>46203</v>
      </c>
      <c r="J124" s="149" t="s">
        <v>1192</v>
      </c>
      <c r="K124" s="153"/>
    </row>
    <row r="125" spans="1:11" ht="15.75" customHeight="1" x14ac:dyDescent="0.25">
      <c r="A125" s="154" t="s">
        <v>1443</v>
      </c>
      <c r="B125" s="154" t="s">
        <v>1444</v>
      </c>
      <c r="C125" s="155" t="s">
        <v>1447</v>
      </c>
      <c r="D125" s="156">
        <f>VLOOKUP(C125,'[1]SAP Contract #s'!A:B,2,FALSE)</f>
        <v>21082</v>
      </c>
      <c r="E125" s="154" t="s">
        <v>1448</v>
      </c>
      <c r="F125" s="154" t="s">
        <v>1190</v>
      </c>
      <c r="G125" s="154" t="s">
        <v>1446</v>
      </c>
      <c r="H125" s="157">
        <v>45862</v>
      </c>
      <c r="I125" s="157">
        <v>46203</v>
      </c>
      <c r="J125" s="154" t="s">
        <v>1192</v>
      </c>
      <c r="K125" s="153"/>
    </row>
    <row r="126" spans="1:11" ht="15.75" customHeight="1" x14ac:dyDescent="0.25">
      <c r="A126" s="149" t="s">
        <v>1443</v>
      </c>
      <c r="B126" s="149" t="s">
        <v>1444</v>
      </c>
      <c r="C126" s="150" t="s">
        <v>1449</v>
      </c>
      <c r="D126" s="151">
        <f>VLOOKUP(C126,'[1]SAP Contract #s'!A:B,2,FALSE)</f>
        <v>21490</v>
      </c>
      <c r="E126" s="149" t="s">
        <v>1450</v>
      </c>
      <c r="F126" s="149" t="s">
        <v>1190</v>
      </c>
      <c r="G126" s="149" t="s">
        <v>1446</v>
      </c>
      <c r="H126" s="152">
        <v>45862</v>
      </c>
      <c r="I126" s="152">
        <v>46203</v>
      </c>
      <c r="J126" s="149" t="s">
        <v>1192</v>
      </c>
      <c r="K126" s="153"/>
    </row>
    <row r="127" spans="1:11" ht="15.75" customHeight="1" x14ac:dyDescent="0.25">
      <c r="A127" s="154" t="s">
        <v>1451</v>
      </c>
      <c r="B127" s="154" t="s">
        <v>1452</v>
      </c>
      <c r="C127" s="155" t="s">
        <v>573</v>
      </c>
      <c r="D127" s="156">
        <f>VLOOKUP(C127,'[1]SAP Contract #s'!A:B,2,FALSE)</f>
        <v>21172</v>
      </c>
      <c r="E127" s="154" t="s">
        <v>1453</v>
      </c>
      <c r="F127" s="154" t="s">
        <v>1190</v>
      </c>
      <c r="G127" s="154" t="s">
        <v>1446</v>
      </c>
      <c r="H127" s="157">
        <v>45809</v>
      </c>
      <c r="I127" s="157">
        <v>46538</v>
      </c>
      <c r="J127" s="154" t="s">
        <v>1219</v>
      </c>
      <c r="K127" s="153"/>
    </row>
    <row r="128" spans="1:11" ht="15.75" customHeight="1" x14ac:dyDescent="0.25">
      <c r="A128" s="149" t="s">
        <v>1451</v>
      </c>
      <c r="B128" s="149" t="s">
        <v>1452</v>
      </c>
      <c r="C128" s="150" t="s">
        <v>470</v>
      </c>
      <c r="D128" s="151">
        <f>VLOOKUP(C128,'[1]SAP Contract #s'!A:B,2,FALSE)</f>
        <v>21174</v>
      </c>
      <c r="E128" s="149" t="s">
        <v>1454</v>
      </c>
      <c r="F128" s="149" t="s">
        <v>1190</v>
      </c>
      <c r="G128" s="149" t="s">
        <v>1446</v>
      </c>
      <c r="H128" s="152">
        <v>44713</v>
      </c>
      <c r="I128" s="152">
        <v>45808</v>
      </c>
      <c r="J128" s="149" t="s">
        <v>1219</v>
      </c>
      <c r="K128" s="153"/>
    </row>
    <row r="129" spans="1:11" ht="15.75" customHeight="1" x14ac:dyDescent="0.25">
      <c r="A129" s="154" t="s">
        <v>1451</v>
      </c>
      <c r="B129" s="154" t="s">
        <v>1452</v>
      </c>
      <c r="C129" s="155" t="s">
        <v>452</v>
      </c>
      <c r="D129" s="156">
        <f>VLOOKUP(C129,'[1]SAP Contract #s'!A:B,2,FALSE)</f>
        <v>21178</v>
      </c>
      <c r="E129" s="154" t="s">
        <v>1455</v>
      </c>
      <c r="F129" s="154" t="s">
        <v>1190</v>
      </c>
      <c r="G129" s="154" t="s">
        <v>1446</v>
      </c>
      <c r="H129" s="157">
        <v>45334</v>
      </c>
      <c r="I129" s="157">
        <v>46387</v>
      </c>
      <c r="J129" s="154" t="s">
        <v>1219</v>
      </c>
      <c r="K129" s="153"/>
    </row>
    <row r="130" spans="1:11" ht="15.75" customHeight="1" x14ac:dyDescent="0.25">
      <c r="A130" s="149" t="s">
        <v>1451</v>
      </c>
      <c r="B130" s="149" t="s">
        <v>1452</v>
      </c>
      <c r="C130" s="150" t="s">
        <v>575</v>
      </c>
      <c r="D130" s="151">
        <f>VLOOKUP(C130,'[1]SAP Contract #s'!A:B,2,FALSE)</f>
        <v>21541</v>
      </c>
      <c r="E130" s="149" t="s">
        <v>1456</v>
      </c>
      <c r="F130" s="149" t="s">
        <v>1190</v>
      </c>
      <c r="G130" s="149" t="s">
        <v>1446</v>
      </c>
      <c r="H130" s="152">
        <v>45809</v>
      </c>
      <c r="I130" s="152">
        <v>46538</v>
      </c>
      <c r="J130" s="149" t="s">
        <v>1219</v>
      </c>
      <c r="K130" s="153"/>
    </row>
    <row r="131" spans="1:11" ht="15.75" customHeight="1" x14ac:dyDescent="0.25">
      <c r="A131" s="154" t="s">
        <v>1451</v>
      </c>
      <c r="B131" s="154" t="s">
        <v>1452</v>
      </c>
      <c r="C131" s="155" t="s">
        <v>453</v>
      </c>
      <c r="D131" s="156">
        <f>VLOOKUP(C131,'[1]SAP Contract #s'!A:B,2,FALSE)</f>
        <v>21583</v>
      </c>
      <c r="E131" s="154" t="s">
        <v>1457</v>
      </c>
      <c r="F131" s="154" t="s">
        <v>1190</v>
      </c>
      <c r="G131" s="154" t="s">
        <v>1446</v>
      </c>
      <c r="H131" s="157">
        <v>44470</v>
      </c>
      <c r="I131" s="157">
        <v>46387</v>
      </c>
      <c r="J131" s="154" t="s">
        <v>1219</v>
      </c>
      <c r="K131" s="153"/>
    </row>
    <row r="132" spans="1:11" ht="15.75" customHeight="1" x14ac:dyDescent="0.25">
      <c r="A132" s="149" t="s">
        <v>1451</v>
      </c>
      <c r="B132" s="149" t="s">
        <v>1452</v>
      </c>
      <c r="C132" s="150" t="s">
        <v>464</v>
      </c>
      <c r="D132" s="151">
        <f>VLOOKUP(C132,'[1]SAP Contract #s'!A:B,2,FALSE)</f>
        <v>21596</v>
      </c>
      <c r="E132" s="149" t="s">
        <v>1458</v>
      </c>
      <c r="F132" s="149" t="s">
        <v>1190</v>
      </c>
      <c r="G132" s="149" t="s">
        <v>1446</v>
      </c>
      <c r="H132" s="152">
        <v>44774</v>
      </c>
      <c r="I132" s="152">
        <v>46387</v>
      </c>
      <c r="J132" s="149" t="s">
        <v>1219</v>
      </c>
      <c r="K132" s="153"/>
    </row>
    <row r="133" spans="1:11" ht="15.75" customHeight="1" x14ac:dyDescent="0.25">
      <c r="A133" s="154" t="s">
        <v>1451</v>
      </c>
      <c r="B133" s="154" t="s">
        <v>1452</v>
      </c>
      <c r="C133" s="155" t="s">
        <v>641</v>
      </c>
      <c r="D133" s="156">
        <f>VLOOKUP(C133,'[1]SAP Contract #s'!A:B,2,FALSE)</f>
        <v>21614</v>
      </c>
      <c r="E133" s="154" t="s">
        <v>1459</v>
      </c>
      <c r="F133" s="154" t="s">
        <v>1190</v>
      </c>
      <c r="G133" s="154" t="s">
        <v>1446</v>
      </c>
      <c r="H133" s="157">
        <v>45852</v>
      </c>
      <c r="I133" s="157">
        <v>46387</v>
      </c>
      <c r="J133" s="154" t="s">
        <v>1219</v>
      </c>
      <c r="K133" s="153"/>
    </row>
    <row r="134" spans="1:11" ht="15.75" customHeight="1" x14ac:dyDescent="0.25">
      <c r="A134" s="149" t="s">
        <v>1451</v>
      </c>
      <c r="B134" s="149" t="s">
        <v>1452</v>
      </c>
      <c r="C134" s="150" t="s">
        <v>467</v>
      </c>
      <c r="D134" s="151">
        <f>VLOOKUP(C134,'[1]SAP Contract #s'!A:B,2,FALSE)</f>
        <v>21620</v>
      </c>
      <c r="E134" s="149" t="s">
        <v>1460</v>
      </c>
      <c r="F134" s="149" t="s">
        <v>1190</v>
      </c>
      <c r="G134" s="149" t="s">
        <v>1446</v>
      </c>
      <c r="H134" s="152">
        <v>45590</v>
      </c>
      <c r="I134" s="152">
        <v>46387</v>
      </c>
      <c r="J134" s="149" t="s">
        <v>1219</v>
      </c>
      <c r="K134" s="153"/>
    </row>
    <row r="135" spans="1:11" ht="15.75" customHeight="1" x14ac:dyDescent="0.25">
      <c r="A135" s="154" t="s">
        <v>1451</v>
      </c>
      <c r="B135" s="154" t="s">
        <v>1452</v>
      </c>
      <c r="C135" s="155" t="s">
        <v>858</v>
      </c>
      <c r="D135" s="156">
        <f>VLOOKUP(C135,'[1]SAP Contract #s'!A:B,2,FALSE)</f>
        <v>21622</v>
      </c>
      <c r="E135" s="154" t="s">
        <v>1461</v>
      </c>
      <c r="F135" s="154" t="s">
        <v>1190</v>
      </c>
      <c r="G135" s="154" t="s">
        <v>1446</v>
      </c>
      <c r="H135" s="157">
        <v>45943</v>
      </c>
      <c r="I135" s="157">
        <v>46387</v>
      </c>
      <c r="J135" s="154" t="s">
        <v>1219</v>
      </c>
      <c r="K135" s="153"/>
    </row>
    <row r="136" spans="1:11" ht="15.75" customHeight="1" x14ac:dyDescent="0.25">
      <c r="A136" s="149" t="s">
        <v>1451</v>
      </c>
      <c r="B136" s="149" t="s">
        <v>1452</v>
      </c>
      <c r="C136" s="150" t="s">
        <v>466</v>
      </c>
      <c r="D136" s="151">
        <f>VLOOKUP(C136,'[1]SAP Contract #s'!A:B,2,FALSE)</f>
        <v>21624</v>
      </c>
      <c r="E136" s="149" t="s">
        <v>1462</v>
      </c>
      <c r="F136" s="149" t="s">
        <v>1190</v>
      </c>
      <c r="G136" s="149" t="s">
        <v>1446</v>
      </c>
      <c r="H136" s="152">
        <v>44470</v>
      </c>
      <c r="I136" s="152">
        <v>46387</v>
      </c>
      <c r="J136" s="149" t="s">
        <v>1219</v>
      </c>
      <c r="K136" s="153"/>
    </row>
    <row r="137" spans="1:11" ht="15.75" customHeight="1" x14ac:dyDescent="0.25">
      <c r="A137" s="154" t="s">
        <v>1451</v>
      </c>
      <c r="B137" s="154" t="s">
        <v>1452</v>
      </c>
      <c r="C137" s="155" t="s">
        <v>465</v>
      </c>
      <c r="D137" s="156">
        <f>VLOOKUP(C137,'[1]SAP Contract #s'!A:B,2,FALSE)</f>
        <v>21681</v>
      </c>
      <c r="E137" s="154" t="s">
        <v>1463</v>
      </c>
      <c r="F137" s="154" t="s">
        <v>1190</v>
      </c>
      <c r="G137" s="154" t="s">
        <v>1446</v>
      </c>
      <c r="H137" s="157">
        <v>44713</v>
      </c>
      <c r="I137" s="157">
        <v>45808</v>
      </c>
      <c r="J137" s="154" t="s">
        <v>1219</v>
      </c>
      <c r="K137" s="153"/>
    </row>
    <row r="138" spans="1:11" ht="15.75" customHeight="1" x14ac:dyDescent="0.25">
      <c r="A138" s="149" t="s">
        <v>1451</v>
      </c>
      <c r="B138" s="149" t="s">
        <v>1452</v>
      </c>
      <c r="C138" s="150" t="s">
        <v>1464</v>
      </c>
      <c r="D138" s="151">
        <v>21895</v>
      </c>
      <c r="E138" s="149" t="s">
        <v>1465</v>
      </c>
      <c r="F138" s="149" t="s">
        <v>1190</v>
      </c>
      <c r="G138" s="149" t="s">
        <v>1446</v>
      </c>
      <c r="H138" s="152">
        <v>46069</v>
      </c>
      <c r="I138" s="152">
        <v>46752</v>
      </c>
      <c r="J138" s="149" t="s">
        <v>1219</v>
      </c>
      <c r="K138" s="153"/>
    </row>
    <row r="139" spans="1:11" ht="15.75" customHeight="1" x14ac:dyDescent="0.25">
      <c r="A139" s="154" t="s">
        <v>1466</v>
      </c>
      <c r="B139" s="154" t="s">
        <v>1467</v>
      </c>
      <c r="C139" s="155" t="s">
        <v>175</v>
      </c>
      <c r="D139" s="156">
        <f>VLOOKUP(C139,'[1]SAP Contract #s'!A:B,2,FALSE)</f>
        <v>21129</v>
      </c>
      <c r="E139" s="154" t="s">
        <v>1468</v>
      </c>
      <c r="F139" s="154" t="s">
        <v>1190</v>
      </c>
      <c r="G139" s="154" t="s">
        <v>1469</v>
      </c>
      <c r="H139" s="157">
        <v>45611</v>
      </c>
      <c r="I139" s="157">
        <v>45989</v>
      </c>
      <c r="J139" s="154" t="s">
        <v>1219</v>
      </c>
      <c r="K139" s="153"/>
    </row>
    <row r="140" spans="1:11" ht="15.75" customHeight="1" x14ac:dyDescent="0.25">
      <c r="A140" s="149" t="s">
        <v>1466</v>
      </c>
      <c r="B140" s="149" t="s">
        <v>1467</v>
      </c>
      <c r="C140" s="150" t="s">
        <v>177</v>
      </c>
      <c r="D140" s="151">
        <f>VLOOKUP(C140,'[1]SAP Contract #s'!A:B,2,FALSE)</f>
        <v>21247</v>
      </c>
      <c r="E140" s="149" t="s">
        <v>1470</v>
      </c>
      <c r="F140" s="149" t="s">
        <v>1190</v>
      </c>
      <c r="G140" s="149" t="s">
        <v>1469</v>
      </c>
      <c r="H140" s="152">
        <v>45630</v>
      </c>
      <c r="I140" s="152">
        <v>46341</v>
      </c>
      <c r="J140" s="149" t="s">
        <v>1219</v>
      </c>
      <c r="K140" s="153"/>
    </row>
    <row r="141" spans="1:11" ht="15.75" customHeight="1" x14ac:dyDescent="0.25">
      <c r="A141" s="154" t="s">
        <v>1466</v>
      </c>
      <c r="B141" s="154" t="s">
        <v>1467</v>
      </c>
      <c r="C141" s="155" t="s">
        <v>51</v>
      </c>
      <c r="D141" s="156">
        <f>VLOOKUP(C141,'[1]SAP Contract #s'!A:B,2,FALSE)</f>
        <v>21595</v>
      </c>
      <c r="E141" s="154" t="s">
        <v>1471</v>
      </c>
      <c r="F141" s="154" t="s">
        <v>1190</v>
      </c>
      <c r="G141" s="154" t="s">
        <v>1469</v>
      </c>
      <c r="H141" s="157">
        <v>44839</v>
      </c>
      <c r="I141" s="157">
        <v>46354</v>
      </c>
      <c r="J141" s="154" t="s">
        <v>1219</v>
      </c>
      <c r="K141" s="153"/>
    </row>
    <row r="142" spans="1:11" ht="15.75" customHeight="1" x14ac:dyDescent="0.25">
      <c r="A142" s="149" t="s">
        <v>1466</v>
      </c>
      <c r="B142" s="149" t="s">
        <v>1467</v>
      </c>
      <c r="C142" s="150" t="s">
        <v>344</v>
      </c>
      <c r="D142" s="151">
        <f>VLOOKUP(C142,'[1]SAP Contract #s'!A:B,2,FALSE)</f>
        <v>21628</v>
      </c>
      <c r="E142" s="149" t="s">
        <v>1472</v>
      </c>
      <c r="F142" s="149" t="s">
        <v>1190</v>
      </c>
      <c r="G142" s="149" t="s">
        <v>1469</v>
      </c>
      <c r="H142" s="152">
        <v>45689</v>
      </c>
      <c r="I142" s="152">
        <v>46341</v>
      </c>
      <c r="J142" s="149" t="s">
        <v>1219</v>
      </c>
      <c r="K142" s="153"/>
    </row>
    <row r="143" spans="1:11" ht="15.75" customHeight="1" x14ac:dyDescent="0.25">
      <c r="A143" s="154" t="s">
        <v>1466</v>
      </c>
      <c r="B143" s="154" t="s">
        <v>1467</v>
      </c>
      <c r="C143" s="155" t="s">
        <v>1473</v>
      </c>
      <c r="D143" s="156">
        <f>VLOOKUP(C143,'[1]SAP Contract #s'!A:B,2,FALSE)</f>
        <v>21635</v>
      </c>
      <c r="E143" s="154" t="s">
        <v>1474</v>
      </c>
      <c r="F143" s="154" t="s">
        <v>1190</v>
      </c>
      <c r="G143" s="154" t="s">
        <v>1469</v>
      </c>
      <c r="H143" s="157">
        <v>45940</v>
      </c>
      <c r="I143" s="157">
        <v>46341</v>
      </c>
      <c r="J143" s="154" t="s">
        <v>1219</v>
      </c>
      <c r="K143" s="153"/>
    </row>
    <row r="144" spans="1:11" ht="15.75" customHeight="1" x14ac:dyDescent="0.25">
      <c r="A144" s="149" t="s">
        <v>1466</v>
      </c>
      <c r="B144" s="149" t="s">
        <v>1467</v>
      </c>
      <c r="C144" s="150" t="s">
        <v>959</v>
      </c>
      <c r="D144" s="151">
        <f>VLOOKUP(C144,'[1]SAP Contract #s'!A:B,2,FALSE)</f>
        <v>21672</v>
      </c>
      <c r="E144" s="149" t="s">
        <v>1475</v>
      </c>
      <c r="F144" s="149" t="s">
        <v>1190</v>
      </c>
      <c r="G144" s="149" t="s">
        <v>1469</v>
      </c>
      <c r="H144" s="152">
        <v>45996</v>
      </c>
      <c r="I144" s="152">
        <v>46691</v>
      </c>
      <c r="J144" s="149" t="s">
        <v>1219</v>
      </c>
      <c r="K144" s="153"/>
    </row>
    <row r="145" spans="1:11" ht="15.75" customHeight="1" x14ac:dyDescent="0.25">
      <c r="A145" s="154" t="s">
        <v>1476</v>
      </c>
      <c r="B145" s="154" t="s">
        <v>1477</v>
      </c>
      <c r="C145" s="155" t="s">
        <v>929</v>
      </c>
      <c r="D145" s="156">
        <f>VLOOKUP(C145,'[1]SAP Contract #s'!A:B,2,FALSE)</f>
        <v>21406</v>
      </c>
      <c r="E145" s="154" t="s">
        <v>1478</v>
      </c>
      <c r="F145" s="154" t="s">
        <v>1190</v>
      </c>
      <c r="G145" s="154" t="s">
        <v>1479</v>
      </c>
      <c r="H145" s="157">
        <v>45925</v>
      </c>
      <c r="I145" s="157">
        <v>46290</v>
      </c>
      <c r="J145" s="154" t="s">
        <v>1219</v>
      </c>
      <c r="K145" s="153"/>
    </row>
    <row r="146" spans="1:11" ht="15.75" customHeight="1" x14ac:dyDescent="0.25">
      <c r="A146" s="149" t="s">
        <v>1480</v>
      </c>
      <c r="B146" s="149" t="s">
        <v>1481</v>
      </c>
      <c r="C146" s="150" t="s">
        <v>903</v>
      </c>
      <c r="D146" s="151">
        <f>VLOOKUP(C146,'[1]SAP Contract #s'!A:B,2,FALSE)</f>
        <v>21558</v>
      </c>
      <c r="E146" s="149" t="s">
        <v>1482</v>
      </c>
      <c r="F146" s="149" t="s">
        <v>1190</v>
      </c>
      <c r="G146" s="149" t="s">
        <v>1483</v>
      </c>
      <c r="H146" s="152">
        <v>45929</v>
      </c>
      <c r="I146" s="152">
        <v>46234</v>
      </c>
      <c r="J146" s="149" t="s">
        <v>1192</v>
      </c>
      <c r="K146" s="153"/>
    </row>
    <row r="147" spans="1:11" ht="15.75" customHeight="1" x14ac:dyDescent="0.25">
      <c r="A147" s="154" t="s">
        <v>1484</v>
      </c>
      <c r="B147" s="154" t="s">
        <v>1485</v>
      </c>
      <c r="C147" s="155" t="s">
        <v>100</v>
      </c>
      <c r="D147" s="156">
        <f>VLOOKUP(C147,'[1]SAP Contract #s'!A:B,2,FALSE)</f>
        <v>21143</v>
      </c>
      <c r="E147" s="154" t="s">
        <v>1486</v>
      </c>
      <c r="F147" s="154" t="s">
        <v>1190</v>
      </c>
      <c r="G147" s="154" t="s">
        <v>1487</v>
      </c>
      <c r="H147" s="157">
        <v>45362</v>
      </c>
      <c r="I147" s="157">
        <v>45961</v>
      </c>
      <c r="J147" s="154" t="s">
        <v>1192</v>
      </c>
      <c r="K147" s="153"/>
    </row>
    <row r="148" spans="1:11" ht="15.75" customHeight="1" x14ac:dyDescent="0.25">
      <c r="A148" s="149" t="s">
        <v>1488</v>
      </c>
      <c r="B148" s="149" t="s">
        <v>1489</v>
      </c>
      <c r="C148" s="150" t="s">
        <v>740</v>
      </c>
      <c r="D148" s="151">
        <f>VLOOKUP(C148,'[1]SAP Contract #s'!A:B,2,FALSE)</f>
        <v>21045</v>
      </c>
      <c r="E148" s="149" t="s">
        <v>1490</v>
      </c>
      <c r="F148" s="149" t="s">
        <v>1190</v>
      </c>
      <c r="G148" s="149" t="s">
        <v>1491</v>
      </c>
      <c r="H148" s="152">
        <v>45852</v>
      </c>
      <c r="I148" s="152">
        <v>45869</v>
      </c>
      <c r="J148" s="149" t="s">
        <v>1192</v>
      </c>
      <c r="K148" s="153"/>
    </row>
    <row r="149" spans="1:11" ht="15.75" customHeight="1" x14ac:dyDescent="0.25">
      <c r="A149" s="154" t="s">
        <v>1488</v>
      </c>
      <c r="B149" s="154" t="s">
        <v>1489</v>
      </c>
      <c r="C149" s="155" t="s">
        <v>798</v>
      </c>
      <c r="D149" s="156">
        <f>VLOOKUP(C149,'[1]SAP Contract #s'!A:B,2,FALSE)</f>
        <v>21454</v>
      </c>
      <c r="E149" s="154" t="s">
        <v>1492</v>
      </c>
      <c r="F149" s="154" t="s">
        <v>1190</v>
      </c>
      <c r="G149" s="154" t="s">
        <v>1491</v>
      </c>
      <c r="H149" s="157">
        <v>45908</v>
      </c>
      <c r="I149" s="157">
        <v>46112</v>
      </c>
      <c r="J149" s="154" t="s">
        <v>1192</v>
      </c>
      <c r="K149" s="153"/>
    </row>
    <row r="150" spans="1:11" ht="15.75" customHeight="1" x14ac:dyDescent="0.25">
      <c r="A150" s="149" t="s">
        <v>1488</v>
      </c>
      <c r="B150" s="149" t="s">
        <v>1489</v>
      </c>
      <c r="C150" s="150" t="s">
        <v>1493</v>
      </c>
      <c r="D150" s="151">
        <f>VLOOKUP(C150,'[1]SAP Contract #s'!A:B,2,FALSE)</f>
        <v>21497</v>
      </c>
      <c r="E150" s="149" t="s">
        <v>1494</v>
      </c>
      <c r="F150" s="149" t="s">
        <v>1190</v>
      </c>
      <c r="G150" s="149" t="s">
        <v>1491</v>
      </c>
      <c r="H150" s="152">
        <v>45789</v>
      </c>
      <c r="I150" s="152">
        <v>46387</v>
      </c>
      <c r="J150" s="149" t="s">
        <v>1192</v>
      </c>
      <c r="K150" s="153"/>
    </row>
    <row r="151" spans="1:11" ht="15.75" customHeight="1" x14ac:dyDescent="0.25">
      <c r="A151" s="154" t="s">
        <v>1488</v>
      </c>
      <c r="B151" s="154" t="s">
        <v>1489</v>
      </c>
      <c r="C151" s="155" t="s">
        <v>487</v>
      </c>
      <c r="D151" s="156">
        <f>VLOOKUP(C151,'[1]SAP Contract #s'!A:B,2,FALSE)</f>
        <v>21576</v>
      </c>
      <c r="E151" s="154" t="s">
        <v>1495</v>
      </c>
      <c r="F151" s="154" t="s">
        <v>1190</v>
      </c>
      <c r="G151" s="154" t="s">
        <v>1491</v>
      </c>
      <c r="H151" s="157">
        <v>45383</v>
      </c>
      <c r="I151" s="157">
        <v>45596</v>
      </c>
      <c r="J151" s="154" t="s">
        <v>1192</v>
      </c>
      <c r="K151" s="153"/>
    </row>
    <row r="152" spans="1:11" ht="15.75" customHeight="1" x14ac:dyDescent="0.25">
      <c r="A152" s="149" t="s">
        <v>1488</v>
      </c>
      <c r="B152" s="149" t="s">
        <v>1489</v>
      </c>
      <c r="C152" s="150" t="s">
        <v>1496</v>
      </c>
      <c r="D152" s="151">
        <f>VLOOKUP(C152,'[1]SAP Contract #s'!A:B,2,FALSE)</f>
        <v>21589</v>
      </c>
      <c r="E152" s="149" t="s">
        <v>1497</v>
      </c>
      <c r="F152" s="149" t="s">
        <v>1190</v>
      </c>
      <c r="G152" s="149" t="s">
        <v>1491</v>
      </c>
      <c r="H152" s="152">
        <v>45299</v>
      </c>
      <c r="I152" s="152">
        <v>46387</v>
      </c>
      <c r="J152" s="149" t="s">
        <v>1219</v>
      </c>
      <c r="K152" s="153"/>
    </row>
    <row r="153" spans="1:11" ht="15.75" customHeight="1" x14ac:dyDescent="0.25">
      <c r="A153" s="154" t="s">
        <v>1488</v>
      </c>
      <c r="B153" s="154" t="s">
        <v>1489</v>
      </c>
      <c r="C153" s="155" t="s">
        <v>469</v>
      </c>
      <c r="D153" s="156">
        <f>VLOOKUP(C153,'[1]SAP Contract #s'!A:B,2,FALSE)</f>
        <v>21676</v>
      </c>
      <c r="E153" s="154" t="s">
        <v>1498</v>
      </c>
      <c r="F153" s="154" t="s">
        <v>1190</v>
      </c>
      <c r="G153" s="154" t="s">
        <v>1491</v>
      </c>
      <c r="H153" s="157">
        <v>44562</v>
      </c>
      <c r="I153" s="157">
        <v>45839</v>
      </c>
      <c r="J153" s="154" t="s">
        <v>1219</v>
      </c>
      <c r="K153" s="153"/>
    </row>
    <row r="154" spans="1:11" ht="15.75" customHeight="1" x14ac:dyDescent="0.25">
      <c r="A154" s="149" t="s">
        <v>1499</v>
      </c>
      <c r="B154" s="149" t="s">
        <v>1500</v>
      </c>
      <c r="C154" s="150" t="s">
        <v>1501</v>
      </c>
      <c r="D154" s="151">
        <f>VLOOKUP(C154,'[1]SAP Contract #s'!A:B,2,FALSE)</f>
        <v>21066</v>
      </c>
      <c r="E154" s="149" t="s">
        <v>1502</v>
      </c>
      <c r="F154" s="149" t="s">
        <v>1190</v>
      </c>
      <c r="G154" s="149" t="s">
        <v>1491</v>
      </c>
      <c r="H154" s="152">
        <v>45966</v>
      </c>
      <c r="I154" s="152">
        <v>46112</v>
      </c>
      <c r="J154" s="149" t="s">
        <v>1192</v>
      </c>
      <c r="K154" s="153"/>
    </row>
    <row r="155" spans="1:11" ht="15.75" customHeight="1" x14ac:dyDescent="0.25">
      <c r="A155" s="154" t="s">
        <v>1499</v>
      </c>
      <c r="B155" s="154" t="s">
        <v>1500</v>
      </c>
      <c r="C155" s="155" t="s">
        <v>1503</v>
      </c>
      <c r="D155" s="156">
        <f>VLOOKUP(C155,'[1]SAP Contract #s'!A:B,2,FALSE)</f>
        <v>21272</v>
      </c>
      <c r="E155" s="154" t="s">
        <v>1504</v>
      </c>
      <c r="F155" s="154" t="s">
        <v>1190</v>
      </c>
      <c r="G155" s="154" t="s">
        <v>1491</v>
      </c>
      <c r="H155" s="157">
        <v>45943</v>
      </c>
      <c r="I155" s="157">
        <v>46112</v>
      </c>
      <c r="J155" s="154" t="s">
        <v>1192</v>
      </c>
      <c r="K155" s="153"/>
    </row>
    <row r="156" spans="1:11" ht="15.75" customHeight="1" x14ac:dyDescent="0.25">
      <c r="A156" s="149" t="s">
        <v>1499</v>
      </c>
      <c r="B156" s="149" t="s">
        <v>1500</v>
      </c>
      <c r="C156" s="150" t="s">
        <v>1015</v>
      </c>
      <c r="D156" s="151">
        <f>VLOOKUP(C156,'[1]SAP Contract #s'!A:B,2,FALSE)</f>
        <v>21276</v>
      </c>
      <c r="E156" s="149" t="s">
        <v>1505</v>
      </c>
      <c r="F156" s="149" t="s">
        <v>1190</v>
      </c>
      <c r="G156" s="149" t="s">
        <v>1491</v>
      </c>
      <c r="H156" s="152">
        <v>46031</v>
      </c>
      <c r="I156" s="152">
        <v>46387</v>
      </c>
      <c r="J156" s="149" t="s">
        <v>1219</v>
      </c>
      <c r="K156" s="153"/>
    </row>
    <row r="157" spans="1:11" ht="15.75" customHeight="1" x14ac:dyDescent="0.25">
      <c r="A157" s="154" t="s">
        <v>1499</v>
      </c>
      <c r="B157" s="154" t="s">
        <v>1500</v>
      </c>
      <c r="C157" s="155" t="s">
        <v>456</v>
      </c>
      <c r="D157" s="156">
        <f>VLOOKUP(C157,'[1]SAP Contract #s'!A:B,2,FALSE)</f>
        <v>21289</v>
      </c>
      <c r="E157" s="154" t="s">
        <v>1506</v>
      </c>
      <c r="F157" s="154" t="s">
        <v>1190</v>
      </c>
      <c r="G157" s="154" t="s">
        <v>1491</v>
      </c>
      <c r="H157" s="157">
        <v>45658</v>
      </c>
      <c r="I157" s="157">
        <v>46387</v>
      </c>
      <c r="J157" s="154" t="s">
        <v>1219</v>
      </c>
      <c r="K157" s="153"/>
    </row>
    <row r="158" spans="1:11" ht="15.75" customHeight="1" x14ac:dyDescent="0.25">
      <c r="A158" s="149" t="s">
        <v>1499</v>
      </c>
      <c r="B158" s="149" t="s">
        <v>1500</v>
      </c>
      <c r="C158" s="150" t="s">
        <v>1507</v>
      </c>
      <c r="D158" s="151">
        <f>VLOOKUP(C158,'[1]SAP Contract #s'!A:B,2,FALSE)</f>
        <v>21399</v>
      </c>
      <c r="E158" s="149" t="s">
        <v>1508</v>
      </c>
      <c r="F158" s="149" t="s">
        <v>1190</v>
      </c>
      <c r="G158" s="149" t="s">
        <v>1491</v>
      </c>
      <c r="H158" s="152">
        <v>45966</v>
      </c>
      <c r="I158" s="152">
        <v>46112</v>
      </c>
      <c r="J158" s="149" t="s">
        <v>1192</v>
      </c>
      <c r="K158" s="153"/>
    </row>
    <row r="159" spans="1:11" ht="15.75" customHeight="1" x14ac:dyDescent="0.25">
      <c r="A159" s="154" t="s">
        <v>1499</v>
      </c>
      <c r="B159" s="154" t="s">
        <v>1500</v>
      </c>
      <c r="C159" s="155" t="s">
        <v>1509</v>
      </c>
      <c r="D159" s="156">
        <f>VLOOKUP(C159,'[1]SAP Contract #s'!A:B,2,FALSE)</f>
        <v>21422</v>
      </c>
      <c r="E159" s="154" t="s">
        <v>1510</v>
      </c>
      <c r="F159" s="154" t="s">
        <v>1190</v>
      </c>
      <c r="G159" s="154" t="s">
        <v>1491</v>
      </c>
      <c r="H159" s="157">
        <v>45966</v>
      </c>
      <c r="I159" s="157">
        <v>46112</v>
      </c>
      <c r="J159" s="154" t="s">
        <v>1192</v>
      </c>
      <c r="K159" s="153"/>
    </row>
    <row r="160" spans="1:11" ht="15.75" customHeight="1" x14ac:dyDescent="0.25">
      <c r="A160" s="149" t="s">
        <v>1499</v>
      </c>
      <c r="B160" s="149" t="s">
        <v>1500</v>
      </c>
      <c r="C160" s="150" t="s">
        <v>1511</v>
      </c>
      <c r="D160" s="151">
        <f>VLOOKUP(C160,'[1]SAP Contract #s'!A:B,2,FALSE)</f>
        <v>21543</v>
      </c>
      <c r="E160" s="149" t="s">
        <v>1512</v>
      </c>
      <c r="F160" s="149" t="s">
        <v>1190</v>
      </c>
      <c r="G160" s="149" t="s">
        <v>1491</v>
      </c>
      <c r="H160" s="152">
        <v>45943</v>
      </c>
      <c r="I160" s="152">
        <v>46112</v>
      </c>
      <c r="J160" s="149" t="s">
        <v>1192</v>
      </c>
      <c r="K160" s="153"/>
    </row>
    <row r="161" spans="1:11" ht="15.75" customHeight="1" x14ac:dyDescent="0.25">
      <c r="A161" s="154" t="s">
        <v>1499</v>
      </c>
      <c r="B161" s="154" t="s">
        <v>1500</v>
      </c>
      <c r="C161" s="155" t="s">
        <v>1513</v>
      </c>
      <c r="D161" s="156">
        <v>21849</v>
      </c>
      <c r="E161" s="154" t="s">
        <v>1514</v>
      </c>
      <c r="F161" s="154" t="s">
        <v>1190</v>
      </c>
      <c r="G161" s="154" t="s">
        <v>1515</v>
      </c>
      <c r="H161" s="157">
        <v>46069</v>
      </c>
      <c r="I161" s="157">
        <v>46264</v>
      </c>
      <c r="J161" s="154" t="s">
        <v>1192</v>
      </c>
      <c r="K161" s="153"/>
    </row>
    <row r="162" spans="1:11" ht="15.75" customHeight="1" x14ac:dyDescent="0.25">
      <c r="A162" s="149" t="s">
        <v>1516</v>
      </c>
      <c r="B162" s="149" t="s">
        <v>1517</v>
      </c>
      <c r="C162" s="150" t="s">
        <v>30</v>
      </c>
      <c r="D162" s="151">
        <f>VLOOKUP(C162,'[1]SAP Contract #s'!A:B,2,FALSE)</f>
        <v>21286</v>
      </c>
      <c r="E162" s="149" t="s">
        <v>1518</v>
      </c>
      <c r="F162" s="149" t="s">
        <v>1190</v>
      </c>
      <c r="G162" s="149" t="s">
        <v>1491</v>
      </c>
      <c r="H162" s="152">
        <v>44562</v>
      </c>
      <c r="I162" s="152">
        <v>45657</v>
      </c>
      <c r="J162" s="149" t="s">
        <v>1219</v>
      </c>
      <c r="K162" s="153"/>
    </row>
    <row r="163" spans="1:11" ht="15.75" customHeight="1" x14ac:dyDescent="0.25">
      <c r="A163" s="154" t="s">
        <v>1519</v>
      </c>
      <c r="B163" s="154" t="s">
        <v>1520</v>
      </c>
      <c r="C163" s="155" t="s">
        <v>39</v>
      </c>
      <c r="D163" s="156">
        <f>VLOOKUP(C163,'[1]SAP Contract #s'!A:B,2,FALSE)</f>
        <v>21651</v>
      </c>
      <c r="E163" s="154" t="s">
        <v>1521</v>
      </c>
      <c r="F163" s="154" t="s">
        <v>1190</v>
      </c>
      <c r="G163" s="154" t="s">
        <v>1491</v>
      </c>
      <c r="H163" s="157">
        <v>44835</v>
      </c>
      <c r="I163" s="157">
        <v>46022</v>
      </c>
      <c r="J163" s="154" t="s">
        <v>1219</v>
      </c>
      <c r="K163" s="153"/>
    </row>
    <row r="164" spans="1:11" ht="15.75" customHeight="1" x14ac:dyDescent="0.25">
      <c r="A164" s="149" t="s">
        <v>1522</v>
      </c>
      <c r="B164" s="149" t="s">
        <v>1523</v>
      </c>
      <c r="C164" s="150" t="s">
        <v>34</v>
      </c>
      <c r="D164" s="151">
        <f>VLOOKUP(C164,'[1]SAP Contract #s'!A:B,2,FALSE)</f>
        <v>21309</v>
      </c>
      <c r="E164" s="149" t="s">
        <v>1524</v>
      </c>
      <c r="F164" s="149" t="s">
        <v>1190</v>
      </c>
      <c r="G164" s="149" t="s">
        <v>1491</v>
      </c>
      <c r="H164" s="152">
        <v>44927</v>
      </c>
      <c r="I164" s="152">
        <v>46022</v>
      </c>
      <c r="J164" s="149" t="s">
        <v>1219</v>
      </c>
      <c r="K164" s="153"/>
    </row>
    <row r="165" spans="1:11" ht="15.75" customHeight="1" x14ac:dyDescent="0.25">
      <c r="A165" s="154" t="s">
        <v>1525</v>
      </c>
      <c r="B165" s="154" t="s">
        <v>1526</v>
      </c>
      <c r="C165" s="155" t="s">
        <v>35</v>
      </c>
      <c r="D165" s="156">
        <f>VLOOKUP(C165,'[1]SAP Contract #s'!A:B,2,FALSE)</f>
        <v>21310</v>
      </c>
      <c r="E165" s="154" t="s">
        <v>1527</v>
      </c>
      <c r="F165" s="154" t="s">
        <v>1190</v>
      </c>
      <c r="G165" s="154" t="s">
        <v>1491</v>
      </c>
      <c r="H165" s="157">
        <v>44927</v>
      </c>
      <c r="I165" s="157">
        <v>46022</v>
      </c>
      <c r="J165" s="154" t="s">
        <v>1219</v>
      </c>
      <c r="K165" s="153"/>
    </row>
    <row r="166" spans="1:11" ht="15.75" customHeight="1" x14ac:dyDescent="0.25">
      <c r="A166" s="149" t="s">
        <v>1528</v>
      </c>
      <c r="B166" s="149" t="s">
        <v>1529</v>
      </c>
      <c r="C166" s="150" t="s">
        <v>33</v>
      </c>
      <c r="D166" s="151">
        <f>VLOOKUP(C166,'[1]SAP Contract #s'!A:B,2,FALSE)</f>
        <v>21302</v>
      </c>
      <c r="E166" s="149" t="s">
        <v>1530</v>
      </c>
      <c r="F166" s="149" t="s">
        <v>1190</v>
      </c>
      <c r="G166" s="149" t="s">
        <v>1491</v>
      </c>
      <c r="H166" s="152">
        <v>44904</v>
      </c>
      <c r="I166" s="152">
        <v>46000</v>
      </c>
      <c r="J166" s="149" t="s">
        <v>1219</v>
      </c>
      <c r="K166" s="153"/>
    </row>
    <row r="167" spans="1:11" ht="15.75" customHeight="1" x14ac:dyDescent="0.25">
      <c r="A167" s="154" t="s">
        <v>1528</v>
      </c>
      <c r="B167" s="154" t="s">
        <v>1529</v>
      </c>
      <c r="C167" s="155" t="s">
        <v>40</v>
      </c>
      <c r="D167" s="156">
        <f>VLOOKUP(C167,'[1]SAP Contract #s'!A:B,2,FALSE)</f>
        <v>21311</v>
      </c>
      <c r="E167" s="154" t="s">
        <v>1531</v>
      </c>
      <c r="F167" s="154" t="s">
        <v>1190</v>
      </c>
      <c r="G167" s="154" t="s">
        <v>1491</v>
      </c>
      <c r="H167" s="157">
        <v>44904</v>
      </c>
      <c r="I167" s="157">
        <v>46000</v>
      </c>
      <c r="J167" s="154" t="s">
        <v>1219</v>
      </c>
      <c r="K167" s="153"/>
    </row>
    <row r="168" spans="1:11" ht="15.75" customHeight="1" x14ac:dyDescent="0.25">
      <c r="A168" s="149" t="s">
        <v>1532</v>
      </c>
      <c r="B168" s="149" t="s">
        <v>1533</v>
      </c>
      <c r="C168" s="150" t="s">
        <v>668</v>
      </c>
      <c r="D168" s="151">
        <f>VLOOKUP(C168,'[1]SAP Contract #s'!A:B,2,FALSE)</f>
        <v>21640</v>
      </c>
      <c r="E168" s="149" t="s">
        <v>1534</v>
      </c>
      <c r="F168" s="149" t="s">
        <v>1190</v>
      </c>
      <c r="G168" s="149" t="s">
        <v>1491</v>
      </c>
      <c r="H168" s="152">
        <v>45658</v>
      </c>
      <c r="I168" s="152">
        <v>46752</v>
      </c>
      <c r="J168" s="149" t="s">
        <v>1219</v>
      </c>
      <c r="K168" s="153"/>
    </row>
    <row r="169" spans="1:11" ht="15.75" customHeight="1" x14ac:dyDescent="0.25">
      <c r="A169" s="154" t="s">
        <v>1532</v>
      </c>
      <c r="B169" s="154" t="s">
        <v>1533</v>
      </c>
      <c r="C169" s="155" t="s">
        <v>185</v>
      </c>
      <c r="D169" s="156">
        <f>VLOOKUP(C169,'[1]SAP Contract #s'!A:B,2,FALSE)</f>
        <v>21641</v>
      </c>
      <c r="E169" s="154" t="s">
        <v>1535</v>
      </c>
      <c r="F169" s="154" t="s">
        <v>1190</v>
      </c>
      <c r="G169" s="154" t="s">
        <v>1491</v>
      </c>
      <c r="H169" s="157">
        <v>45658</v>
      </c>
      <c r="I169" s="157">
        <v>46752</v>
      </c>
      <c r="J169" s="154" t="s">
        <v>1219</v>
      </c>
      <c r="K169" s="153"/>
    </row>
    <row r="170" spans="1:11" ht="15.75" customHeight="1" x14ac:dyDescent="0.25">
      <c r="A170" s="149" t="s">
        <v>1536</v>
      </c>
      <c r="B170" s="149" t="s">
        <v>1537</v>
      </c>
      <c r="C170" s="150" t="s">
        <v>989</v>
      </c>
      <c r="D170" s="151">
        <f>VLOOKUP(C170,'[1]SAP Contract #s'!A:B,2,FALSE)</f>
        <v>21300</v>
      </c>
      <c r="E170" s="149" t="s">
        <v>1538</v>
      </c>
      <c r="F170" s="149" t="s">
        <v>1190</v>
      </c>
      <c r="G170" s="149" t="s">
        <v>1491</v>
      </c>
      <c r="H170" s="152">
        <v>46023</v>
      </c>
      <c r="I170" s="152">
        <v>47118</v>
      </c>
      <c r="J170" s="149" t="s">
        <v>1219</v>
      </c>
      <c r="K170" s="153"/>
    </row>
    <row r="171" spans="1:11" ht="15.75" customHeight="1" x14ac:dyDescent="0.25">
      <c r="A171" s="154" t="s">
        <v>1539</v>
      </c>
      <c r="B171" s="154" t="s">
        <v>1540</v>
      </c>
      <c r="C171" s="155" t="s">
        <v>564</v>
      </c>
      <c r="D171" s="156">
        <f>VLOOKUP(C171,'[1]SAP Contract #s'!A:B,2,FALSE)</f>
        <v>21677</v>
      </c>
      <c r="E171" s="154" t="s">
        <v>1541</v>
      </c>
      <c r="F171" s="154" t="s">
        <v>1190</v>
      </c>
      <c r="G171" s="154" t="s">
        <v>1491</v>
      </c>
      <c r="H171" s="157">
        <v>45748</v>
      </c>
      <c r="I171" s="157">
        <v>46752</v>
      </c>
      <c r="J171" s="154" t="s">
        <v>1219</v>
      </c>
      <c r="K171" s="153"/>
    </row>
    <row r="172" spans="1:11" ht="15.75" customHeight="1" x14ac:dyDescent="0.25">
      <c r="A172" s="149" t="s">
        <v>1542</v>
      </c>
      <c r="B172" s="149" t="s">
        <v>1543</v>
      </c>
      <c r="C172" s="150" t="s">
        <v>990</v>
      </c>
      <c r="D172" s="151">
        <f>VLOOKUP(C172,'[1]SAP Contract #s'!A:B,2,FALSE)</f>
        <v>21666</v>
      </c>
      <c r="E172" s="149" t="s">
        <v>1544</v>
      </c>
      <c r="F172" s="149" t="s">
        <v>1190</v>
      </c>
      <c r="G172" s="149" t="s">
        <v>1491</v>
      </c>
      <c r="H172" s="152">
        <v>46023</v>
      </c>
      <c r="I172" s="152">
        <v>47118</v>
      </c>
      <c r="J172" s="149" t="s">
        <v>1219</v>
      </c>
      <c r="K172" s="153"/>
    </row>
    <row r="173" spans="1:11" ht="15.75" customHeight="1" x14ac:dyDescent="0.25">
      <c r="A173" s="154" t="s">
        <v>1545</v>
      </c>
      <c r="B173" s="154" t="s">
        <v>1546</v>
      </c>
      <c r="C173" s="155" t="s">
        <v>1108</v>
      </c>
      <c r="D173" s="156">
        <f>VLOOKUP(C173,'[1]SAP Contract #s'!A:B,2,FALSE)</f>
        <v>21642</v>
      </c>
      <c r="E173" s="154" t="s">
        <v>1547</v>
      </c>
      <c r="F173" s="154" t="s">
        <v>1190</v>
      </c>
      <c r="G173" s="154" t="s">
        <v>1491</v>
      </c>
      <c r="H173" s="157">
        <v>46023</v>
      </c>
      <c r="I173" s="157">
        <v>47118</v>
      </c>
      <c r="J173" s="154" t="s">
        <v>1219</v>
      </c>
      <c r="K173" s="153"/>
    </row>
    <row r="174" spans="1:11" ht="15.75" customHeight="1" x14ac:dyDescent="0.25">
      <c r="A174" s="149" t="s">
        <v>1548</v>
      </c>
      <c r="B174" s="149" t="s">
        <v>1549</v>
      </c>
      <c r="C174" s="150" t="s">
        <v>1028</v>
      </c>
      <c r="D174" s="151">
        <f>VLOOKUP(C174,'[1]SAP Contract #s'!A:B,2,FALSE)</f>
        <v>21301</v>
      </c>
      <c r="E174" s="149" t="s">
        <v>1550</v>
      </c>
      <c r="F174" s="149" t="s">
        <v>1190</v>
      </c>
      <c r="G174" s="149" t="s">
        <v>1491</v>
      </c>
      <c r="H174" s="152">
        <v>46023</v>
      </c>
      <c r="I174" s="152">
        <v>47118</v>
      </c>
      <c r="J174" s="149" t="s">
        <v>1219</v>
      </c>
      <c r="K174" s="153"/>
    </row>
    <row r="175" spans="1:11" ht="15.75" customHeight="1" x14ac:dyDescent="0.25">
      <c r="A175" s="154" t="s">
        <v>1551</v>
      </c>
      <c r="B175" s="154" t="s">
        <v>1552</v>
      </c>
      <c r="C175" s="155" t="s">
        <v>1553</v>
      </c>
      <c r="D175" s="156">
        <f>VLOOKUP(C175,'[1]SAP Contract #s'!A:B,2,FALSE)</f>
        <v>21046</v>
      </c>
      <c r="E175" s="154" t="s">
        <v>1554</v>
      </c>
      <c r="F175" s="154" t="s">
        <v>1190</v>
      </c>
      <c r="G175" s="154" t="s">
        <v>1555</v>
      </c>
      <c r="H175" s="157">
        <v>45894</v>
      </c>
      <c r="I175" s="157">
        <v>46112</v>
      </c>
      <c r="J175" s="154" t="s">
        <v>1192</v>
      </c>
      <c r="K175" s="153"/>
    </row>
    <row r="176" spans="1:11" ht="15.75" customHeight="1" x14ac:dyDescent="0.25">
      <c r="A176" s="149" t="s">
        <v>1551</v>
      </c>
      <c r="B176" s="149" t="s">
        <v>1552</v>
      </c>
      <c r="C176" s="150" t="s">
        <v>642</v>
      </c>
      <c r="D176" s="151">
        <f>VLOOKUP(C176,'[1]SAP Contract #s'!A:B,2,FALSE)</f>
        <v>21281</v>
      </c>
      <c r="E176" s="149" t="s">
        <v>1556</v>
      </c>
      <c r="F176" s="149" t="s">
        <v>1190</v>
      </c>
      <c r="G176" s="149" t="s">
        <v>1555</v>
      </c>
      <c r="H176" s="152">
        <v>45849</v>
      </c>
      <c r="I176" s="152">
        <v>45852</v>
      </c>
      <c r="J176" s="149" t="s">
        <v>1192</v>
      </c>
      <c r="K176" s="153"/>
    </row>
    <row r="177" spans="1:11" ht="15.75" customHeight="1" x14ac:dyDescent="0.25">
      <c r="A177" s="154" t="s">
        <v>1557</v>
      </c>
      <c r="B177" s="154" t="s">
        <v>1558</v>
      </c>
      <c r="C177" s="155" t="s">
        <v>1559</v>
      </c>
      <c r="D177" s="156">
        <f>VLOOKUP(C177,'[1]SAP Contract #s'!A:B,2,FALSE)</f>
        <v>21044</v>
      </c>
      <c r="E177" s="154" t="s">
        <v>1560</v>
      </c>
      <c r="F177" s="154" t="s">
        <v>1190</v>
      </c>
      <c r="G177" s="154" t="s">
        <v>1561</v>
      </c>
      <c r="H177" s="157">
        <v>46054</v>
      </c>
      <c r="I177" s="157">
        <v>46204</v>
      </c>
      <c r="J177" s="154" t="s">
        <v>1219</v>
      </c>
      <c r="K177" s="153"/>
    </row>
    <row r="178" spans="1:11" ht="15.75" customHeight="1" x14ac:dyDescent="0.25">
      <c r="A178" s="149" t="s">
        <v>1557</v>
      </c>
      <c r="B178" s="149" t="s">
        <v>1558</v>
      </c>
      <c r="C178" s="150" t="s">
        <v>1562</v>
      </c>
      <c r="D178" s="151">
        <f>VLOOKUP(C178,'[1]SAP Contract #s'!A:B,2,FALSE)</f>
        <v>21308</v>
      </c>
      <c r="E178" s="149" t="s">
        <v>1563</v>
      </c>
      <c r="F178" s="149" t="s">
        <v>1190</v>
      </c>
      <c r="G178" s="149" t="s">
        <v>1561</v>
      </c>
      <c r="H178" s="152">
        <v>46054</v>
      </c>
      <c r="I178" s="152">
        <v>46203</v>
      </c>
      <c r="J178" s="149" t="s">
        <v>1219</v>
      </c>
      <c r="K178" s="153"/>
    </row>
    <row r="179" spans="1:11" ht="15.75" customHeight="1" x14ac:dyDescent="0.25">
      <c r="A179" s="154" t="s">
        <v>1557</v>
      </c>
      <c r="B179" s="154" t="s">
        <v>1558</v>
      </c>
      <c r="C179" s="155" t="s">
        <v>677</v>
      </c>
      <c r="D179" s="156">
        <f>VLOOKUP(C179,'[1]SAP Contract #s'!A:B,2,FALSE)</f>
        <v>21424</v>
      </c>
      <c r="E179" s="154" t="s">
        <v>1561</v>
      </c>
      <c r="F179" s="154" t="s">
        <v>1190</v>
      </c>
      <c r="G179" s="154" t="s">
        <v>1561</v>
      </c>
      <c r="H179" s="157">
        <v>45783</v>
      </c>
      <c r="I179" s="157">
        <v>46513</v>
      </c>
      <c r="J179" s="154" t="s">
        <v>1219</v>
      </c>
      <c r="K179" s="153"/>
    </row>
    <row r="180" spans="1:11" ht="15.75" customHeight="1" x14ac:dyDescent="0.25">
      <c r="A180" s="149" t="s">
        <v>1557</v>
      </c>
      <c r="B180" s="149" t="s">
        <v>1558</v>
      </c>
      <c r="C180" s="150" t="s">
        <v>1564</v>
      </c>
      <c r="D180" s="151">
        <f>VLOOKUP(C180,'[1]SAP Contract #s'!A:B,2,FALSE)</f>
        <v>21673</v>
      </c>
      <c r="E180" s="149" t="s">
        <v>1565</v>
      </c>
      <c r="F180" s="149" t="s">
        <v>1190</v>
      </c>
      <c r="G180" s="149" t="s">
        <v>1561</v>
      </c>
      <c r="H180" s="152">
        <v>46054</v>
      </c>
      <c r="I180" s="152">
        <v>46387</v>
      </c>
      <c r="J180" s="149" t="s">
        <v>1192</v>
      </c>
      <c r="K180" s="153"/>
    </row>
    <row r="181" spans="1:11" ht="15.75" customHeight="1" x14ac:dyDescent="0.25">
      <c r="A181" s="154" t="s">
        <v>1557</v>
      </c>
      <c r="B181" s="154" t="s">
        <v>1558</v>
      </c>
      <c r="C181" s="155" t="s">
        <v>1566</v>
      </c>
      <c r="D181" s="156">
        <f>VLOOKUP(C181,'[1]SAP Contract #s'!A:B,2,FALSE)</f>
        <v>21674</v>
      </c>
      <c r="E181" s="154" t="s">
        <v>1567</v>
      </c>
      <c r="F181" s="154" t="s">
        <v>1190</v>
      </c>
      <c r="G181" s="154" t="s">
        <v>1561</v>
      </c>
      <c r="H181" s="157">
        <v>46054</v>
      </c>
      <c r="I181" s="157">
        <v>46204</v>
      </c>
      <c r="J181" s="154" t="s">
        <v>1219</v>
      </c>
      <c r="K181" s="153"/>
    </row>
    <row r="182" spans="1:11" ht="15.75" customHeight="1" x14ac:dyDescent="0.25">
      <c r="A182" s="149" t="s">
        <v>1568</v>
      </c>
      <c r="B182" s="149" t="s">
        <v>1569</v>
      </c>
      <c r="C182" s="150" t="s">
        <v>1103</v>
      </c>
      <c r="D182" s="151">
        <f>VLOOKUP(C182,'[1]SAP Contract #s'!A:B,2,FALSE)</f>
        <v>21220</v>
      </c>
      <c r="E182" s="149" t="s">
        <v>1570</v>
      </c>
      <c r="F182" s="149" t="s">
        <v>1190</v>
      </c>
      <c r="G182" s="149" t="s">
        <v>1571</v>
      </c>
      <c r="H182" s="152">
        <v>46034</v>
      </c>
      <c r="I182" s="152">
        <v>46112</v>
      </c>
      <c r="J182" s="149" t="s">
        <v>1192</v>
      </c>
      <c r="K182" s="153"/>
    </row>
    <row r="183" spans="1:11" ht="15.75" customHeight="1" x14ac:dyDescent="0.25">
      <c r="A183" s="154" t="s">
        <v>1568</v>
      </c>
      <c r="B183" s="154" t="s">
        <v>1569</v>
      </c>
      <c r="C183" s="155" t="s">
        <v>902</v>
      </c>
      <c r="D183" s="156">
        <f>VLOOKUP(C183,'[1]SAP Contract #s'!A:B,2,FALSE)</f>
        <v>21501</v>
      </c>
      <c r="E183" s="154" t="s">
        <v>1572</v>
      </c>
      <c r="F183" s="154" t="s">
        <v>1190</v>
      </c>
      <c r="G183" s="154" t="s">
        <v>1571</v>
      </c>
      <c r="H183" s="157">
        <v>45959</v>
      </c>
      <c r="I183" s="157">
        <v>46080</v>
      </c>
      <c r="J183" s="154" t="s">
        <v>1192</v>
      </c>
      <c r="K183" s="153"/>
    </row>
    <row r="184" spans="1:11" ht="15.75" customHeight="1" x14ac:dyDescent="0.25">
      <c r="A184" s="149" t="s">
        <v>1568</v>
      </c>
      <c r="B184" s="149" t="s">
        <v>1569</v>
      </c>
      <c r="C184" s="150" t="s">
        <v>1110</v>
      </c>
      <c r="D184" s="151">
        <v>21920</v>
      </c>
      <c r="E184" s="149" t="s">
        <v>1573</v>
      </c>
      <c r="F184" s="149" t="s">
        <v>1190</v>
      </c>
      <c r="G184" s="149" t="s">
        <v>1574</v>
      </c>
      <c r="H184" s="152">
        <v>46062</v>
      </c>
      <c r="I184" s="152">
        <v>46203</v>
      </c>
      <c r="J184" s="149" t="s">
        <v>1192</v>
      </c>
      <c r="K184" s="153"/>
    </row>
    <row r="185" spans="1:11" ht="15.75" customHeight="1" x14ac:dyDescent="0.25">
      <c r="A185" s="154" t="s">
        <v>1568</v>
      </c>
      <c r="B185" s="154" t="s">
        <v>1569</v>
      </c>
      <c r="C185" s="155" t="s">
        <v>1112</v>
      </c>
      <c r="D185" s="156">
        <v>21921</v>
      </c>
      <c r="E185" s="154" t="s">
        <v>1575</v>
      </c>
      <c r="F185" s="154" t="s">
        <v>1190</v>
      </c>
      <c r="G185" s="154" t="s">
        <v>1574</v>
      </c>
      <c r="H185" s="157">
        <v>46062</v>
      </c>
      <c r="I185" s="157">
        <v>46203</v>
      </c>
      <c r="J185" s="154" t="s">
        <v>1192</v>
      </c>
      <c r="K185" s="153"/>
    </row>
    <row r="186" spans="1:11" ht="15.75" customHeight="1" x14ac:dyDescent="0.25">
      <c r="A186" s="149" t="s">
        <v>1576</v>
      </c>
      <c r="B186" s="149" t="s">
        <v>1577</v>
      </c>
      <c r="C186" s="150" t="s">
        <v>43</v>
      </c>
      <c r="D186" s="151">
        <f>VLOOKUP(C186,'[1]SAP Contract #s'!A:B,2,FALSE)</f>
        <v>21604</v>
      </c>
      <c r="E186" s="149" t="s">
        <v>1578</v>
      </c>
      <c r="F186" s="149" t="s">
        <v>1190</v>
      </c>
      <c r="G186" s="149" t="s">
        <v>1579</v>
      </c>
      <c r="H186" s="152">
        <v>42370</v>
      </c>
      <c r="I186" s="152">
        <v>46022</v>
      </c>
      <c r="J186" s="149" t="s">
        <v>1219</v>
      </c>
      <c r="K186" s="153"/>
    </row>
    <row r="187" spans="1:11" ht="15.75" customHeight="1" x14ac:dyDescent="0.25">
      <c r="A187" s="154" t="s">
        <v>1580</v>
      </c>
      <c r="B187" s="154" t="s">
        <v>1581</v>
      </c>
      <c r="C187" s="155" t="s">
        <v>941</v>
      </c>
      <c r="D187" s="156">
        <f>VLOOKUP(C187,'[1]SAP Contract #s'!A:B,2,FALSE)</f>
        <v>21306</v>
      </c>
      <c r="E187" s="154" t="s">
        <v>1582</v>
      </c>
      <c r="F187" s="154" t="s">
        <v>1190</v>
      </c>
      <c r="G187" s="154" t="s">
        <v>1583</v>
      </c>
      <c r="H187" s="157">
        <v>45862</v>
      </c>
      <c r="I187" s="157">
        <v>46116</v>
      </c>
      <c r="J187" s="154" t="s">
        <v>1202</v>
      </c>
      <c r="K187" s="153"/>
    </row>
    <row r="188" spans="1:11" ht="15.75" customHeight="1" x14ac:dyDescent="0.25">
      <c r="A188" s="149" t="s">
        <v>1584</v>
      </c>
      <c r="B188" s="149" t="s">
        <v>1585</v>
      </c>
      <c r="C188" s="150" t="s">
        <v>407</v>
      </c>
      <c r="D188" s="151">
        <f>VLOOKUP(C188,'[1]SAP Contract #s'!A:B,2,FALSE)</f>
        <v>21521</v>
      </c>
      <c r="E188" s="149" t="s">
        <v>1586</v>
      </c>
      <c r="F188" s="149" t="s">
        <v>1190</v>
      </c>
      <c r="G188" s="149" t="s">
        <v>1587</v>
      </c>
      <c r="H188" s="152">
        <v>45645</v>
      </c>
      <c r="I188" s="152">
        <v>45657</v>
      </c>
      <c r="J188" s="149" t="s">
        <v>1192</v>
      </c>
      <c r="K188" s="153"/>
    </row>
    <row r="189" spans="1:11" ht="15.75" customHeight="1" x14ac:dyDescent="0.25">
      <c r="A189" s="154" t="s">
        <v>1588</v>
      </c>
      <c r="B189" s="154" t="s">
        <v>1589</v>
      </c>
      <c r="C189" s="155" t="s">
        <v>732</v>
      </c>
      <c r="D189" s="156">
        <f>VLOOKUP(C189,'[1]SAP Contract #s'!A:B,2,FALSE)</f>
        <v>21054</v>
      </c>
      <c r="E189" s="154" t="s">
        <v>1590</v>
      </c>
      <c r="F189" s="154" t="s">
        <v>1190</v>
      </c>
      <c r="G189" s="154" t="s">
        <v>1591</v>
      </c>
      <c r="H189" s="157">
        <v>45865</v>
      </c>
      <c r="I189" s="157">
        <v>46387</v>
      </c>
      <c r="J189" s="154" t="s">
        <v>1192</v>
      </c>
      <c r="K189" s="153"/>
    </row>
    <row r="190" spans="1:11" ht="15.75" customHeight="1" x14ac:dyDescent="0.25">
      <c r="A190" s="149" t="s">
        <v>1588</v>
      </c>
      <c r="B190" s="149" t="s">
        <v>1589</v>
      </c>
      <c r="C190" s="150" t="s">
        <v>733</v>
      </c>
      <c r="D190" s="151">
        <f>VLOOKUP(C190,'[1]SAP Contract #s'!A:B,2,FALSE)</f>
        <v>21069</v>
      </c>
      <c r="E190" s="149" t="s">
        <v>1592</v>
      </c>
      <c r="F190" s="149" t="s">
        <v>1190</v>
      </c>
      <c r="G190" s="149" t="s">
        <v>1591</v>
      </c>
      <c r="H190" s="152">
        <v>45865</v>
      </c>
      <c r="I190" s="152">
        <v>46387</v>
      </c>
      <c r="J190" s="149" t="s">
        <v>1192</v>
      </c>
      <c r="K190" s="153"/>
    </row>
    <row r="191" spans="1:11" ht="15.75" customHeight="1" x14ac:dyDescent="0.25">
      <c r="A191" s="154" t="s">
        <v>1588</v>
      </c>
      <c r="B191" s="154" t="s">
        <v>1589</v>
      </c>
      <c r="C191" s="155" t="s">
        <v>134</v>
      </c>
      <c r="D191" s="156">
        <f>VLOOKUP(C191,'[1]SAP Contract #s'!A:B,2,FALSE)</f>
        <v>21115</v>
      </c>
      <c r="E191" s="154" t="s">
        <v>1593</v>
      </c>
      <c r="F191" s="154" t="s">
        <v>1190</v>
      </c>
      <c r="G191" s="154" t="s">
        <v>1591</v>
      </c>
      <c r="H191" s="157">
        <v>45513</v>
      </c>
      <c r="I191" s="157">
        <v>46568</v>
      </c>
      <c r="J191" s="154" t="s">
        <v>1219</v>
      </c>
      <c r="K191" s="153"/>
    </row>
    <row r="192" spans="1:11" ht="15.75" customHeight="1" x14ac:dyDescent="0.25">
      <c r="A192" s="149" t="s">
        <v>1588</v>
      </c>
      <c r="B192" s="149" t="s">
        <v>1589</v>
      </c>
      <c r="C192" s="150" t="s">
        <v>176</v>
      </c>
      <c r="D192" s="151">
        <f>VLOOKUP(C192,'[1]SAP Contract #s'!A:B,2,FALSE)</f>
        <v>21123</v>
      </c>
      <c r="E192" s="149" t="s">
        <v>1594</v>
      </c>
      <c r="F192" s="149" t="s">
        <v>1190</v>
      </c>
      <c r="G192" s="149" t="s">
        <v>1591</v>
      </c>
      <c r="H192" s="152">
        <v>45649</v>
      </c>
      <c r="I192" s="152">
        <v>46022</v>
      </c>
      <c r="J192" s="149" t="s">
        <v>1192</v>
      </c>
      <c r="K192" s="153"/>
    </row>
    <row r="193" spans="1:11" ht="15.75" customHeight="1" x14ac:dyDescent="0.25">
      <c r="A193" s="154" t="s">
        <v>1588</v>
      </c>
      <c r="B193" s="154" t="s">
        <v>1589</v>
      </c>
      <c r="C193" s="155" t="s">
        <v>723</v>
      </c>
      <c r="D193" s="156">
        <f>VLOOKUP(C193,'[1]SAP Contract #s'!A:B,2,FALSE)</f>
        <v>21124</v>
      </c>
      <c r="E193" s="154" t="s">
        <v>1595</v>
      </c>
      <c r="F193" s="154" t="s">
        <v>1190</v>
      </c>
      <c r="G193" s="154" t="s">
        <v>1591</v>
      </c>
      <c r="H193" s="157">
        <v>45865</v>
      </c>
      <c r="I193" s="157">
        <v>46387</v>
      </c>
      <c r="J193" s="154" t="s">
        <v>1192</v>
      </c>
      <c r="K193" s="153"/>
    </row>
    <row r="194" spans="1:11" ht="15.75" customHeight="1" x14ac:dyDescent="0.25">
      <c r="A194" s="149" t="s">
        <v>1588</v>
      </c>
      <c r="B194" s="149" t="s">
        <v>1589</v>
      </c>
      <c r="C194" s="150" t="s">
        <v>724</v>
      </c>
      <c r="D194" s="151">
        <f>VLOOKUP(C194,'[1]SAP Contract #s'!A:B,2,FALSE)</f>
        <v>21130</v>
      </c>
      <c r="E194" s="149" t="s">
        <v>1596</v>
      </c>
      <c r="F194" s="149" t="s">
        <v>1190</v>
      </c>
      <c r="G194" s="149" t="s">
        <v>1591</v>
      </c>
      <c r="H194" s="152">
        <v>45865</v>
      </c>
      <c r="I194" s="152">
        <v>46387</v>
      </c>
      <c r="J194" s="149" t="s">
        <v>1192</v>
      </c>
      <c r="K194" s="153"/>
    </row>
    <row r="195" spans="1:11" ht="15.75" customHeight="1" x14ac:dyDescent="0.25">
      <c r="A195" s="154" t="s">
        <v>1588</v>
      </c>
      <c r="B195" s="154" t="s">
        <v>1589</v>
      </c>
      <c r="C195" s="155" t="s">
        <v>792</v>
      </c>
      <c r="D195" s="156">
        <f>VLOOKUP(C195,'[1]SAP Contract #s'!A:B,2,FALSE)</f>
        <v>21131</v>
      </c>
      <c r="E195" s="154" t="s">
        <v>1597</v>
      </c>
      <c r="F195" s="154" t="s">
        <v>1190</v>
      </c>
      <c r="G195" s="154" t="s">
        <v>1591</v>
      </c>
      <c r="H195" s="157">
        <v>45870</v>
      </c>
      <c r="I195" s="157">
        <v>46752</v>
      </c>
      <c r="J195" s="154" t="s">
        <v>1192</v>
      </c>
      <c r="K195" s="153"/>
    </row>
    <row r="196" spans="1:11" ht="15.75" customHeight="1" x14ac:dyDescent="0.25">
      <c r="A196" s="149" t="s">
        <v>1588</v>
      </c>
      <c r="B196" s="149" t="s">
        <v>1589</v>
      </c>
      <c r="C196" s="150" t="s">
        <v>779</v>
      </c>
      <c r="D196" s="151">
        <f>VLOOKUP(C196,'[1]SAP Contract #s'!A:B,2,FALSE)</f>
        <v>21132</v>
      </c>
      <c r="E196" s="149" t="s">
        <v>1598</v>
      </c>
      <c r="F196" s="149" t="s">
        <v>1190</v>
      </c>
      <c r="G196" s="149" t="s">
        <v>1591</v>
      </c>
      <c r="H196" s="152">
        <v>45866</v>
      </c>
      <c r="I196" s="152">
        <v>46568</v>
      </c>
      <c r="J196" s="149" t="s">
        <v>1219</v>
      </c>
      <c r="K196" s="153"/>
    </row>
    <row r="197" spans="1:11" ht="15.75" customHeight="1" x14ac:dyDescent="0.25">
      <c r="A197" s="154" t="s">
        <v>1588</v>
      </c>
      <c r="B197" s="154" t="s">
        <v>1589</v>
      </c>
      <c r="C197" s="155" t="s">
        <v>725</v>
      </c>
      <c r="D197" s="156">
        <f>VLOOKUP(C197,'[1]SAP Contract #s'!A:B,2,FALSE)</f>
        <v>21134</v>
      </c>
      <c r="E197" s="154" t="s">
        <v>1599</v>
      </c>
      <c r="F197" s="154" t="s">
        <v>1190</v>
      </c>
      <c r="G197" s="154" t="s">
        <v>1591</v>
      </c>
      <c r="H197" s="157">
        <v>45865</v>
      </c>
      <c r="I197" s="157">
        <v>46387</v>
      </c>
      <c r="J197" s="154" t="s">
        <v>1192</v>
      </c>
      <c r="K197" s="153"/>
    </row>
    <row r="198" spans="1:11" ht="15.75" customHeight="1" x14ac:dyDescent="0.25">
      <c r="A198" s="149" t="s">
        <v>1588</v>
      </c>
      <c r="B198" s="149" t="s">
        <v>1589</v>
      </c>
      <c r="C198" s="150" t="s">
        <v>122</v>
      </c>
      <c r="D198" s="151">
        <f>VLOOKUP(C198,'[1]SAP Contract #s'!A:B,2,FALSE)</f>
        <v>21137</v>
      </c>
      <c r="E198" s="149" t="s">
        <v>1600</v>
      </c>
      <c r="F198" s="149" t="s">
        <v>1190</v>
      </c>
      <c r="G198" s="149" t="s">
        <v>1591</v>
      </c>
      <c r="H198" s="152">
        <v>45467</v>
      </c>
      <c r="I198" s="152">
        <v>46568</v>
      </c>
      <c r="J198" s="149" t="s">
        <v>1219</v>
      </c>
      <c r="K198" s="153"/>
    </row>
    <row r="199" spans="1:11" ht="15.75" customHeight="1" x14ac:dyDescent="0.25">
      <c r="A199" s="154" t="s">
        <v>1588</v>
      </c>
      <c r="B199" s="154" t="s">
        <v>1589</v>
      </c>
      <c r="C199" s="155" t="s">
        <v>726</v>
      </c>
      <c r="D199" s="156">
        <f>VLOOKUP(C199,'[1]SAP Contract #s'!A:B,2,FALSE)</f>
        <v>21140</v>
      </c>
      <c r="E199" s="154" t="s">
        <v>1601</v>
      </c>
      <c r="F199" s="154" t="s">
        <v>1190</v>
      </c>
      <c r="G199" s="154" t="s">
        <v>1591</v>
      </c>
      <c r="H199" s="157">
        <v>45865</v>
      </c>
      <c r="I199" s="157">
        <v>46387</v>
      </c>
      <c r="J199" s="154" t="s">
        <v>1192</v>
      </c>
      <c r="K199" s="153"/>
    </row>
    <row r="200" spans="1:11" ht="15.75" customHeight="1" x14ac:dyDescent="0.25">
      <c r="A200" s="149" t="s">
        <v>1588</v>
      </c>
      <c r="B200" s="149" t="s">
        <v>1589</v>
      </c>
      <c r="C200" s="150" t="s">
        <v>727</v>
      </c>
      <c r="D200" s="151">
        <f>VLOOKUP(C200,'[1]SAP Contract #s'!A:B,2,FALSE)</f>
        <v>21149</v>
      </c>
      <c r="E200" s="149" t="s">
        <v>1602</v>
      </c>
      <c r="F200" s="149" t="s">
        <v>1190</v>
      </c>
      <c r="G200" s="149" t="s">
        <v>1591</v>
      </c>
      <c r="H200" s="152">
        <v>45865</v>
      </c>
      <c r="I200" s="152">
        <v>46387</v>
      </c>
      <c r="J200" s="149" t="s">
        <v>1192</v>
      </c>
      <c r="K200" s="153"/>
    </row>
    <row r="201" spans="1:11" ht="15.75" customHeight="1" x14ac:dyDescent="0.25">
      <c r="A201" s="154" t="s">
        <v>1588</v>
      </c>
      <c r="B201" s="154" t="s">
        <v>1589</v>
      </c>
      <c r="C201" s="155" t="s">
        <v>721</v>
      </c>
      <c r="D201" s="156">
        <f>VLOOKUP(C201,'[1]SAP Contract #s'!A:B,2,FALSE)</f>
        <v>21152</v>
      </c>
      <c r="E201" s="154" t="s">
        <v>1603</v>
      </c>
      <c r="F201" s="154" t="s">
        <v>1190</v>
      </c>
      <c r="G201" s="154" t="s">
        <v>1591</v>
      </c>
      <c r="H201" s="157">
        <v>45866</v>
      </c>
      <c r="I201" s="157">
        <v>46568</v>
      </c>
      <c r="J201" s="154" t="s">
        <v>1219</v>
      </c>
      <c r="K201" s="153"/>
    </row>
    <row r="202" spans="1:11" ht="15.75" customHeight="1" x14ac:dyDescent="0.25">
      <c r="A202" s="149" t="s">
        <v>1588</v>
      </c>
      <c r="B202" s="149" t="s">
        <v>1589</v>
      </c>
      <c r="C202" s="150" t="s">
        <v>729</v>
      </c>
      <c r="D202" s="151">
        <f>VLOOKUP(C202,'[1]SAP Contract #s'!A:B,2,FALSE)</f>
        <v>21155</v>
      </c>
      <c r="E202" s="149" t="s">
        <v>1604</v>
      </c>
      <c r="F202" s="149" t="s">
        <v>1190</v>
      </c>
      <c r="G202" s="149" t="s">
        <v>1591</v>
      </c>
      <c r="H202" s="152">
        <v>45865</v>
      </c>
      <c r="I202" s="152">
        <v>46387</v>
      </c>
      <c r="J202" s="149" t="s">
        <v>1192</v>
      </c>
      <c r="K202" s="153"/>
    </row>
    <row r="203" spans="1:11" ht="15.75" customHeight="1" x14ac:dyDescent="0.25">
      <c r="A203" s="154" t="s">
        <v>1588</v>
      </c>
      <c r="B203" s="154" t="s">
        <v>1589</v>
      </c>
      <c r="C203" s="155" t="s">
        <v>730</v>
      </c>
      <c r="D203" s="156">
        <f>VLOOKUP(C203,'[1]SAP Contract #s'!A:B,2,FALSE)</f>
        <v>21162</v>
      </c>
      <c r="E203" s="154" t="s">
        <v>1605</v>
      </c>
      <c r="F203" s="154" t="s">
        <v>1190</v>
      </c>
      <c r="G203" s="154" t="s">
        <v>1591</v>
      </c>
      <c r="H203" s="157">
        <v>45865</v>
      </c>
      <c r="I203" s="157">
        <v>46022</v>
      </c>
      <c r="J203" s="154" t="s">
        <v>1192</v>
      </c>
      <c r="K203" s="153"/>
    </row>
    <row r="204" spans="1:11" ht="15.75" customHeight="1" x14ac:dyDescent="0.25">
      <c r="A204" s="149" t="s">
        <v>1588</v>
      </c>
      <c r="B204" s="149" t="s">
        <v>1589</v>
      </c>
      <c r="C204" s="150" t="s">
        <v>161</v>
      </c>
      <c r="D204" s="151">
        <f>VLOOKUP(C204,'[1]SAP Contract #s'!A:B,2,FALSE)</f>
        <v>21164</v>
      </c>
      <c r="E204" s="149" t="s">
        <v>1606</v>
      </c>
      <c r="F204" s="149" t="s">
        <v>1190</v>
      </c>
      <c r="G204" s="149" t="s">
        <v>1591</v>
      </c>
      <c r="H204" s="152">
        <v>45539</v>
      </c>
      <c r="I204" s="152">
        <v>46568</v>
      </c>
      <c r="J204" s="149" t="s">
        <v>1219</v>
      </c>
      <c r="K204" s="153"/>
    </row>
    <row r="205" spans="1:11" ht="15.75" customHeight="1" x14ac:dyDescent="0.25">
      <c r="A205" s="154" t="s">
        <v>1588</v>
      </c>
      <c r="B205" s="154" t="s">
        <v>1589</v>
      </c>
      <c r="C205" s="155" t="s">
        <v>731</v>
      </c>
      <c r="D205" s="156">
        <f>VLOOKUP(C205,'[1]SAP Contract #s'!A:B,2,FALSE)</f>
        <v>21169</v>
      </c>
      <c r="E205" s="154" t="s">
        <v>1607</v>
      </c>
      <c r="F205" s="154" t="s">
        <v>1190</v>
      </c>
      <c r="G205" s="154" t="s">
        <v>1591</v>
      </c>
      <c r="H205" s="157">
        <v>45865</v>
      </c>
      <c r="I205" s="157">
        <v>46387</v>
      </c>
      <c r="J205" s="154" t="s">
        <v>1192</v>
      </c>
      <c r="K205" s="153"/>
    </row>
    <row r="206" spans="1:11" ht="15.75" customHeight="1" x14ac:dyDescent="0.25">
      <c r="A206" s="149" t="s">
        <v>1588</v>
      </c>
      <c r="B206" s="149" t="s">
        <v>1589</v>
      </c>
      <c r="C206" s="150" t="s">
        <v>178</v>
      </c>
      <c r="D206" s="151">
        <f>VLOOKUP(C206,'[1]SAP Contract #s'!A:B,2,FALSE)</f>
        <v>21170</v>
      </c>
      <c r="E206" s="149" t="s">
        <v>1608</v>
      </c>
      <c r="F206" s="149" t="s">
        <v>1190</v>
      </c>
      <c r="G206" s="149" t="s">
        <v>1591</v>
      </c>
      <c r="H206" s="152">
        <v>45642</v>
      </c>
      <c r="I206" s="152">
        <v>45983</v>
      </c>
      <c r="J206" s="149" t="s">
        <v>1219</v>
      </c>
      <c r="K206" s="153"/>
    </row>
    <row r="207" spans="1:11" ht="15.75" customHeight="1" x14ac:dyDescent="0.25">
      <c r="A207" s="154" t="s">
        <v>1588</v>
      </c>
      <c r="B207" s="154" t="s">
        <v>1589</v>
      </c>
      <c r="C207" s="155" t="s">
        <v>126</v>
      </c>
      <c r="D207" s="156">
        <f>VLOOKUP(C207,'[1]SAP Contract #s'!A:B,2,FALSE)</f>
        <v>21186</v>
      </c>
      <c r="E207" s="154" t="s">
        <v>1609</v>
      </c>
      <c r="F207" s="154" t="s">
        <v>1190</v>
      </c>
      <c r="G207" s="154" t="s">
        <v>1591</v>
      </c>
      <c r="H207" s="157">
        <v>45467</v>
      </c>
      <c r="I207" s="157">
        <v>46568</v>
      </c>
      <c r="J207" s="154" t="s">
        <v>1219</v>
      </c>
      <c r="K207" s="153"/>
    </row>
    <row r="208" spans="1:11" ht="15.75" customHeight="1" x14ac:dyDescent="0.25">
      <c r="A208" s="149" t="s">
        <v>1588</v>
      </c>
      <c r="B208" s="149" t="s">
        <v>1589</v>
      </c>
      <c r="C208" s="150" t="s">
        <v>172</v>
      </c>
      <c r="D208" s="151">
        <f>VLOOKUP(C208,'[1]SAP Contract #s'!A:B,2,FALSE)</f>
        <v>21203</v>
      </c>
      <c r="E208" s="149" t="s">
        <v>1610</v>
      </c>
      <c r="F208" s="149" t="s">
        <v>1190</v>
      </c>
      <c r="G208" s="149" t="s">
        <v>1591</v>
      </c>
      <c r="H208" s="152">
        <v>45538</v>
      </c>
      <c r="I208" s="152">
        <v>46568</v>
      </c>
      <c r="J208" s="149" t="s">
        <v>1219</v>
      </c>
      <c r="K208" s="153"/>
    </row>
    <row r="209" spans="1:11" ht="15.75" customHeight="1" x14ac:dyDescent="0.25">
      <c r="A209" s="154" t="s">
        <v>1588</v>
      </c>
      <c r="B209" s="154" t="s">
        <v>1589</v>
      </c>
      <c r="C209" s="155" t="s">
        <v>162</v>
      </c>
      <c r="D209" s="156">
        <f>VLOOKUP(C209,'[1]SAP Contract #s'!A:B,2,FALSE)</f>
        <v>21214</v>
      </c>
      <c r="E209" s="154" t="s">
        <v>1611</v>
      </c>
      <c r="F209" s="154" t="s">
        <v>1190</v>
      </c>
      <c r="G209" s="154" t="s">
        <v>1591</v>
      </c>
      <c r="H209" s="157">
        <v>45538</v>
      </c>
      <c r="I209" s="157">
        <v>46568</v>
      </c>
      <c r="J209" s="154" t="s">
        <v>1219</v>
      </c>
      <c r="K209" s="153"/>
    </row>
    <row r="210" spans="1:11" ht="15.75" customHeight="1" x14ac:dyDescent="0.25">
      <c r="A210" s="149" t="s">
        <v>1588</v>
      </c>
      <c r="B210" s="149" t="s">
        <v>1589</v>
      </c>
      <c r="C210" s="150" t="s">
        <v>581</v>
      </c>
      <c r="D210" s="151">
        <f>VLOOKUP(C210,'[1]SAP Contract #s'!A:B,2,FALSE)</f>
        <v>21244</v>
      </c>
      <c r="E210" s="149" t="s">
        <v>1612</v>
      </c>
      <c r="F210" s="149" t="s">
        <v>1190</v>
      </c>
      <c r="G210" s="149" t="s">
        <v>1591</v>
      </c>
      <c r="H210" s="152">
        <v>45717</v>
      </c>
      <c r="I210" s="152">
        <v>45864</v>
      </c>
      <c r="J210" s="149" t="s">
        <v>1192</v>
      </c>
      <c r="K210" s="153"/>
    </row>
    <row r="211" spans="1:11" ht="15.75" customHeight="1" x14ac:dyDescent="0.25">
      <c r="A211" s="154" t="s">
        <v>1588</v>
      </c>
      <c r="B211" s="154" t="s">
        <v>1589</v>
      </c>
      <c r="C211" s="155" t="s">
        <v>125</v>
      </c>
      <c r="D211" s="156">
        <f>VLOOKUP(C211,'[1]SAP Contract #s'!A:B,2,FALSE)</f>
        <v>21245</v>
      </c>
      <c r="E211" s="154" t="s">
        <v>1613</v>
      </c>
      <c r="F211" s="154" t="s">
        <v>1190</v>
      </c>
      <c r="G211" s="154" t="s">
        <v>1591</v>
      </c>
      <c r="H211" s="157">
        <v>45467</v>
      </c>
      <c r="I211" s="157">
        <v>46568</v>
      </c>
      <c r="J211" s="154" t="s">
        <v>1219</v>
      </c>
      <c r="K211" s="153"/>
    </row>
    <row r="212" spans="1:11" ht="15.75" customHeight="1" x14ac:dyDescent="0.25">
      <c r="A212" s="149" t="s">
        <v>1588</v>
      </c>
      <c r="B212" s="149" t="s">
        <v>1589</v>
      </c>
      <c r="C212" s="150" t="s">
        <v>1614</v>
      </c>
      <c r="D212" s="151">
        <f>VLOOKUP(C212,'[1]SAP Contract #s'!A:B,2,FALSE)</f>
        <v>21248</v>
      </c>
      <c r="E212" s="149" t="s">
        <v>1615</v>
      </c>
      <c r="F212" s="149" t="s">
        <v>1190</v>
      </c>
      <c r="G212" s="149" t="s">
        <v>1591</v>
      </c>
      <c r="H212" s="152">
        <v>45717</v>
      </c>
      <c r="I212" s="152">
        <v>46387</v>
      </c>
      <c r="J212" s="149" t="s">
        <v>1192</v>
      </c>
      <c r="K212" s="153"/>
    </row>
    <row r="213" spans="1:11" ht="15.75" customHeight="1" x14ac:dyDescent="0.25">
      <c r="A213" s="154" t="s">
        <v>1588</v>
      </c>
      <c r="B213" s="154" t="s">
        <v>1589</v>
      </c>
      <c r="C213" s="155" t="s">
        <v>787</v>
      </c>
      <c r="D213" s="156">
        <f>VLOOKUP(C213,'[1]SAP Contract #s'!A:B,2,FALSE)</f>
        <v>21255</v>
      </c>
      <c r="E213" s="154" t="s">
        <v>1616</v>
      </c>
      <c r="F213" s="154" t="s">
        <v>1190</v>
      </c>
      <c r="G213" s="154" t="s">
        <v>1591</v>
      </c>
      <c r="H213" s="157">
        <v>45804</v>
      </c>
      <c r="I213" s="157">
        <v>46568</v>
      </c>
      <c r="J213" s="154" t="s">
        <v>1219</v>
      </c>
      <c r="K213" s="153"/>
    </row>
    <row r="214" spans="1:11" ht="15.75" customHeight="1" x14ac:dyDescent="0.25">
      <c r="A214" s="149" t="s">
        <v>1588</v>
      </c>
      <c r="B214" s="149" t="s">
        <v>1589</v>
      </c>
      <c r="C214" s="150" t="s">
        <v>1617</v>
      </c>
      <c r="D214" s="151">
        <f>VLOOKUP(C214,'[1]SAP Contract #s'!A:B,2,FALSE)</f>
        <v>21258</v>
      </c>
      <c r="E214" s="149" t="s">
        <v>1618</v>
      </c>
      <c r="F214" s="149" t="s">
        <v>1190</v>
      </c>
      <c r="G214" s="149" t="s">
        <v>1591</v>
      </c>
      <c r="H214" s="152">
        <v>45912</v>
      </c>
      <c r="I214" s="152">
        <v>46296</v>
      </c>
      <c r="J214" s="149" t="s">
        <v>1219</v>
      </c>
      <c r="K214" s="153"/>
    </row>
    <row r="215" spans="1:11" ht="15.75" customHeight="1" x14ac:dyDescent="0.25">
      <c r="A215" s="154" t="s">
        <v>1588</v>
      </c>
      <c r="B215" s="154" t="s">
        <v>1589</v>
      </c>
      <c r="C215" s="155" t="s">
        <v>1619</v>
      </c>
      <c r="D215" s="156">
        <f>VLOOKUP(C215,'[1]SAP Contract #s'!A:B,2,FALSE)</f>
        <v>21278</v>
      </c>
      <c r="E215" s="154" t="s">
        <v>1620</v>
      </c>
      <c r="F215" s="154" t="s">
        <v>1190</v>
      </c>
      <c r="G215" s="154" t="s">
        <v>1591</v>
      </c>
      <c r="H215" s="157">
        <v>45866</v>
      </c>
      <c r="I215" s="157">
        <v>46568</v>
      </c>
      <c r="J215" s="154" t="s">
        <v>1219</v>
      </c>
      <c r="K215" s="153"/>
    </row>
    <row r="216" spans="1:11" ht="15.75" customHeight="1" x14ac:dyDescent="0.25">
      <c r="A216" s="149" t="s">
        <v>1588</v>
      </c>
      <c r="B216" s="149" t="s">
        <v>1589</v>
      </c>
      <c r="C216" s="150" t="s">
        <v>154</v>
      </c>
      <c r="D216" s="151">
        <f>VLOOKUP(C216,'[1]SAP Contract #s'!A:B,2,FALSE)</f>
        <v>21287</v>
      </c>
      <c r="E216" s="149" t="s">
        <v>1621</v>
      </c>
      <c r="F216" s="149" t="s">
        <v>1190</v>
      </c>
      <c r="G216" s="149" t="s">
        <v>1591</v>
      </c>
      <c r="H216" s="152">
        <v>45489</v>
      </c>
      <c r="I216" s="152">
        <v>46568</v>
      </c>
      <c r="J216" s="149" t="s">
        <v>1219</v>
      </c>
      <c r="K216" s="153"/>
    </row>
    <row r="217" spans="1:11" ht="15.75" customHeight="1" x14ac:dyDescent="0.25">
      <c r="A217" s="154" t="s">
        <v>1588</v>
      </c>
      <c r="B217" s="154" t="s">
        <v>1589</v>
      </c>
      <c r="C217" s="155" t="s">
        <v>684</v>
      </c>
      <c r="D217" s="156">
        <f>VLOOKUP(C217,'[1]SAP Contract #s'!A:B,2,FALSE)</f>
        <v>21388</v>
      </c>
      <c r="E217" s="154" t="s">
        <v>1622</v>
      </c>
      <c r="F217" s="154" t="s">
        <v>1190</v>
      </c>
      <c r="G217" s="154" t="s">
        <v>1591</v>
      </c>
      <c r="H217" s="157">
        <v>45717</v>
      </c>
      <c r="I217" s="157">
        <v>46054</v>
      </c>
      <c r="J217" s="154" t="s">
        <v>1192</v>
      </c>
      <c r="K217" s="153"/>
    </row>
    <row r="218" spans="1:11" ht="15.75" customHeight="1" x14ac:dyDescent="0.25">
      <c r="A218" s="149" t="s">
        <v>1588</v>
      </c>
      <c r="B218" s="149" t="s">
        <v>1589</v>
      </c>
      <c r="C218" s="150" t="s">
        <v>163</v>
      </c>
      <c r="D218" s="151">
        <f>VLOOKUP(C218,'[1]SAP Contract #s'!A:B,2,FALSE)</f>
        <v>21458</v>
      </c>
      <c r="E218" s="149" t="s">
        <v>1623</v>
      </c>
      <c r="F218" s="149" t="s">
        <v>1190</v>
      </c>
      <c r="G218" s="149" t="s">
        <v>1591</v>
      </c>
      <c r="H218" s="152">
        <v>45566</v>
      </c>
      <c r="I218" s="152">
        <v>45864</v>
      </c>
      <c r="J218" s="149" t="s">
        <v>1192</v>
      </c>
      <c r="K218" s="153"/>
    </row>
    <row r="219" spans="1:11" ht="15.75" customHeight="1" x14ac:dyDescent="0.25">
      <c r="A219" s="154" t="s">
        <v>1588</v>
      </c>
      <c r="B219" s="154" t="s">
        <v>1589</v>
      </c>
      <c r="C219" s="155" t="s">
        <v>1624</v>
      </c>
      <c r="D219" s="156">
        <f>VLOOKUP(C219,'[1]SAP Contract #s'!A:B,2,FALSE)</f>
        <v>21469</v>
      </c>
      <c r="E219" s="154" t="s">
        <v>1625</v>
      </c>
      <c r="F219" s="154" t="s">
        <v>1190</v>
      </c>
      <c r="G219" s="154" t="s">
        <v>1591</v>
      </c>
      <c r="H219" s="157">
        <v>45870</v>
      </c>
      <c r="I219" s="157">
        <v>46752</v>
      </c>
      <c r="J219" s="154" t="s">
        <v>1192</v>
      </c>
      <c r="K219" s="153"/>
    </row>
    <row r="220" spans="1:11" ht="15.75" customHeight="1" x14ac:dyDescent="0.25">
      <c r="A220" s="149" t="s">
        <v>1588</v>
      </c>
      <c r="B220" s="149" t="s">
        <v>1589</v>
      </c>
      <c r="C220" s="150" t="s">
        <v>180</v>
      </c>
      <c r="D220" s="151">
        <f>VLOOKUP(C220,'[1]SAP Contract #s'!A:B,2,FALSE)</f>
        <v>21471</v>
      </c>
      <c r="E220" s="149" t="s">
        <v>1626</v>
      </c>
      <c r="F220" s="149" t="s">
        <v>1190</v>
      </c>
      <c r="G220" s="149" t="s">
        <v>1591</v>
      </c>
      <c r="H220" s="152">
        <v>45536</v>
      </c>
      <c r="I220" s="152">
        <v>46568</v>
      </c>
      <c r="J220" s="149" t="s">
        <v>1219</v>
      </c>
      <c r="K220" s="153"/>
    </row>
    <row r="221" spans="1:11" ht="15.75" customHeight="1" x14ac:dyDescent="0.25">
      <c r="A221" s="154" t="s">
        <v>1588</v>
      </c>
      <c r="B221" s="154" t="s">
        <v>1589</v>
      </c>
      <c r="C221" s="155" t="s">
        <v>1627</v>
      </c>
      <c r="D221" s="156">
        <f>VLOOKUP(C221,'[1]SAP Contract #s'!A:B,2,FALSE)</f>
        <v>21478</v>
      </c>
      <c r="E221" s="154" t="s">
        <v>1628</v>
      </c>
      <c r="F221" s="154" t="s">
        <v>1190</v>
      </c>
      <c r="G221" s="154" t="s">
        <v>1591</v>
      </c>
      <c r="H221" s="157">
        <v>45792</v>
      </c>
      <c r="I221" s="157">
        <v>46568</v>
      </c>
      <c r="J221" s="154" t="s">
        <v>1219</v>
      </c>
      <c r="K221" s="153"/>
    </row>
    <row r="222" spans="1:11" ht="15.75" customHeight="1" x14ac:dyDescent="0.25">
      <c r="A222" s="149" t="s">
        <v>1588</v>
      </c>
      <c r="B222" s="149" t="s">
        <v>1589</v>
      </c>
      <c r="C222" s="150" t="s">
        <v>181</v>
      </c>
      <c r="D222" s="151">
        <f>VLOOKUP(C222,'[1]SAP Contract #s'!A:B,2,FALSE)</f>
        <v>21491</v>
      </c>
      <c r="E222" s="149" t="s">
        <v>1629</v>
      </c>
      <c r="F222" s="149" t="s">
        <v>1190</v>
      </c>
      <c r="G222" s="149" t="s">
        <v>1591</v>
      </c>
      <c r="H222" s="152">
        <v>45642</v>
      </c>
      <c r="I222" s="152">
        <v>45983</v>
      </c>
      <c r="J222" s="149" t="s">
        <v>1219</v>
      </c>
      <c r="K222" s="153"/>
    </row>
    <row r="223" spans="1:11" ht="15.75" customHeight="1" x14ac:dyDescent="0.25">
      <c r="A223" s="154" t="s">
        <v>1588</v>
      </c>
      <c r="B223" s="154" t="s">
        <v>1589</v>
      </c>
      <c r="C223" s="155" t="s">
        <v>124</v>
      </c>
      <c r="D223" s="156">
        <f>VLOOKUP(C223,'[1]SAP Contract #s'!A:B,2,FALSE)</f>
        <v>21498</v>
      </c>
      <c r="E223" s="154" t="s">
        <v>1630</v>
      </c>
      <c r="F223" s="154" t="s">
        <v>1190</v>
      </c>
      <c r="G223" s="154" t="s">
        <v>1591</v>
      </c>
      <c r="H223" s="157">
        <v>45467</v>
      </c>
      <c r="I223" s="157">
        <v>46568</v>
      </c>
      <c r="J223" s="154" t="s">
        <v>1219</v>
      </c>
      <c r="K223" s="153"/>
    </row>
    <row r="224" spans="1:11" ht="15.75" customHeight="1" x14ac:dyDescent="0.25">
      <c r="A224" s="149" t="s">
        <v>1588</v>
      </c>
      <c r="B224" s="149" t="s">
        <v>1589</v>
      </c>
      <c r="C224" s="150" t="s">
        <v>758</v>
      </c>
      <c r="D224" s="151">
        <f>VLOOKUP(C224,'[1]SAP Contract #s'!A:B,2,FALSE)</f>
        <v>21536</v>
      </c>
      <c r="E224" s="149" t="s">
        <v>1631</v>
      </c>
      <c r="F224" s="149" t="s">
        <v>1190</v>
      </c>
      <c r="G224" s="149" t="s">
        <v>1591</v>
      </c>
      <c r="H224" s="152">
        <v>45870</v>
      </c>
      <c r="I224" s="152">
        <v>46752</v>
      </c>
      <c r="J224" s="149" t="s">
        <v>1192</v>
      </c>
      <c r="K224" s="153"/>
    </row>
    <row r="225" spans="1:11" ht="15.75" customHeight="1" x14ac:dyDescent="0.25">
      <c r="A225" s="154" t="s">
        <v>1588</v>
      </c>
      <c r="B225" s="154" t="s">
        <v>1589</v>
      </c>
      <c r="C225" s="155" t="s">
        <v>160</v>
      </c>
      <c r="D225" s="156">
        <f>VLOOKUP(C225,'[1]SAP Contract #s'!A:B,2,FALSE)</f>
        <v>21544</v>
      </c>
      <c r="E225" s="154" t="s">
        <v>1632</v>
      </c>
      <c r="F225" s="154" t="s">
        <v>1190</v>
      </c>
      <c r="G225" s="154" t="s">
        <v>1591</v>
      </c>
      <c r="H225" s="157">
        <v>45538</v>
      </c>
      <c r="I225" s="157">
        <v>46568</v>
      </c>
      <c r="J225" s="154" t="s">
        <v>1219</v>
      </c>
      <c r="K225" s="153"/>
    </row>
    <row r="226" spans="1:11" ht="15.75" customHeight="1" x14ac:dyDescent="0.25">
      <c r="A226" s="149" t="s">
        <v>1588</v>
      </c>
      <c r="B226" s="149" t="s">
        <v>1589</v>
      </c>
      <c r="C226" s="150" t="s">
        <v>137</v>
      </c>
      <c r="D226" s="151">
        <f>VLOOKUP(C226,'[1]SAP Contract #s'!A:B,2,FALSE)</f>
        <v>21555</v>
      </c>
      <c r="E226" s="149" t="s">
        <v>1633</v>
      </c>
      <c r="F226" s="149" t="s">
        <v>1190</v>
      </c>
      <c r="G226" s="149" t="s">
        <v>1591</v>
      </c>
      <c r="H226" s="152">
        <v>45516</v>
      </c>
      <c r="I226" s="152">
        <v>46568</v>
      </c>
      <c r="J226" s="149" t="s">
        <v>1219</v>
      </c>
      <c r="K226" s="153"/>
    </row>
    <row r="227" spans="1:11" ht="15.75" customHeight="1" x14ac:dyDescent="0.25">
      <c r="A227" s="154" t="s">
        <v>1588</v>
      </c>
      <c r="B227" s="154" t="s">
        <v>1589</v>
      </c>
      <c r="C227" s="155" t="s">
        <v>426</v>
      </c>
      <c r="D227" s="156">
        <f>VLOOKUP(C227,'[1]SAP Contract #s'!A:B,2,FALSE)</f>
        <v>21587</v>
      </c>
      <c r="E227" s="154" t="s">
        <v>1634</v>
      </c>
      <c r="F227" s="154" t="s">
        <v>1190</v>
      </c>
      <c r="G227" s="154" t="s">
        <v>1591</v>
      </c>
      <c r="H227" s="157">
        <v>45538</v>
      </c>
      <c r="I227" s="157">
        <v>46568</v>
      </c>
      <c r="J227" s="154" t="s">
        <v>1219</v>
      </c>
      <c r="K227" s="153"/>
    </row>
    <row r="228" spans="1:11" ht="15.75" customHeight="1" x14ac:dyDescent="0.25">
      <c r="A228" s="149" t="s">
        <v>1588</v>
      </c>
      <c r="B228" s="149" t="s">
        <v>1589</v>
      </c>
      <c r="C228" s="150" t="s">
        <v>165</v>
      </c>
      <c r="D228" s="151">
        <f>VLOOKUP(C228,'[1]SAP Contract #s'!A:B,2,FALSE)</f>
        <v>21597</v>
      </c>
      <c r="E228" s="149" t="s">
        <v>1635</v>
      </c>
      <c r="F228" s="149" t="s">
        <v>1190</v>
      </c>
      <c r="G228" s="149" t="s">
        <v>1591</v>
      </c>
      <c r="H228" s="152">
        <v>45569</v>
      </c>
      <c r="I228" s="152">
        <v>45900</v>
      </c>
      <c r="J228" s="149" t="s">
        <v>1192</v>
      </c>
      <c r="K228" s="153"/>
    </row>
    <row r="229" spans="1:11" ht="15.75" customHeight="1" x14ac:dyDescent="0.25">
      <c r="A229" s="154" t="s">
        <v>1588</v>
      </c>
      <c r="B229" s="154" t="s">
        <v>1589</v>
      </c>
      <c r="C229" s="155" t="s">
        <v>864</v>
      </c>
      <c r="D229" s="156">
        <f>VLOOKUP(C229,'[1]SAP Contract #s'!A:B,2,FALSE)</f>
        <v>21612</v>
      </c>
      <c r="E229" s="154" t="s">
        <v>1636</v>
      </c>
      <c r="F229" s="154" t="s">
        <v>1190</v>
      </c>
      <c r="G229" s="154" t="s">
        <v>1591</v>
      </c>
      <c r="H229" s="157">
        <v>45717</v>
      </c>
      <c r="I229" s="157">
        <v>46022</v>
      </c>
      <c r="J229" s="154" t="s">
        <v>1192</v>
      </c>
      <c r="K229" s="153"/>
    </row>
    <row r="230" spans="1:11" ht="15.75" customHeight="1" x14ac:dyDescent="0.25">
      <c r="A230" s="149" t="s">
        <v>1588</v>
      </c>
      <c r="B230" s="149" t="s">
        <v>1589</v>
      </c>
      <c r="C230" s="150" t="s">
        <v>808</v>
      </c>
      <c r="D230" s="151">
        <f>VLOOKUP(C230,'[1]SAP Contract #s'!A:B,2,FALSE)</f>
        <v>21618</v>
      </c>
      <c r="E230" s="149" t="s">
        <v>1637</v>
      </c>
      <c r="F230" s="149" t="s">
        <v>1190</v>
      </c>
      <c r="G230" s="149" t="s">
        <v>1591</v>
      </c>
      <c r="H230" s="152">
        <v>45717</v>
      </c>
      <c r="I230" s="152">
        <v>46022</v>
      </c>
      <c r="J230" s="149" t="s">
        <v>1192</v>
      </c>
      <c r="K230" s="153"/>
    </row>
    <row r="231" spans="1:11" ht="15.75" customHeight="1" x14ac:dyDescent="0.25">
      <c r="A231" s="154" t="s">
        <v>1588</v>
      </c>
      <c r="B231" s="154" t="s">
        <v>1589</v>
      </c>
      <c r="C231" s="155" t="s">
        <v>1097</v>
      </c>
      <c r="D231" s="156">
        <f>VLOOKUP(C231,'[1]SAP Contract #s'!A:B,2,FALSE)</f>
        <v>21619</v>
      </c>
      <c r="E231" s="154" t="s">
        <v>1638</v>
      </c>
      <c r="F231" s="154" t="s">
        <v>1190</v>
      </c>
      <c r="G231" s="154" t="s">
        <v>1591</v>
      </c>
      <c r="H231" s="157">
        <v>45717</v>
      </c>
      <c r="I231" s="157">
        <v>46387</v>
      </c>
      <c r="J231" s="154" t="s">
        <v>1192</v>
      </c>
      <c r="K231" s="153"/>
    </row>
    <row r="232" spans="1:11" ht="15.75" customHeight="1" x14ac:dyDescent="0.25">
      <c r="A232" s="149" t="s">
        <v>1588</v>
      </c>
      <c r="B232" s="149" t="s">
        <v>1589</v>
      </c>
      <c r="C232" s="150" t="s">
        <v>111</v>
      </c>
      <c r="D232" s="151">
        <f>VLOOKUP(C232,'[1]SAP Contract #s'!A:B,2,FALSE)</f>
        <v>21630</v>
      </c>
      <c r="E232" s="149" t="s">
        <v>1639</v>
      </c>
      <c r="F232" s="149" t="s">
        <v>1190</v>
      </c>
      <c r="G232" s="149" t="s">
        <v>1591</v>
      </c>
      <c r="H232" s="152">
        <v>45418</v>
      </c>
      <c r="I232" s="152">
        <v>46022</v>
      </c>
      <c r="J232" s="149" t="s">
        <v>1192</v>
      </c>
      <c r="K232" s="153"/>
    </row>
    <row r="233" spans="1:11" ht="15.75" customHeight="1" x14ac:dyDescent="0.25">
      <c r="A233" s="154" t="s">
        <v>1588</v>
      </c>
      <c r="B233" s="154" t="s">
        <v>1589</v>
      </c>
      <c r="C233" s="155" t="s">
        <v>728</v>
      </c>
      <c r="D233" s="156">
        <f>VLOOKUP(C233,'[1]SAP Contract #s'!A:B,2,FALSE)</f>
        <v>21682</v>
      </c>
      <c r="E233" s="154" t="s">
        <v>1640</v>
      </c>
      <c r="F233" s="154" t="s">
        <v>1190</v>
      </c>
      <c r="G233" s="154" t="s">
        <v>1591</v>
      </c>
      <c r="H233" s="157">
        <v>45865</v>
      </c>
      <c r="I233" s="157">
        <v>46387</v>
      </c>
      <c r="J233" s="154" t="s">
        <v>1192</v>
      </c>
      <c r="K233" s="153"/>
    </row>
    <row r="234" spans="1:11" ht="15.75" customHeight="1" x14ac:dyDescent="0.25">
      <c r="A234" s="149" t="s">
        <v>1588</v>
      </c>
      <c r="B234" s="149" t="s">
        <v>1589</v>
      </c>
      <c r="C234" s="150" t="s">
        <v>1641</v>
      </c>
      <c r="D234" s="151">
        <f>VLOOKUP(C234,'[1]SAP Contract #s'!A:B,2,FALSE)</f>
        <v>21683</v>
      </c>
      <c r="E234" s="149" t="s">
        <v>1642</v>
      </c>
      <c r="F234" s="149" t="s">
        <v>1190</v>
      </c>
      <c r="G234" s="149" t="s">
        <v>1591</v>
      </c>
      <c r="H234" s="152">
        <v>45865</v>
      </c>
      <c r="I234" s="152">
        <v>46387</v>
      </c>
      <c r="J234" s="149" t="s">
        <v>1192</v>
      </c>
      <c r="K234" s="153"/>
    </row>
    <row r="235" spans="1:11" ht="15.75" customHeight="1" x14ac:dyDescent="0.25">
      <c r="A235" s="154" t="s">
        <v>1588</v>
      </c>
      <c r="B235" s="154" t="s">
        <v>1589</v>
      </c>
      <c r="C235" s="155" t="s">
        <v>913</v>
      </c>
      <c r="D235" s="156">
        <f>VLOOKUP(C235,'[1]SAP Contract #s'!A:B,2,FALSE)</f>
        <v>21686</v>
      </c>
      <c r="E235" s="154" t="s">
        <v>1643</v>
      </c>
      <c r="F235" s="154" t="s">
        <v>1190</v>
      </c>
      <c r="G235" s="154" t="s">
        <v>1591</v>
      </c>
      <c r="H235" s="157">
        <v>45866</v>
      </c>
      <c r="I235" s="157">
        <v>46568</v>
      </c>
      <c r="J235" s="154" t="s">
        <v>1219</v>
      </c>
      <c r="K235" s="153"/>
    </row>
    <row r="236" spans="1:11" ht="15.75" customHeight="1" x14ac:dyDescent="0.25">
      <c r="A236" s="149" t="s">
        <v>1644</v>
      </c>
      <c r="B236" s="149" t="s">
        <v>1645</v>
      </c>
      <c r="C236" s="150" t="s">
        <v>598</v>
      </c>
      <c r="D236" s="151">
        <f>VLOOKUP(C236,'[1]SAP Contract #s'!A:B,2,FALSE)</f>
        <v>21095</v>
      </c>
      <c r="E236" s="149" t="s">
        <v>1646</v>
      </c>
      <c r="F236" s="149" t="s">
        <v>1190</v>
      </c>
      <c r="G236" s="149" t="s">
        <v>1647</v>
      </c>
      <c r="H236" s="152">
        <v>45817</v>
      </c>
      <c r="I236" s="152">
        <v>45930</v>
      </c>
      <c r="J236" s="149" t="s">
        <v>1192</v>
      </c>
      <c r="K236" s="153"/>
    </row>
    <row r="237" spans="1:11" ht="15.75" customHeight="1" x14ac:dyDescent="0.25">
      <c r="A237" s="154" t="s">
        <v>1648</v>
      </c>
      <c r="B237" s="154" t="s">
        <v>1649</v>
      </c>
      <c r="C237" s="155" t="s">
        <v>928</v>
      </c>
      <c r="D237" s="156">
        <f>VLOOKUP(C237,'[1]SAP Contract #s'!A:B,2,FALSE)</f>
        <v>21210</v>
      </c>
      <c r="E237" s="154" t="s">
        <v>1650</v>
      </c>
      <c r="F237" s="154" t="s">
        <v>1190</v>
      </c>
      <c r="G237" s="154" t="s">
        <v>1647</v>
      </c>
      <c r="H237" s="157">
        <v>45922</v>
      </c>
      <c r="I237" s="157">
        <v>46234</v>
      </c>
      <c r="J237" s="154" t="s">
        <v>1192</v>
      </c>
      <c r="K237" s="153"/>
    </row>
    <row r="238" spans="1:11" ht="15.75" customHeight="1" x14ac:dyDescent="0.25">
      <c r="A238" s="149" t="s">
        <v>1651</v>
      </c>
      <c r="B238" s="149" t="s">
        <v>1652</v>
      </c>
      <c r="C238" s="150" t="s">
        <v>1035</v>
      </c>
      <c r="D238" s="151">
        <f>VLOOKUP(C238,'[1]SAP Contract #s'!A:B,2,FALSE)</f>
        <v>21103</v>
      </c>
      <c r="E238" s="149" t="s">
        <v>1653</v>
      </c>
      <c r="F238" s="149" t="s">
        <v>1190</v>
      </c>
      <c r="G238" s="149" t="s">
        <v>1654</v>
      </c>
      <c r="H238" s="152">
        <v>46028</v>
      </c>
      <c r="I238" s="152">
        <v>46112</v>
      </c>
      <c r="J238" s="149" t="s">
        <v>1192</v>
      </c>
      <c r="K238" s="153"/>
    </row>
    <row r="239" spans="1:11" ht="15.75" customHeight="1" x14ac:dyDescent="0.25">
      <c r="A239" s="154" t="s">
        <v>1651</v>
      </c>
      <c r="B239" s="154" t="s">
        <v>1652</v>
      </c>
      <c r="C239" s="155" t="s">
        <v>110</v>
      </c>
      <c r="D239" s="156">
        <f>VLOOKUP(C239,'[1]SAP Contract #s'!A:B,2,FALSE)</f>
        <v>21375</v>
      </c>
      <c r="E239" s="154" t="s">
        <v>1655</v>
      </c>
      <c r="F239" s="154" t="s">
        <v>1190</v>
      </c>
      <c r="G239" s="154" t="s">
        <v>1656</v>
      </c>
      <c r="H239" s="157">
        <v>45097</v>
      </c>
      <c r="I239" s="157">
        <v>46387</v>
      </c>
      <c r="J239" s="154" t="s">
        <v>1219</v>
      </c>
      <c r="K239" s="153"/>
    </row>
    <row r="240" spans="1:11" ht="15.75" customHeight="1" x14ac:dyDescent="0.25">
      <c r="A240" s="149" t="s">
        <v>1651</v>
      </c>
      <c r="B240" s="149" t="s">
        <v>1652</v>
      </c>
      <c r="C240" s="150" t="s">
        <v>1027</v>
      </c>
      <c r="D240" s="151">
        <f>VLOOKUP(C240,'[1]SAP Contract #s'!A:B,2,FALSE)</f>
        <v>21508</v>
      </c>
      <c r="E240" s="149" t="s">
        <v>1657</v>
      </c>
      <c r="F240" s="149" t="s">
        <v>1190</v>
      </c>
      <c r="G240" s="149" t="s">
        <v>1658</v>
      </c>
      <c r="H240" s="152">
        <v>46031</v>
      </c>
      <c r="I240" s="152">
        <v>46080</v>
      </c>
      <c r="J240" s="149" t="s">
        <v>1192</v>
      </c>
      <c r="K240" s="153"/>
    </row>
    <row r="241" spans="1:11" ht="15.75" customHeight="1" x14ac:dyDescent="0.25">
      <c r="A241" s="154" t="s">
        <v>1651</v>
      </c>
      <c r="B241" s="154" t="s">
        <v>1652</v>
      </c>
      <c r="C241" s="155" t="s">
        <v>1009</v>
      </c>
      <c r="D241" s="156">
        <f>VLOOKUP(C241,'[1]SAP Contract #s'!A:B,2,FALSE)</f>
        <v>21511</v>
      </c>
      <c r="E241" s="154" t="s">
        <v>1659</v>
      </c>
      <c r="F241" s="154" t="s">
        <v>1190</v>
      </c>
      <c r="G241" s="154" t="s">
        <v>1349</v>
      </c>
      <c r="H241" s="157">
        <v>46036</v>
      </c>
      <c r="I241" s="157">
        <v>46112</v>
      </c>
      <c r="J241" s="154" t="s">
        <v>1192</v>
      </c>
      <c r="K241" s="153"/>
    </row>
    <row r="242" spans="1:11" ht="15.75" customHeight="1" x14ac:dyDescent="0.25">
      <c r="A242" s="149" t="s">
        <v>1651</v>
      </c>
      <c r="B242" s="149" t="s">
        <v>1652</v>
      </c>
      <c r="C242" s="150" t="s">
        <v>59</v>
      </c>
      <c r="D242" s="151">
        <f>VLOOKUP(C242,'[1]SAP Contract #s'!A:B,2,FALSE)</f>
        <v>21517</v>
      </c>
      <c r="E242" s="149" t="s">
        <v>1660</v>
      </c>
      <c r="F242" s="149" t="s">
        <v>1190</v>
      </c>
      <c r="G242" s="149" t="s">
        <v>1661</v>
      </c>
      <c r="H242" s="152">
        <v>36526</v>
      </c>
      <c r="I242" s="152">
        <v>46387</v>
      </c>
      <c r="J242" s="149" t="s">
        <v>1330</v>
      </c>
      <c r="K242" s="153"/>
    </row>
    <row r="243" spans="1:11" ht="15.75" customHeight="1" x14ac:dyDescent="0.25">
      <c r="A243" s="154" t="s">
        <v>1651</v>
      </c>
      <c r="B243" s="154" t="s">
        <v>1652</v>
      </c>
      <c r="C243" s="155" t="s">
        <v>1105</v>
      </c>
      <c r="D243" s="156">
        <v>21898</v>
      </c>
      <c r="E243" s="154" t="s">
        <v>1662</v>
      </c>
      <c r="F243" s="154" t="s">
        <v>1190</v>
      </c>
      <c r="G243" s="154" t="s">
        <v>1663</v>
      </c>
      <c r="H243" s="157">
        <v>46072</v>
      </c>
      <c r="I243" s="157">
        <v>46142</v>
      </c>
      <c r="J243" s="154" t="s">
        <v>1192</v>
      </c>
      <c r="K243" s="153"/>
    </row>
    <row r="244" spans="1:11" ht="15.75" customHeight="1" x14ac:dyDescent="0.25">
      <c r="A244" s="149" t="s">
        <v>1664</v>
      </c>
      <c r="B244" s="149" t="s">
        <v>1665</v>
      </c>
      <c r="C244" s="150" t="s">
        <v>164</v>
      </c>
      <c r="D244" s="151">
        <f>VLOOKUP(C244,'[1]SAP Contract #s'!A:B,2,FALSE)</f>
        <v>21662</v>
      </c>
      <c r="E244" s="149" t="s">
        <v>1666</v>
      </c>
      <c r="F244" s="149" t="s">
        <v>1190</v>
      </c>
      <c r="G244" s="149" t="s">
        <v>1667</v>
      </c>
      <c r="H244" s="152">
        <v>45320</v>
      </c>
      <c r="I244" s="152">
        <v>45747</v>
      </c>
      <c r="J244" s="149" t="s">
        <v>1192</v>
      </c>
      <c r="K244" s="153"/>
    </row>
    <row r="245" spans="1:11" ht="15.75" customHeight="1" x14ac:dyDescent="0.25">
      <c r="A245" s="154" t="s">
        <v>1668</v>
      </c>
      <c r="B245" s="154" t="s">
        <v>1669</v>
      </c>
      <c r="C245" s="155" t="s">
        <v>93</v>
      </c>
      <c r="D245" s="156">
        <f>VLOOKUP(C245,'[1]SAP Contract #s'!A:B,2,FALSE)</f>
        <v>21087</v>
      </c>
      <c r="E245" s="154" t="s">
        <v>1670</v>
      </c>
      <c r="F245" s="154" t="s">
        <v>1190</v>
      </c>
      <c r="G245" s="154" t="s">
        <v>1667</v>
      </c>
      <c r="H245" s="157">
        <v>45320</v>
      </c>
      <c r="I245" s="157">
        <v>45747</v>
      </c>
      <c r="J245" s="154" t="s">
        <v>1192</v>
      </c>
      <c r="K245" s="153"/>
    </row>
    <row r="246" spans="1:11" ht="15.75" customHeight="1" x14ac:dyDescent="0.25">
      <c r="A246" s="149" t="s">
        <v>1671</v>
      </c>
      <c r="B246" s="149" t="s">
        <v>1672</v>
      </c>
      <c r="C246" s="150" t="s">
        <v>95</v>
      </c>
      <c r="D246" s="151">
        <f>VLOOKUP(C246,'[1]SAP Contract #s'!A:B,2,FALSE)</f>
        <v>21106</v>
      </c>
      <c r="E246" s="149" t="s">
        <v>1673</v>
      </c>
      <c r="F246" s="149" t="s">
        <v>1190</v>
      </c>
      <c r="G246" s="149" t="s">
        <v>1667</v>
      </c>
      <c r="H246" s="152">
        <v>45320</v>
      </c>
      <c r="I246" s="152">
        <v>45747</v>
      </c>
      <c r="J246" s="149" t="s">
        <v>1192</v>
      </c>
      <c r="K246" s="153"/>
    </row>
    <row r="247" spans="1:11" ht="15.75" customHeight="1" x14ac:dyDescent="0.25">
      <c r="A247" s="154" t="s">
        <v>1674</v>
      </c>
      <c r="B247" s="154" t="s">
        <v>1675</v>
      </c>
      <c r="C247" s="155" t="s">
        <v>46</v>
      </c>
      <c r="D247" s="156">
        <f>VLOOKUP(C247,'[1]SAP Contract #s'!A:B,2,FALSE)</f>
        <v>21594</v>
      </c>
      <c r="E247" s="154" t="s">
        <v>1676</v>
      </c>
      <c r="F247" s="154" t="s">
        <v>1190</v>
      </c>
      <c r="G247" s="154" t="s">
        <v>1677</v>
      </c>
      <c r="H247" s="157">
        <v>42370</v>
      </c>
      <c r="I247" s="157">
        <v>46022</v>
      </c>
      <c r="J247" s="154" t="s">
        <v>1219</v>
      </c>
      <c r="K247" s="153"/>
    </row>
    <row r="248" spans="1:11" ht="15.75" customHeight="1" x14ac:dyDescent="0.25">
      <c r="A248" s="149" t="s">
        <v>1678</v>
      </c>
      <c r="B248" s="149" t="s">
        <v>1679</v>
      </c>
      <c r="C248" s="150" t="s">
        <v>143</v>
      </c>
      <c r="D248" s="151">
        <f>VLOOKUP(C248,'[1]SAP Contract #s'!A:B,2,FALSE)</f>
        <v>21173</v>
      </c>
      <c r="E248" s="149" t="s">
        <v>1680</v>
      </c>
      <c r="F248" s="149" t="s">
        <v>1190</v>
      </c>
      <c r="G248" s="149" t="s">
        <v>1681</v>
      </c>
      <c r="H248" s="152">
        <v>45545</v>
      </c>
      <c r="I248" s="152">
        <v>46203</v>
      </c>
      <c r="J248" s="149" t="s">
        <v>1192</v>
      </c>
      <c r="K248" s="153"/>
    </row>
    <row r="249" spans="1:11" ht="15.75" customHeight="1" x14ac:dyDescent="0.25">
      <c r="A249" s="154" t="s">
        <v>1682</v>
      </c>
      <c r="B249" s="154" t="s">
        <v>1683</v>
      </c>
      <c r="C249" s="155" t="s">
        <v>182</v>
      </c>
      <c r="D249" s="156">
        <f>VLOOKUP(C249,'[1]SAP Contract #s'!A:B,2,FALSE)</f>
        <v>21197</v>
      </c>
      <c r="E249" s="154" t="s">
        <v>1684</v>
      </c>
      <c r="F249" s="154" t="s">
        <v>1190</v>
      </c>
      <c r="G249" s="154" t="s">
        <v>1681</v>
      </c>
      <c r="H249" s="157">
        <v>45658</v>
      </c>
      <c r="I249" s="157">
        <v>46233</v>
      </c>
      <c r="J249" s="154" t="s">
        <v>1192</v>
      </c>
      <c r="K249" s="153"/>
    </row>
    <row r="250" spans="1:11" ht="15.75" customHeight="1" x14ac:dyDescent="0.25">
      <c r="A250" s="149" t="s">
        <v>1685</v>
      </c>
      <c r="B250" s="149" t="s">
        <v>1686</v>
      </c>
      <c r="C250" s="150" t="s">
        <v>554</v>
      </c>
      <c r="D250" s="151">
        <f>VLOOKUP(C250,'[1]SAP Contract #s'!A:B,2,FALSE)</f>
        <v>21684</v>
      </c>
      <c r="E250" s="149" t="s">
        <v>1687</v>
      </c>
      <c r="F250" s="149" t="s">
        <v>1190</v>
      </c>
      <c r="G250" s="149" t="s">
        <v>1688</v>
      </c>
      <c r="H250" s="152">
        <v>45134</v>
      </c>
      <c r="I250" s="152">
        <v>45473</v>
      </c>
      <c r="J250" s="149" t="s">
        <v>1192</v>
      </c>
      <c r="K250" s="153"/>
    </row>
    <row r="251" spans="1:11" ht="15.75" customHeight="1" x14ac:dyDescent="0.25">
      <c r="A251" s="154" t="s">
        <v>1689</v>
      </c>
      <c r="B251" s="154" t="s">
        <v>1690</v>
      </c>
      <c r="C251" s="155" t="s">
        <v>493</v>
      </c>
      <c r="D251" s="156">
        <f>VLOOKUP(C251,'[1]SAP Contract #s'!A:B,2,FALSE)</f>
        <v>21208</v>
      </c>
      <c r="E251" s="154" t="s">
        <v>1691</v>
      </c>
      <c r="F251" s="154" t="s">
        <v>1190</v>
      </c>
      <c r="G251" s="154" t="s">
        <v>1688</v>
      </c>
      <c r="H251" s="157">
        <v>45547</v>
      </c>
      <c r="I251" s="157">
        <v>46203</v>
      </c>
      <c r="J251" s="154" t="s">
        <v>1192</v>
      </c>
      <c r="K251" s="153"/>
    </row>
    <row r="252" spans="1:11" ht="15.75" customHeight="1" x14ac:dyDescent="0.25">
      <c r="A252" s="149" t="s">
        <v>1692</v>
      </c>
      <c r="B252" s="149" t="s">
        <v>1693</v>
      </c>
      <c r="C252" s="150" t="s">
        <v>471</v>
      </c>
      <c r="D252" s="151">
        <f>VLOOKUP(C252,'[1]SAP Contract #s'!A:B,2,FALSE)</f>
        <v>21211</v>
      </c>
      <c r="E252" s="149" t="s">
        <v>1694</v>
      </c>
      <c r="F252" s="149" t="s">
        <v>1190</v>
      </c>
      <c r="G252" s="149" t="s">
        <v>1688</v>
      </c>
      <c r="H252" s="152">
        <v>45597</v>
      </c>
      <c r="I252" s="152">
        <v>45962</v>
      </c>
      <c r="J252" s="149" t="s">
        <v>1192</v>
      </c>
      <c r="K252" s="153"/>
    </row>
    <row r="253" spans="1:11" ht="15.75" customHeight="1" x14ac:dyDescent="0.25">
      <c r="A253" s="154" t="s">
        <v>1695</v>
      </c>
      <c r="B253" s="154" t="s">
        <v>1696</v>
      </c>
      <c r="C253" s="155" t="s">
        <v>472</v>
      </c>
      <c r="D253" s="156">
        <f>VLOOKUP(C253,'[1]SAP Contract #s'!A:B,2,FALSE)</f>
        <v>21222</v>
      </c>
      <c r="E253" s="154" t="s">
        <v>1697</v>
      </c>
      <c r="F253" s="154" t="s">
        <v>1190</v>
      </c>
      <c r="G253" s="154" t="s">
        <v>1688</v>
      </c>
      <c r="H253" s="157">
        <v>45597</v>
      </c>
      <c r="I253" s="157">
        <v>45962</v>
      </c>
      <c r="J253" s="154" t="s">
        <v>1192</v>
      </c>
      <c r="K253" s="153"/>
    </row>
    <row r="254" spans="1:11" ht="15.75" customHeight="1" x14ac:dyDescent="0.25">
      <c r="A254" s="149" t="s">
        <v>1698</v>
      </c>
      <c r="B254" s="149" t="s">
        <v>1699</v>
      </c>
      <c r="C254" s="150" t="s">
        <v>774</v>
      </c>
      <c r="D254" s="151">
        <f>VLOOKUP(C254,'[1]SAP Contract #s'!A:B,2,FALSE)</f>
        <v>21433</v>
      </c>
      <c r="E254" s="149" t="s">
        <v>1700</v>
      </c>
      <c r="F254" s="149" t="s">
        <v>1190</v>
      </c>
      <c r="G254" s="149" t="s">
        <v>1688</v>
      </c>
      <c r="H254" s="152">
        <v>45839</v>
      </c>
      <c r="I254" s="152">
        <v>46203</v>
      </c>
      <c r="J254" s="149" t="s">
        <v>1192</v>
      </c>
      <c r="K254" s="153"/>
    </row>
    <row r="255" spans="1:11" ht="15.75" customHeight="1" x14ac:dyDescent="0.25">
      <c r="A255" s="154" t="s">
        <v>1701</v>
      </c>
      <c r="B255" s="154" t="s">
        <v>1702</v>
      </c>
      <c r="C255" s="155" t="s">
        <v>1703</v>
      </c>
      <c r="D255" s="156">
        <v>21901</v>
      </c>
      <c r="E255" s="154" t="s">
        <v>1704</v>
      </c>
      <c r="F255" s="154" t="s">
        <v>1190</v>
      </c>
      <c r="G255" s="154" t="s">
        <v>1705</v>
      </c>
      <c r="H255" s="157">
        <v>46078</v>
      </c>
      <c r="I255" s="157">
        <v>46173</v>
      </c>
      <c r="J255" s="154" t="s">
        <v>1192</v>
      </c>
      <c r="K255" s="153"/>
    </row>
    <row r="256" spans="1:11" ht="15.75" customHeight="1" x14ac:dyDescent="0.25">
      <c r="A256" s="149" t="s">
        <v>1701</v>
      </c>
      <c r="B256" s="149" t="s">
        <v>1702</v>
      </c>
      <c r="C256" s="150" t="s">
        <v>1706</v>
      </c>
      <c r="D256" s="151">
        <v>21902</v>
      </c>
      <c r="E256" s="149" t="s">
        <v>1707</v>
      </c>
      <c r="F256" s="149" t="s">
        <v>1190</v>
      </c>
      <c r="G256" s="149" t="s">
        <v>1705</v>
      </c>
      <c r="H256" s="152">
        <v>46079</v>
      </c>
      <c r="I256" s="152">
        <v>46173</v>
      </c>
      <c r="J256" s="149" t="s">
        <v>1192</v>
      </c>
      <c r="K256" s="153"/>
    </row>
    <row r="257" spans="1:11" ht="15.75" customHeight="1" x14ac:dyDescent="0.25">
      <c r="A257" s="154" t="s">
        <v>1708</v>
      </c>
      <c r="B257" s="154" t="s">
        <v>1709</v>
      </c>
      <c r="C257" s="155" t="s">
        <v>1007</v>
      </c>
      <c r="D257" s="156">
        <f>VLOOKUP(C257,'[1]SAP Contract #s'!A:B,2,FALSE)</f>
        <v>21453</v>
      </c>
      <c r="E257" s="154" t="s">
        <v>1710</v>
      </c>
      <c r="F257" s="154" t="s">
        <v>1190</v>
      </c>
      <c r="G257" s="154" t="s">
        <v>1711</v>
      </c>
      <c r="H257" s="157">
        <v>46023</v>
      </c>
      <c r="I257" s="157">
        <v>46752</v>
      </c>
      <c r="J257" s="154" t="s">
        <v>1219</v>
      </c>
      <c r="K257" s="153"/>
    </row>
    <row r="258" spans="1:11" ht="15.75" customHeight="1" x14ac:dyDescent="0.25">
      <c r="A258" s="149" t="s">
        <v>1712</v>
      </c>
      <c r="B258" s="149" t="s">
        <v>1713</v>
      </c>
      <c r="C258" s="150" t="s">
        <v>92</v>
      </c>
      <c r="D258" s="151">
        <f>VLOOKUP(C258,'[1]SAP Contract #s'!A:B,2,FALSE)</f>
        <v>21064</v>
      </c>
      <c r="E258" s="149" t="s">
        <v>1714</v>
      </c>
      <c r="F258" s="149" t="s">
        <v>1190</v>
      </c>
      <c r="G258" s="149" t="s">
        <v>1715</v>
      </c>
      <c r="H258" s="152">
        <v>45300</v>
      </c>
      <c r="I258" s="152">
        <v>45747</v>
      </c>
      <c r="J258" s="149" t="s">
        <v>1192</v>
      </c>
      <c r="K258" s="153"/>
    </row>
    <row r="259" spans="1:11" ht="15.75" customHeight="1" x14ac:dyDescent="0.25">
      <c r="A259" s="154" t="s">
        <v>1716</v>
      </c>
      <c r="B259" s="154" t="s">
        <v>1717</v>
      </c>
      <c r="C259" s="155" t="s">
        <v>342</v>
      </c>
      <c r="D259" s="156">
        <f>VLOOKUP(C259,'[1]SAP Contract #s'!A:B,2,FALSE)</f>
        <v>21431</v>
      </c>
      <c r="E259" s="154" t="s">
        <v>1718</v>
      </c>
      <c r="F259" s="154" t="s">
        <v>1190</v>
      </c>
      <c r="G259" s="154" t="s">
        <v>1715</v>
      </c>
      <c r="H259" s="157">
        <v>45583</v>
      </c>
      <c r="I259" s="157">
        <v>46387</v>
      </c>
      <c r="J259" s="154" t="s">
        <v>1192</v>
      </c>
      <c r="K259" s="153"/>
    </row>
    <row r="260" spans="1:11" ht="15.75" customHeight="1" x14ac:dyDescent="0.25">
      <c r="A260" s="149" t="s">
        <v>1719</v>
      </c>
      <c r="B260" s="149" t="s">
        <v>1720</v>
      </c>
      <c r="C260" s="150" t="s">
        <v>99</v>
      </c>
      <c r="D260" s="151">
        <f>VLOOKUP(C260,'[1]SAP Contract #s'!A:B,2,FALSE)</f>
        <v>21463</v>
      </c>
      <c r="E260" s="149" t="s">
        <v>1721</v>
      </c>
      <c r="F260" s="149" t="s">
        <v>1190</v>
      </c>
      <c r="G260" s="149" t="s">
        <v>1722</v>
      </c>
      <c r="H260" s="152">
        <v>45329</v>
      </c>
      <c r="I260" s="152">
        <v>46387</v>
      </c>
      <c r="J260" s="149" t="s">
        <v>1219</v>
      </c>
      <c r="K260" s="153"/>
    </row>
    <row r="261" spans="1:11" ht="15.75" customHeight="1" x14ac:dyDescent="0.25">
      <c r="A261" s="154" t="s">
        <v>1723</v>
      </c>
      <c r="B261" s="154" t="s">
        <v>1724</v>
      </c>
      <c r="C261" s="155" t="s">
        <v>891</v>
      </c>
      <c r="D261" s="156">
        <f>VLOOKUP(C261,'[1]SAP Contract #s'!A:B,2,FALSE)</f>
        <v>21332</v>
      </c>
      <c r="E261" s="154" t="s">
        <v>1725</v>
      </c>
      <c r="F261" s="154" t="s">
        <v>1190</v>
      </c>
      <c r="G261" s="154" t="s">
        <v>1726</v>
      </c>
      <c r="H261" s="157">
        <v>45911</v>
      </c>
      <c r="I261" s="157">
        <v>46022</v>
      </c>
      <c r="J261" s="154" t="s">
        <v>1192</v>
      </c>
      <c r="K261" s="153"/>
    </row>
    <row r="262" spans="1:11" ht="15.75" customHeight="1" x14ac:dyDescent="0.25">
      <c r="A262" s="149" t="s">
        <v>1727</v>
      </c>
      <c r="B262" s="149" t="s">
        <v>1728</v>
      </c>
      <c r="C262" s="150" t="s">
        <v>65</v>
      </c>
      <c r="D262" s="151">
        <f>VLOOKUP(C262,'[1]SAP Contract #s'!A:B,2,FALSE)</f>
        <v>21070</v>
      </c>
      <c r="E262" s="149" t="s">
        <v>1729</v>
      </c>
      <c r="F262" s="149" t="s">
        <v>1190</v>
      </c>
      <c r="G262" s="149" t="s">
        <v>1730</v>
      </c>
      <c r="H262" s="152">
        <v>45194</v>
      </c>
      <c r="I262" s="152">
        <v>46022</v>
      </c>
      <c r="J262" s="149" t="s">
        <v>1219</v>
      </c>
      <c r="K262" s="153"/>
    </row>
    <row r="263" spans="1:11" ht="15.75" customHeight="1" x14ac:dyDescent="0.25">
      <c r="A263" s="154" t="s">
        <v>1731</v>
      </c>
      <c r="B263" s="154" t="s">
        <v>1732</v>
      </c>
      <c r="C263" s="155" t="s">
        <v>418</v>
      </c>
      <c r="D263" s="156">
        <f>VLOOKUP(C263,'[1]SAP Contract #s'!A:B,2,FALSE)</f>
        <v>21465</v>
      </c>
      <c r="E263" s="154" t="s">
        <v>1733</v>
      </c>
      <c r="F263" s="154" t="s">
        <v>1190</v>
      </c>
      <c r="G263" s="154" t="s">
        <v>1734</v>
      </c>
      <c r="H263" s="157">
        <v>45750</v>
      </c>
      <c r="I263" s="157">
        <v>46112</v>
      </c>
      <c r="J263" s="154" t="s">
        <v>1192</v>
      </c>
      <c r="K263" s="153"/>
    </row>
    <row r="264" spans="1:11" ht="15.75" customHeight="1" x14ac:dyDescent="0.25">
      <c r="A264" s="149" t="s">
        <v>1735</v>
      </c>
      <c r="B264" s="149" t="s">
        <v>1736</v>
      </c>
      <c r="C264" s="150" t="s">
        <v>396</v>
      </c>
      <c r="D264" s="151">
        <f>VLOOKUP(C264,'[1]SAP Contract #s'!A:B,2,FALSE)</f>
        <v>21114</v>
      </c>
      <c r="E264" s="149" t="s">
        <v>1737</v>
      </c>
      <c r="F264" s="149" t="s">
        <v>1190</v>
      </c>
      <c r="G264" s="149" t="s">
        <v>1738</v>
      </c>
      <c r="H264" s="152">
        <v>45740</v>
      </c>
      <c r="I264" s="152">
        <v>46174</v>
      </c>
      <c r="J264" s="149" t="s">
        <v>1219</v>
      </c>
      <c r="K264" s="153"/>
    </row>
    <row r="265" spans="1:11" ht="15.75" customHeight="1" x14ac:dyDescent="0.25">
      <c r="A265" s="154" t="s">
        <v>1739</v>
      </c>
      <c r="B265" s="154" t="s">
        <v>1740</v>
      </c>
      <c r="C265" s="155" t="s">
        <v>574</v>
      </c>
      <c r="D265" s="156">
        <f>VLOOKUP(C265,'[1]SAP Contract #s'!A:B,2,FALSE)</f>
        <v>21188</v>
      </c>
      <c r="E265" s="154" t="s">
        <v>1741</v>
      </c>
      <c r="F265" s="154" t="s">
        <v>1190</v>
      </c>
      <c r="G265" s="154" t="s">
        <v>1738</v>
      </c>
      <c r="H265" s="157">
        <v>45789</v>
      </c>
      <c r="I265" s="157">
        <v>46022</v>
      </c>
      <c r="J265" s="154" t="s">
        <v>1192</v>
      </c>
      <c r="K265" s="153"/>
    </row>
    <row r="266" spans="1:11" ht="15.75" customHeight="1" x14ac:dyDescent="0.25">
      <c r="A266" s="149" t="s">
        <v>1742</v>
      </c>
      <c r="B266" s="149" t="s">
        <v>1743</v>
      </c>
      <c r="C266" s="150" t="s">
        <v>610</v>
      </c>
      <c r="D266" s="151">
        <f>VLOOKUP(C266,'[1]SAP Contract #s'!A:B,2,FALSE)</f>
        <v>21189</v>
      </c>
      <c r="E266" s="149" t="s">
        <v>1744</v>
      </c>
      <c r="F266" s="149" t="s">
        <v>1190</v>
      </c>
      <c r="G266" s="149" t="s">
        <v>1745</v>
      </c>
      <c r="H266" s="152">
        <v>45827</v>
      </c>
      <c r="I266" s="152">
        <v>46295</v>
      </c>
      <c r="J266" s="149" t="s">
        <v>1219</v>
      </c>
      <c r="K266" s="153"/>
    </row>
    <row r="267" spans="1:11" ht="15.75" customHeight="1" x14ac:dyDescent="0.25">
      <c r="A267" s="154" t="s">
        <v>1742</v>
      </c>
      <c r="B267" s="154" t="s">
        <v>1743</v>
      </c>
      <c r="C267" s="155" t="s">
        <v>720</v>
      </c>
      <c r="D267" s="156">
        <f>VLOOKUP(C267,'[1]SAP Contract #s'!A:B,2,FALSE)</f>
        <v>21202</v>
      </c>
      <c r="E267" s="154" t="s">
        <v>1746</v>
      </c>
      <c r="F267" s="154" t="s">
        <v>1190</v>
      </c>
      <c r="G267" s="154" t="s">
        <v>1745</v>
      </c>
      <c r="H267" s="157">
        <v>45856</v>
      </c>
      <c r="I267" s="157">
        <v>46295</v>
      </c>
      <c r="J267" s="154" t="s">
        <v>1219</v>
      </c>
      <c r="K267" s="153"/>
    </row>
    <row r="268" spans="1:11" ht="15.75" customHeight="1" x14ac:dyDescent="0.25">
      <c r="A268" s="149" t="s">
        <v>1747</v>
      </c>
      <c r="B268" s="149" t="s">
        <v>1748</v>
      </c>
      <c r="C268" s="150" t="s">
        <v>1042</v>
      </c>
      <c r="D268" s="151">
        <f>VLOOKUP(C268,'[1]SAP Contract #s'!A:B,2,FALSE)</f>
        <v>21057</v>
      </c>
      <c r="E268" s="149" t="s">
        <v>1749</v>
      </c>
      <c r="F268" s="149" t="s">
        <v>1190</v>
      </c>
      <c r="G268" s="149" t="s">
        <v>1750</v>
      </c>
      <c r="H268" s="152">
        <v>45940</v>
      </c>
      <c r="I268" s="152">
        <v>45992</v>
      </c>
      <c r="J268" s="149" t="s">
        <v>1210</v>
      </c>
      <c r="K268" s="153"/>
    </row>
    <row r="269" spans="1:11" ht="15.75" customHeight="1" x14ac:dyDescent="0.25">
      <c r="A269" s="154" t="s">
        <v>1751</v>
      </c>
      <c r="B269" s="154" t="s">
        <v>1752</v>
      </c>
      <c r="C269" s="155" t="s">
        <v>492</v>
      </c>
      <c r="D269" s="156">
        <f>VLOOKUP(C269,'[1]SAP Contract #s'!A:B,2,FALSE)</f>
        <v>21121</v>
      </c>
      <c r="E269" s="154" t="s">
        <v>1753</v>
      </c>
      <c r="F269" s="154" t="s">
        <v>1190</v>
      </c>
      <c r="G269" s="154" t="s">
        <v>1754</v>
      </c>
      <c r="H269" s="157">
        <v>44027</v>
      </c>
      <c r="I269" s="157">
        <v>45962</v>
      </c>
      <c r="J269" s="154" t="s">
        <v>1192</v>
      </c>
      <c r="K269" s="153"/>
    </row>
    <row r="270" spans="1:11" ht="15.75" customHeight="1" x14ac:dyDescent="0.25">
      <c r="A270" s="149" t="s">
        <v>1751</v>
      </c>
      <c r="B270" s="149" t="s">
        <v>1752</v>
      </c>
      <c r="C270" s="150" t="s">
        <v>1755</v>
      </c>
      <c r="D270" s="151">
        <f>VLOOKUP(C270,'[1]SAP Contract #s'!A:B,2,FALSE)</f>
        <v>21264</v>
      </c>
      <c r="E270" s="149" t="s">
        <v>1756</v>
      </c>
      <c r="F270" s="149" t="s">
        <v>1190</v>
      </c>
      <c r="G270" s="149" t="s">
        <v>1754</v>
      </c>
      <c r="H270" s="152">
        <v>45916</v>
      </c>
      <c r="I270" s="152">
        <v>46112</v>
      </c>
      <c r="J270" s="149" t="s">
        <v>1192</v>
      </c>
      <c r="K270" s="153"/>
    </row>
    <row r="271" spans="1:11" ht="15.75" customHeight="1" x14ac:dyDescent="0.25">
      <c r="A271" s="154" t="s">
        <v>1751</v>
      </c>
      <c r="B271" s="154" t="s">
        <v>1752</v>
      </c>
      <c r="C271" s="155" t="s">
        <v>457</v>
      </c>
      <c r="D271" s="156">
        <f>VLOOKUP(C271,'[1]SAP Contract #s'!A:B,2,FALSE)</f>
        <v>21294</v>
      </c>
      <c r="E271" s="154" t="s">
        <v>1757</v>
      </c>
      <c r="F271" s="154" t="s">
        <v>1190</v>
      </c>
      <c r="G271" s="154" t="s">
        <v>1754</v>
      </c>
      <c r="H271" s="157">
        <v>45691</v>
      </c>
      <c r="I271" s="157">
        <v>45898</v>
      </c>
      <c r="J271" s="154" t="s">
        <v>1192</v>
      </c>
      <c r="K271" s="153"/>
    </row>
    <row r="272" spans="1:11" ht="15.75" customHeight="1" x14ac:dyDescent="0.25">
      <c r="A272" s="149" t="s">
        <v>1751</v>
      </c>
      <c r="B272" s="149" t="s">
        <v>1752</v>
      </c>
      <c r="C272" s="150" t="s">
        <v>767</v>
      </c>
      <c r="D272" s="151">
        <f>VLOOKUP(C272,'[1]SAP Contract #s'!A:B,2,FALSE)</f>
        <v>21394</v>
      </c>
      <c r="E272" s="149" t="s">
        <v>1758</v>
      </c>
      <c r="F272" s="149" t="s">
        <v>1190</v>
      </c>
      <c r="G272" s="149" t="s">
        <v>1754</v>
      </c>
      <c r="H272" s="152">
        <v>45888</v>
      </c>
      <c r="I272" s="152">
        <v>46752</v>
      </c>
      <c r="J272" s="149" t="s">
        <v>1219</v>
      </c>
      <c r="K272" s="153"/>
    </row>
    <row r="273" spans="1:11" ht="15.75" customHeight="1" x14ac:dyDescent="0.25">
      <c r="A273" s="154" t="s">
        <v>1751</v>
      </c>
      <c r="B273" s="154" t="s">
        <v>1752</v>
      </c>
      <c r="C273" s="155" t="s">
        <v>1106</v>
      </c>
      <c r="D273" s="156">
        <f>VLOOKUP(C273,'[1]SAP Contract #s'!A:B,2,FALSE)</f>
        <v>21493</v>
      </c>
      <c r="E273" s="154" t="s">
        <v>1759</v>
      </c>
      <c r="F273" s="154" t="s">
        <v>1190</v>
      </c>
      <c r="G273" s="154" t="s">
        <v>1754</v>
      </c>
      <c r="H273" s="157">
        <v>46006</v>
      </c>
      <c r="I273" s="157">
        <v>46387</v>
      </c>
      <c r="J273" s="154" t="s">
        <v>1192</v>
      </c>
      <c r="K273" s="153"/>
    </row>
    <row r="274" spans="1:11" ht="15.75" customHeight="1" x14ac:dyDescent="0.25">
      <c r="A274" s="149" t="s">
        <v>1751</v>
      </c>
      <c r="B274" s="149" t="s">
        <v>1752</v>
      </c>
      <c r="C274" s="150" t="s">
        <v>1054</v>
      </c>
      <c r="D274" s="151">
        <f>VLOOKUP(C274,'[1]SAP Contract #s'!A:B,2,FALSE)</f>
        <v>21506</v>
      </c>
      <c r="E274" s="149" t="s">
        <v>1760</v>
      </c>
      <c r="F274" s="149" t="s">
        <v>1190</v>
      </c>
      <c r="G274" s="149" t="s">
        <v>1754</v>
      </c>
      <c r="H274" s="152">
        <v>46020</v>
      </c>
      <c r="I274" s="152">
        <v>46112</v>
      </c>
      <c r="J274" s="149" t="s">
        <v>1192</v>
      </c>
      <c r="K274" s="153"/>
    </row>
    <row r="275" spans="1:11" ht="15.75" customHeight="1" x14ac:dyDescent="0.25">
      <c r="A275" s="154" t="s">
        <v>1751</v>
      </c>
      <c r="B275" s="154" t="s">
        <v>1752</v>
      </c>
      <c r="C275" s="155" t="s">
        <v>1052</v>
      </c>
      <c r="D275" s="156">
        <f>VLOOKUP(C275,'[1]SAP Contract #s'!A:B,2,FALSE)</f>
        <v>21550</v>
      </c>
      <c r="E275" s="154" t="s">
        <v>1761</v>
      </c>
      <c r="F275" s="154" t="s">
        <v>1190</v>
      </c>
      <c r="G275" s="154" t="s">
        <v>1754</v>
      </c>
      <c r="H275" s="157">
        <v>45957</v>
      </c>
      <c r="I275" s="157">
        <v>46112</v>
      </c>
      <c r="J275" s="154" t="s">
        <v>1192</v>
      </c>
      <c r="K275" s="153"/>
    </row>
    <row r="276" spans="1:11" ht="15.75" customHeight="1" x14ac:dyDescent="0.25">
      <c r="A276" s="149" t="s">
        <v>1751</v>
      </c>
      <c r="B276" s="149" t="s">
        <v>1752</v>
      </c>
      <c r="C276" s="150" t="s">
        <v>1762</v>
      </c>
      <c r="D276" s="151">
        <v>21900</v>
      </c>
      <c r="E276" s="149" t="s">
        <v>1763</v>
      </c>
      <c r="F276" s="149" t="s">
        <v>1190</v>
      </c>
      <c r="G276" s="149" t="s">
        <v>1764</v>
      </c>
      <c r="H276" s="152">
        <v>46076</v>
      </c>
      <c r="I276" s="152">
        <v>46203</v>
      </c>
      <c r="J276" s="149" t="s">
        <v>1192</v>
      </c>
      <c r="K276" s="153"/>
    </row>
    <row r="277" spans="1:11" ht="15.75" customHeight="1" x14ac:dyDescent="0.25">
      <c r="A277" s="154" t="s">
        <v>1765</v>
      </c>
      <c r="B277" s="154" t="s">
        <v>1766</v>
      </c>
      <c r="C277" s="155" t="s">
        <v>835</v>
      </c>
      <c r="D277" s="156">
        <f>VLOOKUP(C277,'[1]SAP Contract #s'!A:B,2,FALSE)</f>
        <v>21360</v>
      </c>
      <c r="E277" s="154" t="s">
        <v>1767</v>
      </c>
      <c r="F277" s="154" t="s">
        <v>1190</v>
      </c>
      <c r="G277" s="154" t="s">
        <v>1754</v>
      </c>
      <c r="H277" s="157">
        <v>45922</v>
      </c>
      <c r="I277" s="157">
        <v>45961</v>
      </c>
      <c r="J277" s="154" t="s">
        <v>1192</v>
      </c>
      <c r="K277" s="153"/>
    </row>
    <row r="278" spans="1:11" ht="15.75" customHeight="1" x14ac:dyDescent="0.25">
      <c r="A278" s="149" t="s">
        <v>1765</v>
      </c>
      <c r="B278" s="149" t="s">
        <v>1766</v>
      </c>
      <c r="C278" s="150" t="s">
        <v>847</v>
      </c>
      <c r="D278" s="151">
        <f>VLOOKUP(C278,'[1]SAP Contract #s'!A:B,2,FALSE)</f>
        <v>21444</v>
      </c>
      <c r="E278" s="149" t="s">
        <v>1768</v>
      </c>
      <c r="F278" s="149" t="s">
        <v>1190</v>
      </c>
      <c r="G278" s="149" t="s">
        <v>1754</v>
      </c>
      <c r="H278" s="152">
        <v>45896</v>
      </c>
      <c r="I278" s="152">
        <v>46234</v>
      </c>
      <c r="J278" s="149" t="s">
        <v>1192</v>
      </c>
      <c r="K278" s="153"/>
    </row>
    <row r="279" spans="1:11" ht="15.75" customHeight="1" x14ac:dyDescent="0.25">
      <c r="A279" s="154" t="s">
        <v>1769</v>
      </c>
      <c r="B279" s="154" t="s">
        <v>1770</v>
      </c>
      <c r="C279" s="155" t="s">
        <v>45</v>
      </c>
      <c r="D279" s="156">
        <f>VLOOKUP(C279,'[1]SAP Contract #s'!A:B,2,FALSE)</f>
        <v>21575</v>
      </c>
      <c r="E279" s="154" t="s">
        <v>1771</v>
      </c>
      <c r="F279" s="154" t="s">
        <v>1190</v>
      </c>
      <c r="G279" s="154" t="s">
        <v>1772</v>
      </c>
      <c r="H279" s="157">
        <v>42370</v>
      </c>
      <c r="I279" s="157">
        <v>46022</v>
      </c>
      <c r="J279" s="154" t="s">
        <v>1219</v>
      </c>
      <c r="K279" s="153"/>
    </row>
    <row r="280" spans="1:11" ht="15.75" customHeight="1" x14ac:dyDescent="0.25">
      <c r="A280" s="149" t="s">
        <v>1773</v>
      </c>
      <c r="B280" s="149" t="s">
        <v>1774</v>
      </c>
      <c r="C280" s="150" t="s">
        <v>790</v>
      </c>
      <c r="D280" s="151">
        <f>VLOOKUP(C280,'[1]SAP Contract #s'!A:B,2,FALSE)</f>
        <v>21159</v>
      </c>
      <c r="E280" s="149" t="s">
        <v>1775</v>
      </c>
      <c r="F280" s="149" t="s">
        <v>1190</v>
      </c>
      <c r="G280" s="149" t="s">
        <v>1776</v>
      </c>
      <c r="H280" s="152">
        <v>45467</v>
      </c>
      <c r="I280" s="152">
        <v>46660</v>
      </c>
      <c r="J280" s="149" t="s">
        <v>1372</v>
      </c>
      <c r="K280" s="153"/>
    </row>
    <row r="281" spans="1:11" ht="15.75" customHeight="1" x14ac:dyDescent="0.25">
      <c r="A281" s="154" t="s">
        <v>1773</v>
      </c>
      <c r="B281" s="154" t="s">
        <v>1774</v>
      </c>
      <c r="C281" s="155" t="s">
        <v>139</v>
      </c>
      <c r="D281" s="156">
        <f>VLOOKUP(C281,'[1]SAP Contract #s'!A:B,2,FALSE)</f>
        <v>21161</v>
      </c>
      <c r="E281" s="154" t="s">
        <v>1777</v>
      </c>
      <c r="F281" s="154" t="s">
        <v>1190</v>
      </c>
      <c r="G281" s="154" t="s">
        <v>1776</v>
      </c>
      <c r="H281" s="157">
        <v>45467</v>
      </c>
      <c r="I281" s="157">
        <v>46660</v>
      </c>
      <c r="J281" s="154" t="s">
        <v>1372</v>
      </c>
      <c r="K281" s="153"/>
    </row>
    <row r="282" spans="1:11" ht="15.75" customHeight="1" x14ac:dyDescent="0.25">
      <c r="A282" s="149" t="s">
        <v>1773</v>
      </c>
      <c r="B282" s="149" t="s">
        <v>1774</v>
      </c>
      <c r="C282" s="150" t="s">
        <v>141</v>
      </c>
      <c r="D282" s="151">
        <f>VLOOKUP(C282,'[1]SAP Contract #s'!A:B,2,FALSE)</f>
        <v>21223</v>
      </c>
      <c r="E282" s="149" t="s">
        <v>1778</v>
      </c>
      <c r="F282" s="149" t="s">
        <v>1190</v>
      </c>
      <c r="G282" s="149" t="s">
        <v>1776</v>
      </c>
      <c r="H282" s="152">
        <v>45467</v>
      </c>
      <c r="I282" s="152">
        <v>46660</v>
      </c>
      <c r="J282" s="149" t="s">
        <v>1372</v>
      </c>
      <c r="K282" s="153"/>
    </row>
    <row r="283" spans="1:11" ht="15.75" customHeight="1" x14ac:dyDescent="0.25">
      <c r="A283" s="154" t="s">
        <v>1773</v>
      </c>
      <c r="B283" s="154" t="s">
        <v>1774</v>
      </c>
      <c r="C283" s="155" t="s">
        <v>1031</v>
      </c>
      <c r="D283" s="156">
        <f>VLOOKUP(C283,'[1]SAP Contract #s'!A:B,2,FALSE)</f>
        <v>21250</v>
      </c>
      <c r="E283" s="154" t="s">
        <v>1779</v>
      </c>
      <c r="F283" s="154" t="s">
        <v>1190</v>
      </c>
      <c r="G283" s="154" t="s">
        <v>1776</v>
      </c>
      <c r="H283" s="157">
        <v>46023</v>
      </c>
      <c r="I283" s="157">
        <v>46174</v>
      </c>
      <c r="J283" s="154" t="s">
        <v>1372</v>
      </c>
      <c r="K283" s="153"/>
    </row>
    <row r="284" spans="1:11" ht="15.75" customHeight="1" x14ac:dyDescent="0.25">
      <c r="A284" s="149" t="s">
        <v>1773</v>
      </c>
      <c r="B284" s="149" t="s">
        <v>1774</v>
      </c>
      <c r="C284" s="150" t="s">
        <v>754</v>
      </c>
      <c r="D284" s="151">
        <f>VLOOKUP(C284,'[1]SAP Contract #s'!A:B,2,FALSE)</f>
        <v>21277</v>
      </c>
      <c r="E284" s="149" t="s">
        <v>1780</v>
      </c>
      <c r="F284" s="149" t="s">
        <v>1190</v>
      </c>
      <c r="G284" s="149" t="s">
        <v>1776</v>
      </c>
      <c r="H284" s="152">
        <v>45467</v>
      </c>
      <c r="I284" s="152">
        <v>46660</v>
      </c>
      <c r="J284" s="149" t="s">
        <v>1372</v>
      </c>
      <c r="K284" s="153"/>
    </row>
    <row r="285" spans="1:11" ht="15.75" customHeight="1" x14ac:dyDescent="0.25">
      <c r="A285" s="154" t="s">
        <v>1773</v>
      </c>
      <c r="B285" s="154" t="s">
        <v>1774</v>
      </c>
      <c r="C285" s="155" t="s">
        <v>1006</v>
      </c>
      <c r="D285" s="156">
        <f>VLOOKUP(C285,'[1]SAP Contract #s'!A:B,2,FALSE)</f>
        <v>21288</v>
      </c>
      <c r="E285" s="154" t="s">
        <v>1781</v>
      </c>
      <c r="F285" s="154" t="s">
        <v>1190</v>
      </c>
      <c r="G285" s="154" t="s">
        <v>1776</v>
      </c>
      <c r="H285" s="157">
        <v>45869</v>
      </c>
      <c r="I285" s="157">
        <v>46234</v>
      </c>
      <c r="J285" s="154" t="s">
        <v>1372</v>
      </c>
      <c r="K285" s="153"/>
    </row>
    <row r="286" spans="1:11" ht="15.75" customHeight="1" x14ac:dyDescent="0.25">
      <c r="A286" s="149" t="s">
        <v>1773</v>
      </c>
      <c r="B286" s="149" t="s">
        <v>1774</v>
      </c>
      <c r="C286" s="150" t="s">
        <v>752</v>
      </c>
      <c r="D286" s="151">
        <f>VLOOKUP(C286,'[1]SAP Contract #s'!A:B,2,FALSE)</f>
        <v>21513</v>
      </c>
      <c r="E286" s="149" t="s">
        <v>1782</v>
      </c>
      <c r="F286" s="149" t="s">
        <v>1190</v>
      </c>
      <c r="G286" s="149" t="s">
        <v>1776</v>
      </c>
      <c r="H286" s="152">
        <v>45467</v>
      </c>
      <c r="I286" s="152">
        <v>46660</v>
      </c>
      <c r="J286" s="149" t="s">
        <v>1372</v>
      </c>
      <c r="K286" s="153"/>
    </row>
    <row r="287" spans="1:11" ht="15.75" customHeight="1" x14ac:dyDescent="0.25">
      <c r="A287" s="154" t="s">
        <v>1773</v>
      </c>
      <c r="B287" s="154" t="s">
        <v>1774</v>
      </c>
      <c r="C287" s="155" t="s">
        <v>1121</v>
      </c>
      <c r="D287" s="156">
        <f>VLOOKUP(C287,'[1]SAP Contract #s'!A:B,2,FALSE)</f>
        <v>21529</v>
      </c>
      <c r="E287" s="154" t="s">
        <v>1783</v>
      </c>
      <c r="F287" s="154" t="s">
        <v>1190</v>
      </c>
      <c r="G287" s="154" t="s">
        <v>1776</v>
      </c>
      <c r="H287" s="157">
        <v>46023</v>
      </c>
      <c r="I287" s="157">
        <v>46539</v>
      </c>
      <c r="J287" s="154" t="s">
        <v>1372</v>
      </c>
      <c r="K287" s="153"/>
    </row>
    <row r="288" spans="1:11" ht="15.75" customHeight="1" x14ac:dyDescent="0.25">
      <c r="A288" s="149" t="s">
        <v>1773</v>
      </c>
      <c r="B288" s="149" t="s">
        <v>1774</v>
      </c>
      <c r="C288" s="150" t="s">
        <v>1033</v>
      </c>
      <c r="D288" s="151">
        <f>VLOOKUP(C288,'[1]SAP Contract #s'!A:B,2,FALSE)</f>
        <v>21531</v>
      </c>
      <c r="E288" s="149" t="s">
        <v>1784</v>
      </c>
      <c r="F288" s="149" t="s">
        <v>1190</v>
      </c>
      <c r="G288" s="149" t="s">
        <v>1776</v>
      </c>
      <c r="H288" s="152">
        <v>46023</v>
      </c>
      <c r="I288" s="152">
        <v>46660</v>
      </c>
      <c r="J288" s="149" t="s">
        <v>1372</v>
      </c>
      <c r="K288" s="153"/>
    </row>
    <row r="289" spans="1:11" ht="15.75" customHeight="1" x14ac:dyDescent="0.25">
      <c r="A289" s="154" t="s">
        <v>1785</v>
      </c>
      <c r="B289" s="154" t="s">
        <v>1786</v>
      </c>
      <c r="C289" s="155" t="s">
        <v>932</v>
      </c>
      <c r="D289" s="156">
        <f>VLOOKUP(C289,'[1]SAP Contract #s'!A:B,2,FALSE)</f>
        <v>21249</v>
      </c>
      <c r="E289" s="154" t="s">
        <v>1787</v>
      </c>
      <c r="F289" s="154" t="s">
        <v>1190</v>
      </c>
      <c r="G289" s="154" t="s">
        <v>1788</v>
      </c>
      <c r="H289" s="157">
        <v>45981</v>
      </c>
      <c r="I289" s="157">
        <v>46068</v>
      </c>
      <c r="J289" s="154" t="s">
        <v>1192</v>
      </c>
      <c r="K289" s="153"/>
    </row>
    <row r="290" spans="1:11" ht="15.75" customHeight="1" x14ac:dyDescent="0.25">
      <c r="A290" s="149" t="s">
        <v>1785</v>
      </c>
      <c r="B290" s="149" t="s">
        <v>1786</v>
      </c>
      <c r="C290" s="150" t="s">
        <v>907</v>
      </c>
      <c r="D290" s="151">
        <f>VLOOKUP(C290,'[1]SAP Contract #s'!A:B,2,FALSE)</f>
        <v>21456</v>
      </c>
      <c r="E290" s="149" t="s">
        <v>1789</v>
      </c>
      <c r="F290" s="149" t="s">
        <v>1190</v>
      </c>
      <c r="G290" s="149" t="s">
        <v>1788</v>
      </c>
      <c r="H290" s="152">
        <v>45890</v>
      </c>
      <c r="I290" s="152">
        <v>46012</v>
      </c>
      <c r="J290" s="149" t="s">
        <v>1192</v>
      </c>
      <c r="K290" s="153"/>
    </row>
    <row r="291" spans="1:11" ht="15.75" customHeight="1" x14ac:dyDescent="0.25">
      <c r="A291" s="154" t="s">
        <v>1785</v>
      </c>
      <c r="B291" s="154" t="s">
        <v>1786</v>
      </c>
      <c r="C291" s="155" t="s">
        <v>1790</v>
      </c>
      <c r="D291" s="156">
        <f>VLOOKUP(C291,'[1]SAP Contract #s'!A:B,2,FALSE)</f>
        <v>21461</v>
      </c>
      <c r="E291" s="154" t="s">
        <v>1791</v>
      </c>
      <c r="F291" s="154" t="s">
        <v>1190</v>
      </c>
      <c r="G291" s="154" t="s">
        <v>1788</v>
      </c>
      <c r="H291" s="157">
        <v>45890</v>
      </c>
      <c r="I291" s="157">
        <v>46022</v>
      </c>
      <c r="J291" s="154" t="s">
        <v>1192</v>
      </c>
      <c r="K291" s="153"/>
    </row>
    <row r="292" spans="1:11" ht="15.75" customHeight="1" x14ac:dyDescent="0.25">
      <c r="A292" s="149" t="s">
        <v>1785</v>
      </c>
      <c r="B292" s="149" t="s">
        <v>1786</v>
      </c>
      <c r="C292" s="150" t="s">
        <v>839</v>
      </c>
      <c r="D292" s="151">
        <f>VLOOKUP(C292,'[1]SAP Contract #s'!A:B,2,FALSE)</f>
        <v>21467</v>
      </c>
      <c r="E292" s="149" t="s">
        <v>1792</v>
      </c>
      <c r="F292" s="149" t="s">
        <v>1190</v>
      </c>
      <c r="G292" s="149" t="s">
        <v>1788</v>
      </c>
      <c r="H292" s="152">
        <v>45926</v>
      </c>
      <c r="I292" s="152">
        <v>45992</v>
      </c>
      <c r="J292" s="149" t="s">
        <v>1192</v>
      </c>
      <c r="K292" s="153"/>
    </row>
    <row r="293" spans="1:11" ht="15.75" customHeight="1" x14ac:dyDescent="0.25">
      <c r="A293" s="154" t="s">
        <v>1785</v>
      </c>
      <c r="B293" s="154" t="s">
        <v>1786</v>
      </c>
      <c r="C293" s="155" t="s">
        <v>881</v>
      </c>
      <c r="D293" s="156">
        <f>VLOOKUP(C293,'[1]SAP Contract #s'!A:B,2,FALSE)</f>
        <v>21477</v>
      </c>
      <c r="E293" s="154" t="s">
        <v>1793</v>
      </c>
      <c r="F293" s="154" t="s">
        <v>1190</v>
      </c>
      <c r="G293" s="154" t="s">
        <v>1788</v>
      </c>
      <c r="H293" s="157">
        <v>45957</v>
      </c>
      <c r="I293" s="157">
        <v>46037</v>
      </c>
      <c r="J293" s="154" t="s">
        <v>1192</v>
      </c>
      <c r="K293" s="153"/>
    </row>
    <row r="294" spans="1:11" ht="15.75" customHeight="1" x14ac:dyDescent="0.25">
      <c r="A294" s="149" t="s">
        <v>1785</v>
      </c>
      <c r="B294" s="149" t="s">
        <v>1786</v>
      </c>
      <c r="C294" s="150" t="s">
        <v>1128</v>
      </c>
      <c r="D294" s="151">
        <v>21904</v>
      </c>
      <c r="E294" s="149" t="s">
        <v>1129</v>
      </c>
      <c r="F294" s="149" t="s">
        <v>1190</v>
      </c>
      <c r="G294" s="149" t="s">
        <v>1794</v>
      </c>
      <c r="H294" s="152">
        <v>46075</v>
      </c>
      <c r="I294" s="152">
        <v>46440</v>
      </c>
      <c r="J294" s="149" t="s">
        <v>1192</v>
      </c>
      <c r="K294" s="153"/>
    </row>
    <row r="295" spans="1:11" ht="15.75" customHeight="1" x14ac:dyDescent="0.25">
      <c r="A295" s="154" t="s">
        <v>1795</v>
      </c>
      <c r="B295" s="154" t="s">
        <v>1796</v>
      </c>
      <c r="C295" s="155" t="s">
        <v>572</v>
      </c>
      <c r="D295" s="156">
        <f>VLOOKUP(C295,'[1]SAP Contract #s'!A:B,2,FALSE)</f>
        <v>21581</v>
      </c>
      <c r="E295" s="154" t="s">
        <v>1797</v>
      </c>
      <c r="F295" s="154" t="s">
        <v>1190</v>
      </c>
      <c r="G295" s="154" t="s">
        <v>1798</v>
      </c>
      <c r="H295" s="157">
        <v>45804</v>
      </c>
      <c r="I295" s="157">
        <v>46112</v>
      </c>
      <c r="J295" s="154" t="s">
        <v>1192</v>
      </c>
      <c r="K295" s="153"/>
    </row>
    <row r="296" spans="1:11" ht="15.75" customHeight="1" x14ac:dyDescent="0.25">
      <c r="A296" s="149" t="s">
        <v>1799</v>
      </c>
      <c r="B296" s="149" t="s">
        <v>1800</v>
      </c>
      <c r="C296" s="150" t="s">
        <v>743</v>
      </c>
      <c r="D296" s="151">
        <f>VLOOKUP(C296,'[1]SAP Contract #s'!A:B,2,FALSE)</f>
        <v>21483</v>
      </c>
      <c r="E296" s="149" t="s">
        <v>1801</v>
      </c>
      <c r="F296" s="149" t="s">
        <v>1190</v>
      </c>
      <c r="G296" s="149" t="s">
        <v>1798</v>
      </c>
      <c r="H296" s="152">
        <v>45866</v>
      </c>
      <c r="I296" s="152">
        <v>45900</v>
      </c>
      <c r="J296" s="149" t="s">
        <v>1192</v>
      </c>
      <c r="K296" s="153"/>
    </row>
    <row r="297" spans="1:11" ht="15.75" customHeight="1" x14ac:dyDescent="0.25">
      <c r="A297" s="154" t="s">
        <v>1799</v>
      </c>
      <c r="B297" s="154" t="s">
        <v>1800</v>
      </c>
      <c r="C297" s="155" t="s">
        <v>894</v>
      </c>
      <c r="D297" s="156">
        <f>VLOOKUP(C297,'[1]SAP Contract #s'!A:B,2,FALSE)</f>
        <v>21556</v>
      </c>
      <c r="E297" s="154" t="s">
        <v>1802</v>
      </c>
      <c r="F297" s="154" t="s">
        <v>1190</v>
      </c>
      <c r="G297" s="154" t="s">
        <v>1798</v>
      </c>
      <c r="H297" s="157">
        <v>45964</v>
      </c>
      <c r="I297" s="157">
        <v>46387</v>
      </c>
      <c r="J297" s="154" t="s">
        <v>1192</v>
      </c>
      <c r="K297" s="153"/>
    </row>
    <row r="298" spans="1:11" ht="15.75" customHeight="1" x14ac:dyDescent="0.25">
      <c r="A298" s="149" t="s">
        <v>1803</v>
      </c>
      <c r="B298" s="149" t="s">
        <v>1804</v>
      </c>
      <c r="C298" s="150" t="s">
        <v>750</v>
      </c>
      <c r="D298" s="151">
        <f>VLOOKUP(C298,'[1]SAP Contract #s'!A:B,2,FALSE)</f>
        <v>21060</v>
      </c>
      <c r="E298" s="149" t="s">
        <v>1805</v>
      </c>
      <c r="F298" s="149" t="s">
        <v>1190</v>
      </c>
      <c r="G298" s="149" t="s">
        <v>1798</v>
      </c>
      <c r="H298" s="152">
        <v>45866</v>
      </c>
      <c r="I298" s="152">
        <v>45900</v>
      </c>
      <c r="J298" s="149" t="s">
        <v>1192</v>
      </c>
      <c r="K298" s="153"/>
    </row>
    <row r="299" spans="1:11" ht="15.75" customHeight="1" x14ac:dyDescent="0.25">
      <c r="A299" s="154" t="s">
        <v>1806</v>
      </c>
      <c r="B299" s="154" t="s">
        <v>1807</v>
      </c>
      <c r="C299" s="155" t="s">
        <v>475</v>
      </c>
      <c r="D299" s="156">
        <v>21315</v>
      </c>
      <c r="E299" s="154" t="s">
        <v>1808</v>
      </c>
      <c r="F299" s="154" t="s">
        <v>1190</v>
      </c>
      <c r="G299" s="154" t="s">
        <v>1809</v>
      </c>
      <c r="H299" s="157">
        <v>44562</v>
      </c>
      <c r="I299" s="157">
        <v>46022</v>
      </c>
      <c r="J299" s="154" t="s">
        <v>1202</v>
      </c>
      <c r="K299" s="153"/>
    </row>
    <row r="300" spans="1:11" ht="15.75" customHeight="1" x14ac:dyDescent="0.25">
      <c r="A300" s="149" t="s">
        <v>1810</v>
      </c>
      <c r="B300" s="149" t="s">
        <v>1811</v>
      </c>
      <c r="C300" s="150" t="s">
        <v>1812</v>
      </c>
      <c r="D300" s="151">
        <v>21128</v>
      </c>
      <c r="E300" s="149" t="s">
        <v>1813</v>
      </c>
      <c r="F300" s="149" t="s">
        <v>1190</v>
      </c>
      <c r="G300" s="149" t="s">
        <v>1814</v>
      </c>
      <c r="H300" s="152">
        <v>44562</v>
      </c>
      <c r="I300" s="152">
        <v>46022</v>
      </c>
      <c r="J300" s="149" t="s">
        <v>1202</v>
      </c>
      <c r="K300" s="153"/>
    </row>
    <row r="301" spans="1:11" ht="15.75" customHeight="1" x14ac:dyDescent="0.25">
      <c r="A301" s="154" t="s">
        <v>1815</v>
      </c>
      <c r="B301" s="154" t="s">
        <v>1816</v>
      </c>
      <c r="C301" s="155" t="s">
        <v>1817</v>
      </c>
      <c r="D301" s="156">
        <v>21108</v>
      </c>
      <c r="E301" s="154" t="s">
        <v>1818</v>
      </c>
      <c r="F301" s="154" t="s">
        <v>1190</v>
      </c>
      <c r="G301" s="154" t="s">
        <v>1555</v>
      </c>
      <c r="H301" s="157">
        <v>43952</v>
      </c>
      <c r="I301" s="157">
        <v>46387</v>
      </c>
      <c r="J301" s="154" t="s">
        <v>1819</v>
      </c>
      <c r="K301" s="153"/>
    </row>
    <row r="302" spans="1:11" ht="15.75" customHeight="1" x14ac:dyDescent="0.25">
      <c r="A302" s="149" t="s">
        <v>1815</v>
      </c>
      <c r="B302" s="149" t="s">
        <v>1816</v>
      </c>
      <c r="C302" s="150" t="s">
        <v>1008</v>
      </c>
      <c r="D302" s="151">
        <f>VLOOKUP(C302,'[1]SAP Contract #s'!A:B,2,FALSE)</f>
        <v>21473</v>
      </c>
      <c r="E302" s="149" t="s">
        <v>1820</v>
      </c>
      <c r="F302" s="149" t="s">
        <v>1190</v>
      </c>
      <c r="G302" s="149" t="s">
        <v>1555</v>
      </c>
      <c r="H302" s="152">
        <v>45992</v>
      </c>
      <c r="I302" s="152">
        <v>46387</v>
      </c>
      <c r="J302" s="149" t="s">
        <v>1819</v>
      </c>
      <c r="K302" s="153"/>
    </row>
    <row r="303" spans="1:11" ht="15.75" customHeight="1" x14ac:dyDescent="0.25">
      <c r="A303" s="154" t="s">
        <v>1821</v>
      </c>
      <c r="B303" s="154" t="s">
        <v>1822</v>
      </c>
      <c r="C303" s="155" t="s">
        <v>91</v>
      </c>
      <c r="D303" s="156">
        <f>VLOOKUP(C303,'[1]SAP Contract #s'!A:B,2,FALSE)</f>
        <v>21669</v>
      </c>
      <c r="E303" s="154" t="s">
        <v>1823</v>
      </c>
      <c r="F303" s="154" t="s">
        <v>1190</v>
      </c>
      <c r="G303" s="154" t="s">
        <v>1555</v>
      </c>
      <c r="H303" s="157">
        <v>42736</v>
      </c>
      <c r="I303" s="157">
        <v>46022</v>
      </c>
      <c r="J303" s="154" t="s">
        <v>1192</v>
      </c>
      <c r="K303" s="153"/>
    </row>
    <row r="304" spans="1:11" ht="15.75" customHeight="1" x14ac:dyDescent="0.25">
      <c r="A304" s="149" t="s">
        <v>1824</v>
      </c>
      <c r="B304" s="149" t="s">
        <v>1825</v>
      </c>
      <c r="C304" s="150" t="s">
        <v>128</v>
      </c>
      <c r="D304" s="151">
        <f>VLOOKUP(C304,'[1]SAP Contract #s'!A:B,2,FALSE)</f>
        <v>21135</v>
      </c>
      <c r="E304" s="149" t="s">
        <v>1826</v>
      </c>
      <c r="F304" s="149" t="s">
        <v>1190</v>
      </c>
      <c r="G304" s="149" t="s">
        <v>1555</v>
      </c>
      <c r="H304" s="152">
        <v>45063</v>
      </c>
      <c r="I304" s="152">
        <v>46090</v>
      </c>
      <c r="J304" s="149" t="s">
        <v>1372</v>
      </c>
      <c r="K304" s="153"/>
    </row>
    <row r="305" spans="1:11" ht="15.75" customHeight="1" x14ac:dyDescent="0.25">
      <c r="A305" s="154" t="s">
        <v>1824</v>
      </c>
      <c r="B305" s="154" t="s">
        <v>1825</v>
      </c>
      <c r="C305" s="155" t="s">
        <v>60</v>
      </c>
      <c r="D305" s="156">
        <f>VLOOKUP(C305,'[1]SAP Contract #s'!A:B,2,FALSE)</f>
        <v>21145</v>
      </c>
      <c r="E305" s="154" t="s">
        <v>1827</v>
      </c>
      <c r="F305" s="154" t="s">
        <v>1190</v>
      </c>
      <c r="G305" s="154" t="s">
        <v>1555</v>
      </c>
      <c r="H305" s="157">
        <v>45061</v>
      </c>
      <c r="I305" s="157">
        <v>46090</v>
      </c>
      <c r="J305" s="154" t="s">
        <v>1372</v>
      </c>
      <c r="K305" s="153"/>
    </row>
    <row r="306" spans="1:11" ht="15.75" customHeight="1" x14ac:dyDescent="0.25">
      <c r="A306" s="149" t="s">
        <v>1824</v>
      </c>
      <c r="B306" s="149" t="s">
        <v>1825</v>
      </c>
      <c r="C306" s="150" t="s">
        <v>94</v>
      </c>
      <c r="D306" s="151">
        <f>VLOOKUP(C306,'[1]SAP Contract #s'!A:B,2,FALSE)</f>
        <v>21196</v>
      </c>
      <c r="E306" s="149" t="s">
        <v>1828</v>
      </c>
      <c r="F306" s="149" t="s">
        <v>1190</v>
      </c>
      <c r="G306" s="149" t="s">
        <v>1555</v>
      </c>
      <c r="H306" s="152">
        <v>45096</v>
      </c>
      <c r="I306" s="152">
        <v>46090</v>
      </c>
      <c r="J306" s="149" t="s">
        <v>1372</v>
      </c>
      <c r="K306" s="153"/>
    </row>
    <row r="307" spans="1:11" ht="15.75" customHeight="1" x14ac:dyDescent="0.25">
      <c r="A307" s="154" t="s">
        <v>1824</v>
      </c>
      <c r="B307" s="154" t="s">
        <v>1825</v>
      </c>
      <c r="C307" s="155" t="s">
        <v>413</v>
      </c>
      <c r="D307" s="156">
        <f>VLOOKUP(C307,'[1]SAP Contract #s'!A:B,2,FALSE)</f>
        <v>21242</v>
      </c>
      <c r="E307" s="154" t="s">
        <v>1829</v>
      </c>
      <c r="F307" s="154" t="s">
        <v>1190</v>
      </c>
      <c r="G307" s="154" t="s">
        <v>1555</v>
      </c>
      <c r="H307" s="157">
        <v>45742</v>
      </c>
      <c r="I307" s="157">
        <v>45961</v>
      </c>
      <c r="J307" s="154" t="s">
        <v>1210</v>
      </c>
      <c r="K307" s="153"/>
    </row>
    <row r="308" spans="1:11" ht="15.75" customHeight="1" x14ac:dyDescent="0.25">
      <c r="A308" s="149" t="s">
        <v>1824</v>
      </c>
      <c r="B308" s="149" t="s">
        <v>1825</v>
      </c>
      <c r="C308" s="150" t="s">
        <v>571</v>
      </c>
      <c r="D308" s="151">
        <f>VLOOKUP(C308,'[1]SAP Contract #s'!A:B,2,FALSE)</f>
        <v>21447</v>
      </c>
      <c r="E308" s="149" t="s">
        <v>1830</v>
      </c>
      <c r="F308" s="149" t="s">
        <v>1190</v>
      </c>
      <c r="G308" s="149" t="s">
        <v>1555</v>
      </c>
      <c r="H308" s="152">
        <v>45798</v>
      </c>
      <c r="I308" s="152">
        <v>46081</v>
      </c>
      <c r="J308" s="149" t="s">
        <v>1210</v>
      </c>
      <c r="K308" s="153"/>
    </row>
    <row r="309" spans="1:11" ht="15.75" customHeight="1" x14ac:dyDescent="0.25">
      <c r="A309" s="154" t="s">
        <v>1824</v>
      </c>
      <c r="B309" s="154" t="s">
        <v>1825</v>
      </c>
      <c r="C309" s="155" t="s">
        <v>61</v>
      </c>
      <c r="D309" s="156">
        <f>VLOOKUP(C309,'[1]SAP Contract #s'!A:B,2,FALSE)</f>
        <v>21579</v>
      </c>
      <c r="E309" s="154" t="s">
        <v>1831</v>
      </c>
      <c r="F309" s="154" t="s">
        <v>1190</v>
      </c>
      <c r="G309" s="154" t="s">
        <v>1555</v>
      </c>
      <c r="H309" s="157">
        <v>45016</v>
      </c>
      <c r="I309" s="157">
        <v>46203</v>
      </c>
      <c r="J309" s="154" t="s">
        <v>1210</v>
      </c>
      <c r="K309" s="153"/>
    </row>
    <row r="310" spans="1:11" ht="15.75" customHeight="1" x14ac:dyDescent="0.25">
      <c r="A310" s="149" t="s">
        <v>1824</v>
      </c>
      <c r="B310" s="149" t="s">
        <v>1825</v>
      </c>
      <c r="C310" s="150" t="s">
        <v>131</v>
      </c>
      <c r="D310" s="151">
        <f>VLOOKUP(C310,'[1]SAP Contract #s'!A:B,2,FALSE)</f>
        <v>21643</v>
      </c>
      <c r="E310" s="149" t="s">
        <v>1832</v>
      </c>
      <c r="F310" s="149" t="s">
        <v>1190</v>
      </c>
      <c r="G310" s="149" t="s">
        <v>1555</v>
      </c>
      <c r="H310" s="152">
        <v>45505</v>
      </c>
      <c r="I310" s="152">
        <v>46151</v>
      </c>
      <c r="J310" s="149" t="s">
        <v>1372</v>
      </c>
      <c r="K310" s="153"/>
    </row>
    <row r="311" spans="1:11" ht="15.75" customHeight="1" x14ac:dyDescent="0.25">
      <c r="A311" s="154" t="s">
        <v>1824</v>
      </c>
      <c r="B311" s="154" t="s">
        <v>1825</v>
      </c>
      <c r="C311" s="155" t="s">
        <v>850</v>
      </c>
      <c r="D311" s="156">
        <f>VLOOKUP(C311,'[1]SAP Contract #s'!A:B,2,FALSE)</f>
        <v>21648</v>
      </c>
      <c r="E311" s="154" t="s">
        <v>1833</v>
      </c>
      <c r="F311" s="154" t="s">
        <v>1190</v>
      </c>
      <c r="G311" s="154" t="s">
        <v>1555</v>
      </c>
      <c r="H311" s="157">
        <v>45819</v>
      </c>
      <c r="I311" s="157">
        <v>46295</v>
      </c>
      <c r="J311" s="154" t="s">
        <v>1210</v>
      </c>
      <c r="K311" s="153"/>
    </row>
    <row r="312" spans="1:11" ht="15.75" customHeight="1" x14ac:dyDescent="0.25">
      <c r="A312" s="149" t="s">
        <v>1824</v>
      </c>
      <c r="B312" s="149" t="s">
        <v>1825</v>
      </c>
      <c r="C312" s="150" t="s">
        <v>1133</v>
      </c>
      <c r="D312" s="151">
        <v>21903</v>
      </c>
      <c r="E312" s="149" t="s">
        <v>1834</v>
      </c>
      <c r="F312" s="149" t="s">
        <v>1190</v>
      </c>
      <c r="G312" s="149" t="s">
        <v>1555</v>
      </c>
      <c r="H312" s="152">
        <v>46065</v>
      </c>
      <c r="I312" s="152">
        <v>46275</v>
      </c>
      <c r="J312" s="149" t="s">
        <v>1210</v>
      </c>
      <c r="K312" s="153"/>
    </row>
    <row r="313" spans="1:11" ht="15.75" customHeight="1" x14ac:dyDescent="0.25">
      <c r="A313" s="154" t="s">
        <v>1835</v>
      </c>
      <c r="B313" s="154" t="s">
        <v>1836</v>
      </c>
      <c r="C313" s="155" t="s">
        <v>646</v>
      </c>
      <c r="D313" s="156">
        <f>VLOOKUP(C313,'[1]SAP Contract #s'!A:B,2,FALSE)</f>
        <v>21510</v>
      </c>
      <c r="E313" s="154" t="s">
        <v>1837</v>
      </c>
      <c r="F313" s="154" t="s">
        <v>1190</v>
      </c>
      <c r="G313" s="154" t="s">
        <v>1555</v>
      </c>
      <c r="H313" s="157">
        <v>45849</v>
      </c>
      <c r="I313" s="157">
        <v>46234</v>
      </c>
      <c r="J313" s="154" t="s">
        <v>1219</v>
      </c>
      <c r="K313" s="153"/>
    </row>
    <row r="314" spans="1:11" ht="15.75" customHeight="1" x14ac:dyDescent="0.25">
      <c r="A314" s="149" t="s">
        <v>1838</v>
      </c>
      <c r="B314" s="149" t="s">
        <v>1839</v>
      </c>
      <c r="C314" s="150" t="s">
        <v>477</v>
      </c>
      <c r="D314" s="151">
        <f>VLOOKUP(C314,'[1]SAP Contract #s'!A:B,2,FALSE)</f>
        <v>21571</v>
      </c>
      <c r="E314" s="149" t="s">
        <v>1840</v>
      </c>
      <c r="F314" s="149" t="s">
        <v>1190</v>
      </c>
      <c r="G314" s="149" t="s">
        <v>1841</v>
      </c>
      <c r="H314" s="152">
        <v>44562</v>
      </c>
      <c r="I314" s="152">
        <v>46022</v>
      </c>
      <c r="J314" s="149" t="s">
        <v>1202</v>
      </c>
      <c r="K314" s="153"/>
    </row>
    <row r="315" spans="1:11" ht="15.75" customHeight="1" x14ac:dyDescent="0.25">
      <c r="A315" s="154" t="s">
        <v>1842</v>
      </c>
      <c r="B315" s="154" t="s">
        <v>1843</v>
      </c>
      <c r="C315" s="155" t="s">
        <v>857</v>
      </c>
      <c r="D315" s="156">
        <f>VLOOKUP(C315,'[1]SAP Contract #s'!A:B,2,FALSE)</f>
        <v>21213</v>
      </c>
      <c r="E315" s="154" t="s">
        <v>1844</v>
      </c>
      <c r="F315" s="154" t="s">
        <v>1190</v>
      </c>
      <c r="G315" s="154" t="s">
        <v>1845</v>
      </c>
      <c r="H315" s="157">
        <v>45950</v>
      </c>
      <c r="I315" s="157">
        <v>46171</v>
      </c>
      <c r="J315" s="154" t="s">
        <v>1192</v>
      </c>
      <c r="K315" s="153"/>
    </row>
    <row r="316" spans="1:11" ht="15.75" customHeight="1" x14ac:dyDescent="0.25">
      <c r="A316" s="149" t="s">
        <v>1846</v>
      </c>
      <c r="B316" s="149" t="s">
        <v>1847</v>
      </c>
      <c r="C316" s="150" t="s">
        <v>1025</v>
      </c>
      <c r="D316" s="151">
        <f>VLOOKUP(C316,'[1]SAP Contract #s'!A:B,2,FALSE)</f>
        <v>21053</v>
      </c>
      <c r="E316" s="149" t="s">
        <v>1848</v>
      </c>
      <c r="F316" s="149" t="s">
        <v>1190</v>
      </c>
      <c r="G316" s="149" t="s">
        <v>1587</v>
      </c>
      <c r="H316" s="152">
        <v>46038</v>
      </c>
      <c r="I316" s="152">
        <v>46418</v>
      </c>
      <c r="J316" s="149" t="s">
        <v>1210</v>
      </c>
      <c r="K316" s="153"/>
    </row>
    <row r="317" spans="1:11" ht="15.75" customHeight="1" x14ac:dyDescent="0.25">
      <c r="A317" s="154" t="s">
        <v>1846</v>
      </c>
      <c r="B317" s="154" t="s">
        <v>1847</v>
      </c>
      <c r="C317" s="155" t="s">
        <v>813</v>
      </c>
      <c r="D317" s="156">
        <f>VLOOKUP(C317,'[1]SAP Contract #s'!A:B,2,FALSE)</f>
        <v>21387</v>
      </c>
      <c r="E317" s="154" t="s">
        <v>1849</v>
      </c>
      <c r="F317" s="154" t="s">
        <v>1190</v>
      </c>
      <c r="G317" s="154" t="s">
        <v>1587</v>
      </c>
      <c r="H317" s="157">
        <v>45877</v>
      </c>
      <c r="I317" s="157">
        <v>45962</v>
      </c>
      <c r="J317" s="154" t="s">
        <v>1210</v>
      </c>
      <c r="K317" s="153"/>
    </row>
    <row r="318" spans="1:11" ht="15.75" customHeight="1" x14ac:dyDescent="0.25">
      <c r="A318" s="149" t="s">
        <v>1846</v>
      </c>
      <c r="B318" s="149" t="s">
        <v>1847</v>
      </c>
      <c r="C318" s="150" t="s">
        <v>815</v>
      </c>
      <c r="D318" s="151">
        <f>VLOOKUP(C318,'[1]SAP Contract #s'!A:B,2,FALSE)</f>
        <v>21395</v>
      </c>
      <c r="E318" s="149" t="s">
        <v>1850</v>
      </c>
      <c r="F318" s="149" t="s">
        <v>1190</v>
      </c>
      <c r="G318" s="149" t="s">
        <v>1587</v>
      </c>
      <c r="H318" s="152">
        <v>45877</v>
      </c>
      <c r="I318" s="152">
        <v>45962</v>
      </c>
      <c r="J318" s="149" t="s">
        <v>1210</v>
      </c>
      <c r="K318" s="153"/>
    </row>
    <row r="319" spans="1:11" ht="15.75" customHeight="1" x14ac:dyDescent="0.25">
      <c r="A319" s="154" t="s">
        <v>1846</v>
      </c>
      <c r="B319" s="154" t="s">
        <v>1847</v>
      </c>
      <c r="C319" s="155" t="s">
        <v>62</v>
      </c>
      <c r="D319" s="156">
        <f>VLOOKUP(C319,'[1]SAP Contract #s'!A:B,2,FALSE)</f>
        <v>21398</v>
      </c>
      <c r="E319" s="154" t="s">
        <v>1851</v>
      </c>
      <c r="F319" s="154" t="s">
        <v>1190</v>
      </c>
      <c r="G319" s="154" t="s">
        <v>1587</v>
      </c>
      <c r="H319" s="157">
        <v>45138</v>
      </c>
      <c r="I319" s="157">
        <v>45930</v>
      </c>
      <c r="J319" s="154" t="s">
        <v>1210</v>
      </c>
      <c r="K319" s="153"/>
    </row>
    <row r="320" spans="1:11" ht="15.75" customHeight="1" x14ac:dyDescent="0.25">
      <c r="A320" s="149" t="s">
        <v>1846</v>
      </c>
      <c r="B320" s="149" t="s">
        <v>1847</v>
      </c>
      <c r="C320" s="150" t="s">
        <v>104</v>
      </c>
      <c r="D320" s="151">
        <f>VLOOKUP(C320,'[1]SAP Contract #s'!A:B,2,FALSE)</f>
        <v>21586</v>
      </c>
      <c r="E320" s="149" t="s">
        <v>1852</v>
      </c>
      <c r="F320" s="149" t="s">
        <v>1190</v>
      </c>
      <c r="G320" s="149" t="s">
        <v>1587</v>
      </c>
      <c r="H320" s="152">
        <v>45361</v>
      </c>
      <c r="I320" s="152">
        <v>46022</v>
      </c>
      <c r="J320" s="149" t="s">
        <v>1210</v>
      </c>
      <c r="K320" s="153"/>
    </row>
    <row r="321" spans="1:11" ht="15.75" customHeight="1" x14ac:dyDescent="0.25">
      <c r="A321" s="154" t="s">
        <v>1853</v>
      </c>
      <c r="B321" s="154" t="s">
        <v>1854</v>
      </c>
      <c r="C321" s="155" t="s">
        <v>330</v>
      </c>
      <c r="D321" s="156">
        <f>VLOOKUP(C321,'[1]SAP Contract #s'!A:B,2,FALSE)</f>
        <v>21654</v>
      </c>
      <c r="E321" s="154" t="s">
        <v>1855</v>
      </c>
      <c r="F321" s="154" t="s">
        <v>1190</v>
      </c>
      <c r="G321" s="154" t="s">
        <v>1856</v>
      </c>
      <c r="H321" s="157">
        <v>45691</v>
      </c>
      <c r="I321" s="157">
        <v>46234</v>
      </c>
      <c r="J321" s="154" t="s">
        <v>1192</v>
      </c>
      <c r="K321" s="153"/>
    </row>
    <row r="322" spans="1:11" ht="15.75" customHeight="1" x14ac:dyDescent="0.25">
      <c r="A322" s="149" t="s">
        <v>1857</v>
      </c>
      <c r="B322" s="149" t="s">
        <v>1858</v>
      </c>
      <c r="C322" s="150" t="s">
        <v>356</v>
      </c>
      <c r="D322" s="151">
        <f>VLOOKUP(C322,'[1]SAP Contract #s'!A:B,2,FALSE)</f>
        <v>21655</v>
      </c>
      <c r="E322" s="149" t="s">
        <v>1859</v>
      </c>
      <c r="F322" s="149" t="s">
        <v>1190</v>
      </c>
      <c r="G322" s="149" t="s">
        <v>1856</v>
      </c>
      <c r="H322" s="152">
        <v>45691</v>
      </c>
      <c r="I322" s="152">
        <v>46234</v>
      </c>
      <c r="J322" s="149" t="s">
        <v>1192</v>
      </c>
      <c r="K322" s="153"/>
    </row>
    <row r="323" spans="1:11" ht="15.75" customHeight="1" x14ac:dyDescent="0.25">
      <c r="A323" s="154" t="s">
        <v>1860</v>
      </c>
      <c r="B323" s="154" t="s">
        <v>1861</v>
      </c>
      <c r="C323" s="155" t="s">
        <v>1862</v>
      </c>
      <c r="D323" s="156">
        <f>VLOOKUP(C323,'[1]SAP Contract #s'!A:B,2,FALSE)</f>
        <v>21492</v>
      </c>
      <c r="E323" s="154" t="s">
        <v>1863</v>
      </c>
      <c r="F323" s="154" t="s">
        <v>1190</v>
      </c>
      <c r="G323" s="154" t="s">
        <v>1864</v>
      </c>
      <c r="H323" s="157">
        <v>45887</v>
      </c>
      <c r="I323" s="157">
        <v>46112</v>
      </c>
      <c r="J323" s="154" t="s">
        <v>1192</v>
      </c>
      <c r="K323" s="153"/>
    </row>
    <row r="324" spans="1:11" ht="15.75" customHeight="1" x14ac:dyDescent="0.25">
      <c r="A324" s="149" t="s">
        <v>1860</v>
      </c>
      <c r="B324" s="149" t="s">
        <v>1861</v>
      </c>
      <c r="C324" s="150" t="s">
        <v>788</v>
      </c>
      <c r="D324" s="151">
        <f>VLOOKUP(C324,'[1]SAP Contract #s'!A:B,2,FALSE)</f>
        <v>21496</v>
      </c>
      <c r="E324" s="149" t="s">
        <v>1865</v>
      </c>
      <c r="F324" s="149" t="s">
        <v>1190</v>
      </c>
      <c r="G324" s="149" t="s">
        <v>1864</v>
      </c>
      <c r="H324" s="152">
        <v>45887</v>
      </c>
      <c r="I324" s="152">
        <v>46112</v>
      </c>
      <c r="J324" s="149" t="s">
        <v>1192</v>
      </c>
      <c r="K324" s="153"/>
    </row>
    <row r="325" spans="1:11" ht="15.75" customHeight="1" x14ac:dyDescent="0.25">
      <c r="A325" s="154" t="s">
        <v>1866</v>
      </c>
      <c r="B325" s="154" t="s">
        <v>1867</v>
      </c>
      <c r="C325" s="155" t="s">
        <v>379</v>
      </c>
      <c r="D325" s="156">
        <f>VLOOKUP(C325,'[1]SAP Contract #s'!A:B,2,FALSE)</f>
        <v>21109</v>
      </c>
      <c r="E325" s="154" t="s">
        <v>1868</v>
      </c>
      <c r="F325" s="154" t="s">
        <v>1190</v>
      </c>
      <c r="G325" s="154" t="s">
        <v>1864</v>
      </c>
      <c r="H325" s="157">
        <v>45717</v>
      </c>
      <c r="I325" s="157">
        <v>45724</v>
      </c>
      <c r="J325" s="154" t="s">
        <v>1192</v>
      </c>
      <c r="K325" s="153"/>
    </row>
    <row r="326" spans="1:11" ht="15.75" customHeight="1" x14ac:dyDescent="0.25">
      <c r="A326" s="149" t="s">
        <v>1866</v>
      </c>
      <c r="B326" s="149" t="s">
        <v>1867</v>
      </c>
      <c r="C326" s="150" t="s">
        <v>1026</v>
      </c>
      <c r="D326" s="151">
        <f>VLOOKUP(C326,'[1]SAP Contract #s'!A:B,2,FALSE)</f>
        <v>21391</v>
      </c>
      <c r="E326" s="149" t="s">
        <v>1869</v>
      </c>
      <c r="F326" s="149" t="s">
        <v>1190</v>
      </c>
      <c r="G326" s="149" t="s">
        <v>1864</v>
      </c>
      <c r="H326" s="152">
        <v>45941</v>
      </c>
      <c r="I326" s="152">
        <v>45943</v>
      </c>
      <c r="J326" s="149" t="s">
        <v>1192</v>
      </c>
      <c r="K326" s="153"/>
    </row>
    <row r="327" spans="1:11" ht="15.75" customHeight="1" x14ac:dyDescent="0.25">
      <c r="A327" s="159"/>
      <c r="C327" s="160"/>
      <c r="E327" s="159"/>
      <c r="F327" s="159"/>
      <c r="G327" s="159"/>
      <c r="H327" s="161"/>
      <c r="I327" s="161"/>
      <c r="J327" s="159"/>
      <c r="K327" s="153"/>
    </row>
    <row r="328" spans="1:11" ht="15.75" customHeight="1" x14ac:dyDescent="0.25">
      <c r="A328" s="159"/>
      <c r="C328" s="160"/>
      <c r="E328" s="159"/>
      <c r="F328" s="159"/>
      <c r="G328" s="159"/>
      <c r="H328" s="161"/>
      <c r="I328" s="161"/>
      <c r="J328" s="159"/>
      <c r="K328" s="153"/>
    </row>
    <row r="329" spans="1:11" ht="15.75" hidden="1" customHeight="1" x14ac:dyDescent="0.25">
      <c r="A329" s="159"/>
      <c r="C329" s="160"/>
      <c r="E329" s="159"/>
      <c r="F329" s="159"/>
      <c r="G329" s="159"/>
      <c r="H329" s="161"/>
      <c r="I329" s="161"/>
      <c r="J329" s="159"/>
      <c r="K329" s="153"/>
    </row>
    <row r="330" spans="1:11" ht="15.75" hidden="1" customHeight="1" x14ac:dyDescent="0.25">
      <c r="A330" s="159"/>
      <c r="C330" s="160"/>
      <c r="E330" s="159"/>
      <c r="F330" s="159"/>
      <c r="G330" s="159"/>
      <c r="H330" s="161"/>
      <c r="I330" s="161"/>
      <c r="J330" s="159"/>
      <c r="K330" s="153"/>
    </row>
    <row r="331" spans="1:11" ht="15.75" hidden="1" customHeight="1" x14ac:dyDescent="0.25">
      <c r="A331" s="159"/>
      <c r="C331" s="160"/>
      <c r="E331" s="159"/>
      <c r="F331" s="159"/>
      <c r="G331" s="159"/>
      <c r="H331" s="161"/>
      <c r="I331" s="161"/>
      <c r="J331" s="159"/>
      <c r="K331" s="153"/>
    </row>
    <row r="332" spans="1:11" ht="15.75" hidden="1" customHeight="1" x14ac:dyDescent="0.25">
      <c r="A332" s="159"/>
      <c r="C332" s="160"/>
      <c r="E332" s="159"/>
      <c r="F332" s="159"/>
      <c r="G332" s="159"/>
      <c r="H332" s="161"/>
      <c r="I332" s="161"/>
      <c r="J332" s="159"/>
      <c r="K332" s="153"/>
    </row>
    <row r="333" spans="1:11" ht="15.75" hidden="1" customHeight="1" x14ac:dyDescent="0.25">
      <c r="A333" s="159"/>
      <c r="C333" s="160"/>
      <c r="E333" s="159"/>
      <c r="F333" s="159"/>
      <c r="G333" s="159"/>
      <c r="H333" s="161"/>
      <c r="I333" s="161"/>
      <c r="J333" s="159"/>
      <c r="K333" s="153"/>
    </row>
    <row r="334" spans="1:11" ht="15.75" hidden="1" customHeight="1" x14ac:dyDescent="0.25">
      <c r="A334" s="159"/>
      <c r="C334" s="160"/>
      <c r="E334" s="159"/>
      <c r="F334" s="159"/>
      <c r="G334" s="159"/>
      <c r="H334" s="161"/>
      <c r="I334" s="161"/>
      <c r="J334" s="159"/>
      <c r="K334" s="153"/>
    </row>
    <row r="335" spans="1:11" ht="15.75" hidden="1" customHeight="1" x14ac:dyDescent="0.25">
      <c r="A335" s="159"/>
      <c r="C335" s="160"/>
      <c r="E335" s="159"/>
      <c r="F335" s="159"/>
      <c r="G335" s="159"/>
      <c r="H335" s="161"/>
      <c r="I335" s="161"/>
      <c r="J335" s="159"/>
      <c r="K335" s="153"/>
    </row>
    <row r="336" spans="1:11" ht="15.75" hidden="1" customHeight="1" x14ac:dyDescent="0.25">
      <c r="A336" s="159"/>
      <c r="C336" s="160"/>
      <c r="E336" s="159"/>
      <c r="F336" s="159"/>
      <c r="G336" s="159"/>
      <c r="H336" s="161"/>
      <c r="I336" s="161"/>
      <c r="J336" s="159"/>
      <c r="K336" s="153"/>
    </row>
    <row r="337" spans="1:11" ht="15.75" hidden="1" customHeight="1" x14ac:dyDescent="0.25">
      <c r="A337" s="159"/>
      <c r="C337" s="160"/>
      <c r="E337" s="159"/>
      <c r="F337" s="159"/>
      <c r="G337" s="159"/>
      <c r="H337" s="161"/>
      <c r="I337" s="161"/>
      <c r="J337" s="159"/>
      <c r="K337" s="153"/>
    </row>
    <row r="338" spans="1:11" ht="15.75" hidden="1" customHeight="1" x14ac:dyDescent="0.25">
      <c r="A338" s="159"/>
      <c r="C338" s="160"/>
      <c r="E338" s="159"/>
      <c r="F338" s="159"/>
      <c r="G338" s="159"/>
      <c r="H338" s="161"/>
      <c r="I338" s="161"/>
      <c r="J338" s="159"/>
      <c r="K338" s="153"/>
    </row>
    <row r="339" spans="1:11" ht="15.75" hidden="1" customHeight="1" x14ac:dyDescent="0.25">
      <c r="A339" s="159"/>
      <c r="C339" s="160"/>
      <c r="E339" s="159"/>
      <c r="F339" s="159"/>
      <c r="G339" s="159"/>
      <c r="H339" s="161"/>
      <c r="I339" s="161"/>
      <c r="J339" s="159"/>
      <c r="K339" s="153"/>
    </row>
    <row r="340" spans="1:11" ht="15.75" hidden="1" customHeight="1" x14ac:dyDescent="0.25">
      <c r="A340" s="159"/>
      <c r="C340" s="160"/>
      <c r="E340" s="159"/>
      <c r="F340" s="159"/>
      <c r="G340" s="159"/>
      <c r="H340" s="161"/>
      <c r="I340" s="161"/>
      <c r="J340" s="159"/>
      <c r="K340" s="153"/>
    </row>
    <row r="341" spans="1:11" ht="15.75" hidden="1" customHeight="1" x14ac:dyDescent="0.25">
      <c r="A341" s="159"/>
      <c r="C341" s="160"/>
      <c r="E341" s="159"/>
      <c r="F341" s="159"/>
      <c r="G341" s="159"/>
      <c r="H341" s="161"/>
      <c r="I341" s="161"/>
      <c r="J341" s="159"/>
      <c r="K341" s="153"/>
    </row>
    <row r="342" spans="1:11" ht="15.75" hidden="1" customHeight="1" x14ac:dyDescent="0.25">
      <c r="A342" s="159"/>
      <c r="C342" s="160"/>
      <c r="E342" s="159"/>
      <c r="F342" s="159"/>
      <c r="G342" s="159"/>
      <c r="H342" s="161"/>
      <c r="I342" s="161"/>
      <c r="J342" s="159"/>
      <c r="K342" s="153"/>
    </row>
    <row r="343" spans="1:11" ht="15.75" hidden="1" customHeight="1" x14ac:dyDescent="0.25">
      <c r="A343" s="159"/>
      <c r="C343" s="160"/>
      <c r="E343" s="159"/>
      <c r="F343" s="159"/>
      <c r="G343" s="159"/>
      <c r="H343" s="161"/>
      <c r="I343" s="161"/>
      <c r="J343" s="159"/>
      <c r="K343" s="153"/>
    </row>
    <row r="344" spans="1:11" ht="15.75" hidden="1" customHeight="1" x14ac:dyDescent="0.25">
      <c r="A344" s="159"/>
      <c r="C344" s="160"/>
      <c r="E344" s="159"/>
      <c r="F344" s="159"/>
      <c r="G344" s="159"/>
      <c r="H344" s="161"/>
      <c r="I344" s="161"/>
      <c r="J344" s="159"/>
      <c r="K344" s="153"/>
    </row>
    <row r="345" spans="1:11" ht="15.75" hidden="1" customHeight="1" x14ac:dyDescent="0.25">
      <c r="A345" s="159"/>
      <c r="C345" s="160"/>
      <c r="E345" s="159"/>
      <c r="F345" s="159"/>
      <c r="G345" s="159"/>
      <c r="H345" s="161"/>
      <c r="I345" s="161"/>
      <c r="J345" s="159"/>
      <c r="K345" s="153"/>
    </row>
    <row r="346" spans="1:11" ht="15.75" hidden="1" customHeight="1" x14ac:dyDescent="0.25">
      <c r="A346" s="159"/>
      <c r="C346" s="160"/>
      <c r="E346" s="159"/>
      <c r="F346" s="159"/>
      <c r="G346" s="159"/>
      <c r="H346" s="161"/>
      <c r="I346" s="161"/>
      <c r="J346" s="159"/>
      <c r="K346" s="153"/>
    </row>
    <row r="347" spans="1:11" ht="15.75" hidden="1" customHeight="1" x14ac:dyDescent="0.25">
      <c r="A347" s="159"/>
      <c r="C347" s="160"/>
      <c r="E347" s="159"/>
      <c r="F347" s="159"/>
      <c r="G347" s="159"/>
      <c r="H347" s="161"/>
      <c r="I347" s="161"/>
      <c r="J347" s="159"/>
      <c r="K347" s="153"/>
    </row>
    <row r="348" spans="1:11" ht="15.75" hidden="1" customHeight="1" x14ac:dyDescent="0.25">
      <c r="A348" s="159"/>
      <c r="C348" s="160"/>
      <c r="E348" s="159"/>
      <c r="F348" s="159"/>
      <c r="G348" s="159"/>
      <c r="H348" s="161"/>
      <c r="I348" s="161"/>
      <c r="J348" s="159"/>
      <c r="K348" s="153"/>
    </row>
    <row r="349" spans="1:11" ht="15.75" hidden="1" customHeight="1" x14ac:dyDescent="0.25">
      <c r="A349" s="159"/>
      <c r="C349" s="160"/>
      <c r="E349" s="159"/>
      <c r="F349" s="159"/>
      <c r="G349" s="159"/>
      <c r="H349" s="161"/>
      <c r="I349" s="161"/>
      <c r="J349" s="159"/>
      <c r="K349" s="153"/>
    </row>
    <row r="350" spans="1:11" ht="15.75" hidden="1" customHeight="1" x14ac:dyDescent="0.25">
      <c r="A350" s="159"/>
      <c r="C350" s="160"/>
      <c r="E350" s="159"/>
      <c r="F350" s="159"/>
      <c r="G350" s="159"/>
      <c r="H350" s="161"/>
      <c r="I350" s="161"/>
      <c r="J350" s="159"/>
      <c r="K350" s="153"/>
    </row>
    <row r="351" spans="1:11" ht="15.75" hidden="1" customHeight="1" x14ac:dyDescent="0.25">
      <c r="A351" s="159"/>
      <c r="C351" s="160"/>
      <c r="E351" s="159"/>
      <c r="F351" s="159"/>
      <c r="G351" s="159"/>
      <c r="H351" s="161"/>
      <c r="I351" s="161"/>
      <c r="J351" s="159"/>
      <c r="K351" s="153"/>
    </row>
    <row r="352" spans="1:11" ht="15.75" hidden="1" customHeight="1" x14ac:dyDescent="0.25">
      <c r="A352" s="159"/>
      <c r="C352" s="160"/>
      <c r="E352" s="159"/>
      <c r="F352" s="159"/>
      <c r="G352" s="159"/>
      <c r="H352" s="161"/>
      <c r="I352" s="161"/>
      <c r="J352" s="159"/>
      <c r="K352" s="153"/>
    </row>
    <row r="353" spans="1:11" ht="15.75" hidden="1" customHeight="1" x14ac:dyDescent="0.25">
      <c r="A353" s="159"/>
      <c r="C353" s="160"/>
      <c r="E353" s="159"/>
      <c r="F353" s="159"/>
      <c r="G353" s="159"/>
      <c r="H353" s="161"/>
      <c r="I353" s="161"/>
      <c r="J353" s="159"/>
      <c r="K353" s="153"/>
    </row>
    <row r="354" spans="1:11" ht="15.75" hidden="1" customHeight="1" x14ac:dyDescent="0.25">
      <c r="A354" s="159"/>
      <c r="C354" s="160"/>
      <c r="E354" s="159"/>
      <c r="F354" s="159"/>
      <c r="G354" s="159"/>
      <c r="H354" s="161"/>
      <c r="I354" s="161"/>
      <c r="J354" s="159"/>
      <c r="K354" s="153"/>
    </row>
    <row r="355" spans="1:11" ht="15.75" hidden="1" customHeight="1" x14ac:dyDescent="0.25">
      <c r="A355" s="159"/>
      <c r="C355" s="160"/>
      <c r="E355" s="159"/>
      <c r="F355" s="159"/>
      <c r="G355" s="159"/>
      <c r="H355" s="161"/>
      <c r="I355" s="161"/>
      <c r="J355" s="159"/>
      <c r="K355" s="153"/>
    </row>
    <row r="356" spans="1:11" ht="15.75" hidden="1" customHeight="1" x14ac:dyDescent="0.25">
      <c r="A356" s="159"/>
      <c r="C356" s="160"/>
      <c r="E356" s="159"/>
      <c r="F356" s="159"/>
      <c r="G356" s="159"/>
      <c r="H356" s="161"/>
      <c r="I356" s="161"/>
      <c r="J356" s="159"/>
      <c r="K356" s="153"/>
    </row>
    <row r="357" spans="1:11" ht="15.75" hidden="1" customHeight="1" x14ac:dyDescent="0.25">
      <c r="A357" s="159"/>
      <c r="C357" s="160"/>
      <c r="E357" s="159"/>
      <c r="F357" s="159"/>
      <c r="G357" s="159"/>
      <c r="H357" s="161"/>
      <c r="I357" s="161"/>
      <c r="J357" s="159"/>
      <c r="K357" s="153"/>
    </row>
    <row r="358" spans="1:11" ht="15.75" hidden="1" customHeight="1" x14ac:dyDescent="0.25">
      <c r="A358" s="159"/>
      <c r="C358" s="160"/>
      <c r="E358" s="159"/>
      <c r="F358" s="159"/>
      <c r="G358" s="159"/>
      <c r="H358" s="161"/>
      <c r="I358" s="161"/>
      <c r="J358" s="159"/>
      <c r="K358" s="153"/>
    </row>
    <row r="359" spans="1:11" ht="15.75" hidden="1" customHeight="1" x14ac:dyDescent="0.25">
      <c r="A359" s="159"/>
      <c r="C359" s="160"/>
      <c r="E359" s="159"/>
      <c r="F359" s="159"/>
      <c r="G359" s="159"/>
      <c r="H359" s="161"/>
      <c r="I359" s="161"/>
      <c r="J359" s="159"/>
      <c r="K359" s="153"/>
    </row>
    <row r="360" spans="1:11" ht="15.75" hidden="1" customHeight="1" x14ac:dyDescent="0.25">
      <c r="A360" s="159"/>
      <c r="C360" s="160"/>
      <c r="E360" s="159"/>
      <c r="F360" s="159"/>
      <c r="G360" s="159"/>
      <c r="H360" s="161"/>
      <c r="I360" s="161"/>
      <c r="J360" s="159"/>
      <c r="K360" s="153"/>
    </row>
    <row r="361" spans="1:11" ht="15.75" hidden="1" customHeight="1" x14ac:dyDescent="0.25">
      <c r="A361" s="159"/>
      <c r="C361" s="160"/>
      <c r="E361" s="159"/>
      <c r="F361" s="159"/>
      <c r="G361" s="159"/>
      <c r="H361" s="161"/>
      <c r="I361" s="161"/>
      <c r="J361" s="159"/>
      <c r="K361" s="153"/>
    </row>
    <row r="362" spans="1:11" ht="15.75" hidden="1" customHeight="1" x14ac:dyDescent="0.25">
      <c r="A362" s="159"/>
      <c r="C362" s="160"/>
      <c r="E362" s="159"/>
      <c r="F362" s="159"/>
      <c r="G362" s="159"/>
      <c r="H362" s="161"/>
      <c r="I362" s="161"/>
      <c r="J362" s="159"/>
      <c r="K362" s="153"/>
    </row>
    <row r="363" spans="1:11" ht="15.75" hidden="1" customHeight="1" x14ac:dyDescent="0.25">
      <c r="A363" s="159"/>
      <c r="C363" s="160"/>
      <c r="E363" s="159"/>
      <c r="F363" s="159"/>
      <c r="G363" s="159"/>
      <c r="H363" s="161"/>
      <c r="I363" s="161"/>
      <c r="J363" s="159"/>
      <c r="K363" s="153"/>
    </row>
    <row r="364" spans="1:11" ht="15.75" hidden="1" customHeight="1" x14ac:dyDescent="0.25">
      <c r="A364" s="159"/>
      <c r="C364" s="160"/>
      <c r="E364" s="159"/>
      <c r="F364" s="159"/>
      <c r="G364" s="159"/>
      <c r="H364" s="161"/>
      <c r="I364" s="161"/>
      <c r="J364" s="159"/>
      <c r="K364" s="153"/>
    </row>
    <row r="365" spans="1:11" ht="15.75" hidden="1" customHeight="1" x14ac:dyDescent="0.25">
      <c r="A365" s="159"/>
      <c r="C365" s="160"/>
      <c r="E365" s="159"/>
      <c r="F365" s="159"/>
      <c r="G365" s="159"/>
      <c r="H365" s="161"/>
      <c r="I365" s="161"/>
      <c r="J365" s="159"/>
      <c r="K365" s="153"/>
    </row>
    <row r="366" spans="1:11" ht="15.75" hidden="1" customHeight="1" x14ac:dyDescent="0.25">
      <c r="A366" s="159"/>
      <c r="C366" s="160"/>
      <c r="E366" s="159"/>
      <c r="F366" s="159"/>
      <c r="G366" s="159"/>
      <c r="H366" s="161"/>
      <c r="I366" s="161"/>
      <c r="J366" s="159"/>
      <c r="K366" s="153"/>
    </row>
    <row r="367" spans="1:11" ht="15.75" hidden="1" customHeight="1" x14ac:dyDescent="0.25">
      <c r="A367" s="159"/>
      <c r="C367" s="160"/>
      <c r="E367" s="159"/>
      <c r="F367" s="159"/>
      <c r="G367" s="159"/>
      <c r="H367" s="161"/>
      <c r="I367" s="161"/>
      <c r="J367" s="159"/>
      <c r="K367" s="153"/>
    </row>
    <row r="368" spans="1:11" ht="15.75" hidden="1" customHeight="1" x14ac:dyDescent="0.25">
      <c r="A368" s="159"/>
      <c r="C368" s="160"/>
      <c r="E368" s="159"/>
      <c r="F368" s="159"/>
      <c r="G368" s="159"/>
      <c r="H368" s="161"/>
      <c r="I368" s="161"/>
      <c r="J368" s="159"/>
      <c r="K368" s="153"/>
    </row>
    <row r="369" spans="1:11" ht="15.75" hidden="1" customHeight="1" x14ac:dyDescent="0.25">
      <c r="A369" s="159"/>
      <c r="C369" s="160"/>
      <c r="E369" s="159"/>
      <c r="F369" s="159"/>
      <c r="G369" s="159"/>
      <c r="H369" s="161"/>
      <c r="I369" s="161"/>
      <c r="J369" s="159"/>
      <c r="K369" s="153"/>
    </row>
    <row r="370" spans="1:11" ht="15.75" hidden="1" customHeight="1" x14ac:dyDescent="0.25">
      <c r="A370" s="159"/>
      <c r="C370" s="160"/>
      <c r="E370" s="159"/>
      <c r="F370" s="159"/>
      <c r="G370" s="159"/>
      <c r="H370" s="161"/>
      <c r="I370" s="161"/>
      <c r="J370" s="159"/>
      <c r="K370" s="153"/>
    </row>
    <row r="371" spans="1:11" ht="15.75" hidden="1" customHeight="1" x14ac:dyDescent="0.25">
      <c r="A371" s="159"/>
      <c r="C371" s="160"/>
      <c r="E371" s="159"/>
      <c r="F371" s="159"/>
      <c r="G371" s="159"/>
      <c r="H371" s="161"/>
      <c r="I371" s="161"/>
      <c r="J371" s="159"/>
      <c r="K371" s="153"/>
    </row>
    <row r="372" spans="1:11" ht="15.75" hidden="1" customHeight="1" x14ac:dyDescent="0.25">
      <c r="A372" s="159"/>
      <c r="C372" s="160"/>
      <c r="E372" s="159"/>
      <c r="F372" s="159"/>
      <c r="G372" s="159"/>
      <c r="H372" s="161"/>
      <c r="I372" s="161"/>
      <c r="J372" s="159"/>
      <c r="K372" s="153"/>
    </row>
    <row r="373" spans="1:11" ht="15.75" hidden="1" customHeight="1" x14ac:dyDescent="0.25">
      <c r="A373" s="159"/>
      <c r="C373" s="160"/>
      <c r="E373" s="159"/>
      <c r="F373" s="159"/>
      <c r="G373" s="159"/>
      <c r="H373" s="161"/>
      <c r="I373" s="161"/>
      <c r="J373" s="159"/>
      <c r="K373" s="153"/>
    </row>
    <row r="374" spans="1:11" ht="15.75" hidden="1" customHeight="1" x14ac:dyDescent="0.25">
      <c r="A374" s="159"/>
      <c r="C374" s="160"/>
      <c r="E374" s="159"/>
      <c r="F374" s="159"/>
      <c r="G374" s="159"/>
      <c r="H374" s="161"/>
      <c r="I374" s="161"/>
      <c r="J374" s="159"/>
      <c r="K374" s="153"/>
    </row>
    <row r="375" spans="1:11" ht="15.75" hidden="1" customHeight="1" x14ac:dyDescent="0.25">
      <c r="A375" s="159"/>
      <c r="C375" s="160"/>
      <c r="E375" s="159"/>
      <c r="F375" s="159"/>
      <c r="G375" s="159"/>
      <c r="H375" s="161"/>
      <c r="I375" s="161"/>
      <c r="J375" s="159"/>
      <c r="K375" s="153"/>
    </row>
    <row r="376" spans="1:11" ht="15.75" hidden="1" customHeight="1" x14ac:dyDescent="0.25">
      <c r="A376" s="159"/>
      <c r="C376" s="160"/>
      <c r="E376" s="159"/>
      <c r="F376" s="159"/>
      <c r="G376" s="159"/>
      <c r="H376" s="161"/>
      <c r="I376" s="161"/>
      <c r="J376" s="159"/>
      <c r="K376" s="153"/>
    </row>
    <row r="377" spans="1:11" ht="15.75" hidden="1" customHeight="1" x14ac:dyDescent="0.25">
      <c r="A377" s="159"/>
      <c r="C377" s="160"/>
      <c r="E377" s="159"/>
      <c r="F377" s="159"/>
      <c r="G377" s="159"/>
      <c r="H377" s="161"/>
      <c r="I377" s="161"/>
      <c r="J377" s="159"/>
      <c r="K377" s="153"/>
    </row>
    <row r="378" spans="1:11" ht="15.75" hidden="1" customHeight="1" x14ac:dyDescent="0.25">
      <c r="A378" s="159"/>
      <c r="C378" s="160"/>
      <c r="E378" s="159"/>
      <c r="F378" s="159"/>
      <c r="G378" s="159"/>
      <c r="H378" s="161"/>
      <c r="I378" s="161"/>
      <c r="J378" s="159"/>
      <c r="K378" s="153"/>
    </row>
    <row r="379" spans="1:11" ht="15.75" hidden="1" customHeight="1" x14ac:dyDescent="0.25">
      <c r="A379" s="159"/>
      <c r="C379" s="160"/>
      <c r="E379" s="159"/>
      <c r="F379" s="159"/>
      <c r="G379" s="159"/>
      <c r="H379" s="161"/>
      <c r="I379" s="161"/>
      <c r="J379" s="159"/>
      <c r="K379" s="153"/>
    </row>
    <row r="380" spans="1:11" ht="15.75" hidden="1" customHeight="1" x14ac:dyDescent="0.25">
      <c r="A380" s="159"/>
      <c r="C380" s="160"/>
      <c r="E380" s="159"/>
      <c r="F380" s="159"/>
      <c r="G380" s="159"/>
      <c r="H380" s="161"/>
      <c r="I380" s="161"/>
      <c r="J380" s="159"/>
      <c r="K380" s="153"/>
    </row>
    <row r="381" spans="1:11" ht="15.75" hidden="1" customHeight="1" x14ac:dyDescent="0.25">
      <c r="A381" s="159"/>
      <c r="C381" s="160"/>
      <c r="E381" s="159"/>
      <c r="F381" s="159"/>
      <c r="G381" s="159"/>
      <c r="H381" s="161"/>
      <c r="I381" s="161"/>
      <c r="J381" s="159"/>
      <c r="K381" s="153"/>
    </row>
    <row r="382" spans="1:11" ht="15.75" hidden="1" customHeight="1" x14ac:dyDescent="0.25">
      <c r="A382" s="159"/>
      <c r="C382" s="160"/>
      <c r="E382" s="159"/>
      <c r="F382" s="159"/>
      <c r="G382" s="159"/>
      <c r="H382" s="161"/>
      <c r="I382" s="161"/>
      <c r="J382" s="159"/>
      <c r="K382" s="153"/>
    </row>
    <row r="383" spans="1:11" ht="15.75" hidden="1" customHeight="1" x14ac:dyDescent="0.25">
      <c r="A383" s="159"/>
      <c r="C383" s="160"/>
      <c r="E383" s="159"/>
      <c r="F383" s="159"/>
      <c r="G383" s="159"/>
      <c r="H383" s="161"/>
      <c r="I383" s="161"/>
      <c r="J383" s="159"/>
      <c r="K383" s="153"/>
    </row>
    <row r="384" spans="1:11" ht="15.75" hidden="1" customHeight="1" x14ac:dyDescent="0.25">
      <c r="A384" s="159"/>
      <c r="C384" s="160"/>
      <c r="E384" s="159"/>
      <c r="F384" s="159"/>
      <c r="G384" s="159"/>
      <c r="H384" s="161"/>
      <c r="I384" s="161"/>
      <c r="J384" s="159"/>
      <c r="K384" s="153"/>
    </row>
    <row r="385" spans="1:11" ht="15.75" hidden="1" customHeight="1" x14ac:dyDescent="0.25">
      <c r="A385" s="159"/>
      <c r="C385" s="160"/>
      <c r="E385" s="159"/>
      <c r="F385" s="159"/>
      <c r="G385" s="159"/>
      <c r="H385" s="161"/>
      <c r="I385" s="161"/>
      <c r="J385" s="159"/>
      <c r="K385" s="153"/>
    </row>
    <row r="386" spans="1:11" ht="15.75" hidden="1" customHeight="1" x14ac:dyDescent="0.25">
      <c r="A386" s="159"/>
      <c r="C386" s="160"/>
      <c r="E386" s="159"/>
      <c r="F386" s="159"/>
      <c r="G386" s="159"/>
      <c r="H386" s="161"/>
      <c r="I386" s="161"/>
      <c r="J386" s="159"/>
      <c r="K386" s="153"/>
    </row>
    <row r="387" spans="1:11" ht="15.75" hidden="1" customHeight="1" x14ac:dyDescent="0.25">
      <c r="A387" s="159"/>
      <c r="C387" s="160"/>
      <c r="E387" s="159"/>
      <c r="F387" s="159"/>
      <c r="G387" s="159"/>
      <c r="H387" s="161"/>
      <c r="I387" s="161"/>
      <c r="J387" s="159"/>
      <c r="K387" s="153"/>
    </row>
    <row r="388" spans="1:11" ht="15.75" hidden="1" customHeight="1" x14ac:dyDescent="0.25">
      <c r="A388" s="159"/>
      <c r="C388" s="160"/>
      <c r="E388" s="159"/>
      <c r="F388" s="159"/>
      <c r="G388" s="159"/>
      <c r="H388" s="161"/>
      <c r="I388" s="161"/>
      <c r="J388" s="159"/>
      <c r="K388" s="153"/>
    </row>
    <row r="389" spans="1:11" ht="15.75" hidden="1" customHeight="1" x14ac:dyDescent="0.25">
      <c r="A389" s="159"/>
      <c r="C389" s="160"/>
      <c r="E389" s="159"/>
      <c r="F389" s="159"/>
      <c r="G389" s="159"/>
      <c r="H389" s="161"/>
      <c r="I389" s="161"/>
      <c r="J389" s="159"/>
      <c r="K389" s="153"/>
    </row>
    <row r="390" spans="1:11" ht="15.75" hidden="1" customHeight="1" x14ac:dyDescent="0.25">
      <c r="A390" s="159"/>
      <c r="C390" s="160"/>
      <c r="E390" s="159"/>
      <c r="F390" s="159"/>
      <c r="G390" s="159"/>
      <c r="H390" s="161"/>
      <c r="I390" s="161"/>
      <c r="J390" s="159"/>
      <c r="K390" s="153"/>
    </row>
    <row r="391" spans="1:11" ht="15.75" hidden="1" customHeight="1" x14ac:dyDescent="0.25">
      <c r="A391" s="159"/>
      <c r="C391" s="160"/>
      <c r="E391" s="159"/>
      <c r="F391" s="159"/>
      <c r="G391" s="159"/>
      <c r="H391" s="161"/>
      <c r="I391" s="161"/>
      <c r="J391" s="159"/>
      <c r="K391" s="153"/>
    </row>
    <row r="392" spans="1:11" ht="15.75" hidden="1" customHeight="1" x14ac:dyDescent="0.25">
      <c r="A392" s="159"/>
      <c r="C392" s="160"/>
      <c r="E392" s="159"/>
      <c r="F392" s="159"/>
      <c r="G392" s="159"/>
      <c r="H392" s="161"/>
      <c r="I392" s="161"/>
      <c r="J392" s="159"/>
      <c r="K392" s="153"/>
    </row>
    <row r="393" spans="1:11" ht="15.75" hidden="1" customHeight="1" x14ac:dyDescent="0.25">
      <c r="A393" s="159"/>
      <c r="C393" s="160"/>
      <c r="E393" s="159"/>
      <c r="F393" s="159"/>
      <c r="G393" s="159"/>
      <c r="H393" s="161"/>
      <c r="I393" s="161"/>
      <c r="J393" s="159"/>
      <c r="K393" s="153"/>
    </row>
    <row r="394" spans="1:11" ht="15.75" hidden="1" customHeight="1" x14ac:dyDescent="0.25">
      <c r="A394" s="159"/>
      <c r="C394" s="160"/>
      <c r="E394" s="159"/>
      <c r="F394" s="159"/>
      <c r="G394" s="159"/>
      <c r="H394" s="161"/>
      <c r="I394" s="161"/>
      <c r="J394" s="159"/>
      <c r="K394" s="153"/>
    </row>
    <row r="395" spans="1:11" ht="15.75" hidden="1" customHeight="1" x14ac:dyDescent="0.25">
      <c r="A395" s="159"/>
      <c r="C395" s="160"/>
      <c r="E395" s="159"/>
      <c r="F395" s="159"/>
      <c r="G395" s="159"/>
      <c r="H395" s="161"/>
      <c r="I395" s="161"/>
      <c r="J395" s="159"/>
      <c r="K395" s="153"/>
    </row>
    <row r="396" spans="1:11" ht="15.75" hidden="1" customHeight="1" x14ac:dyDescent="0.25">
      <c r="A396" s="159"/>
      <c r="C396" s="160"/>
      <c r="E396" s="159"/>
      <c r="F396" s="159"/>
      <c r="G396" s="159"/>
      <c r="H396" s="161"/>
      <c r="I396" s="161"/>
      <c r="J396" s="159"/>
      <c r="K396" s="153"/>
    </row>
    <row r="397" spans="1:11" ht="15.75" hidden="1" customHeight="1" x14ac:dyDescent="0.25">
      <c r="A397" s="159"/>
      <c r="C397" s="160"/>
      <c r="E397" s="159"/>
      <c r="F397" s="159"/>
      <c r="G397" s="159"/>
      <c r="H397" s="161"/>
      <c r="I397" s="161"/>
      <c r="J397" s="159"/>
      <c r="K397" s="153"/>
    </row>
    <row r="398" spans="1:11" ht="15.75" hidden="1" customHeight="1" x14ac:dyDescent="0.25">
      <c r="A398" s="159"/>
      <c r="C398" s="160"/>
      <c r="E398" s="159"/>
      <c r="F398" s="159"/>
      <c r="G398" s="159"/>
      <c r="H398" s="161"/>
      <c r="I398" s="161"/>
      <c r="J398" s="159"/>
      <c r="K398" s="153"/>
    </row>
    <row r="399" spans="1:11" ht="15.75" hidden="1" customHeight="1" x14ac:dyDescent="0.25">
      <c r="A399" s="159"/>
      <c r="C399" s="160"/>
      <c r="E399" s="159"/>
      <c r="F399" s="159"/>
      <c r="G399" s="159"/>
      <c r="H399" s="161"/>
      <c r="I399" s="161"/>
      <c r="J399" s="159"/>
      <c r="K399" s="153"/>
    </row>
    <row r="400" spans="1:11" ht="15.75" hidden="1" customHeight="1" x14ac:dyDescent="0.25">
      <c r="A400" s="159"/>
      <c r="C400" s="160"/>
      <c r="E400" s="159"/>
      <c r="F400" s="159"/>
      <c r="G400" s="159"/>
      <c r="H400" s="161"/>
      <c r="I400" s="161"/>
      <c r="J400" s="159"/>
      <c r="K400" s="153"/>
    </row>
    <row r="401" spans="1:11" ht="15.75" hidden="1" customHeight="1" x14ac:dyDescent="0.25">
      <c r="A401" s="159"/>
      <c r="C401" s="160"/>
      <c r="E401" s="159"/>
      <c r="F401" s="159"/>
      <c r="G401" s="159"/>
      <c r="H401" s="161"/>
      <c r="I401" s="161"/>
      <c r="J401" s="159"/>
      <c r="K401" s="153"/>
    </row>
    <row r="402" spans="1:11" ht="15.75" hidden="1" customHeight="1" x14ac:dyDescent="0.25">
      <c r="A402" s="159"/>
      <c r="C402" s="160"/>
      <c r="E402" s="159"/>
      <c r="F402" s="159"/>
      <c r="G402" s="159"/>
      <c r="H402" s="161"/>
      <c r="I402" s="161"/>
      <c r="J402" s="159"/>
      <c r="K402" s="153"/>
    </row>
    <row r="403" spans="1:11" ht="15.75" hidden="1" customHeight="1" x14ac:dyDescent="0.25">
      <c r="A403" s="159"/>
      <c r="C403" s="160"/>
      <c r="E403" s="159"/>
      <c r="F403" s="159"/>
      <c r="G403" s="159"/>
      <c r="H403" s="161"/>
      <c r="I403" s="161"/>
      <c r="J403" s="159"/>
      <c r="K403" s="153"/>
    </row>
    <row r="404" spans="1:11" ht="15.75" hidden="1" customHeight="1" x14ac:dyDescent="0.25">
      <c r="A404" s="159"/>
      <c r="C404" s="160"/>
      <c r="E404" s="159"/>
      <c r="F404" s="159"/>
      <c r="G404" s="159"/>
      <c r="H404" s="161"/>
      <c r="I404" s="161"/>
      <c r="J404" s="159"/>
      <c r="K404" s="153"/>
    </row>
    <row r="405" spans="1:11" ht="15.75" hidden="1" customHeight="1" x14ac:dyDescent="0.25">
      <c r="A405" s="159"/>
      <c r="C405" s="160"/>
      <c r="E405" s="159"/>
      <c r="F405" s="159"/>
      <c r="G405" s="159"/>
      <c r="H405" s="161"/>
      <c r="I405" s="161"/>
      <c r="J405" s="159"/>
      <c r="K405" s="153"/>
    </row>
    <row r="406" spans="1:11" ht="15.75" hidden="1" customHeight="1" x14ac:dyDescent="0.25">
      <c r="A406" s="159"/>
      <c r="C406" s="160"/>
      <c r="E406" s="159"/>
      <c r="F406" s="159"/>
      <c r="G406" s="159"/>
      <c r="H406" s="161"/>
      <c r="I406" s="161"/>
      <c r="J406" s="159"/>
      <c r="K406" s="153"/>
    </row>
    <row r="407" spans="1:11" ht="15.75" hidden="1" customHeight="1" x14ac:dyDescent="0.25">
      <c r="A407" s="159"/>
      <c r="C407" s="160"/>
      <c r="E407" s="159"/>
      <c r="F407" s="159"/>
      <c r="G407" s="159"/>
      <c r="H407" s="161"/>
      <c r="I407" s="161"/>
      <c r="J407" s="159"/>
      <c r="K407" s="153"/>
    </row>
    <row r="408" spans="1:11" ht="15.75" hidden="1" customHeight="1" x14ac:dyDescent="0.25">
      <c r="A408" s="159"/>
      <c r="C408" s="160"/>
      <c r="E408" s="159"/>
      <c r="F408" s="159"/>
      <c r="G408" s="159"/>
      <c r="H408" s="161"/>
      <c r="I408" s="161"/>
      <c r="J408" s="159"/>
      <c r="K408" s="153"/>
    </row>
    <row r="409" spans="1:11" ht="15.75" hidden="1" customHeight="1" x14ac:dyDescent="0.25">
      <c r="A409" s="159"/>
      <c r="C409" s="160"/>
      <c r="E409" s="159"/>
      <c r="F409" s="159"/>
      <c r="G409" s="159"/>
      <c r="H409" s="161"/>
      <c r="I409" s="161"/>
      <c r="J409" s="159"/>
      <c r="K409" s="153"/>
    </row>
    <row r="410" spans="1:11" ht="15.75" hidden="1" customHeight="1" x14ac:dyDescent="0.25">
      <c r="A410" s="159"/>
      <c r="C410" s="160"/>
      <c r="E410" s="159"/>
      <c r="F410" s="159"/>
      <c r="G410" s="159"/>
      <c r="H410" s="161"/>
      <c r="I410" s="161"/>
      <c r="J410" s="159"/>
      <c r="K410" s="153"/>
    </row>
    <row r="411" spans="1:11" ht="15.75" hidden="1" customHeight="1" x14ac:dyDescent="0.25">
      <c r="A411" s="159"/>
      <c r="C411" s="160"/>
      <c r="E411" s="159"/>
      <c r="F411" s="159"/>
      <c r="G411" s="159"/>
      <c r="H411" s="161"/>
      <c r="I411" s="161"/>
      <c r="J411" s="159"/>
      <c r="K411" s="153"/>
    </row>
    <row r="412" spans="1:11" ht="15.75" hidden="1" customHeight="1" x14ac:dyDescent="0.25">
      <c r="A412" s="159"/>
      <c r="C412" s="160"/>
      <c r="E412" s="159"/>
      <c r="F412" s="159"/>
      <c r="G412" s="159"/>
      <c r="H412" s="161"/>
      <c r="I412" s="161"/>
      <c r="J412" s="159"/>
      <c r="K412" s="153"/>
    </row>
    <row r="413" spans="1:11" ht="15.75" hidden="1" customHeight="1" x14ac:dyDescent="0.25">
      <c r="A413" s="159"/>
      <c r="C413" s="160"/>
      <c r="E413" s="159"/>
      <c r="F413" s="159"/>
      <c r="G413" s="159"/>
      <c r="H413" s="161"/>
      <c r="I413" s="161"/>
      <c r="J413" s="159"/>
      <c r="K413" s="153"/>
    </row>
    <row r="414" spans="1:11" ht="15.75" hidden="1" customHeight="1" x14ac:dyDescent="0.25">
      <c r="A414" s="159"/>
      <c r="C414" s="160"/>
      <c r="E414" s="159"/>
      <c r="F414" s="159"/>
      <c r="G414" s="159"/>
      <c r="H414" s="161"/>
      <c r="I414" s="161"/>
      <c r="J414" s="159"/>
      <c r="K414" s="153"/>
    </row>
    <row r="415" spans="1:11" ht="15.75" hidden="1" customHeight="1" x14ac:dyDescent="0.25">
      <c r="A415" s="159"/>
      <c r="C415" s="160"/>
      <c r="E415" s="159"/>
      <c r="F415" s="159"/>
      <c r="G415" s="159"/>
      <c r="H415" s="161"/>
      <c r="I415" s="161"/>
      <c r="J415" s="159"/>
      <c r="K415" s="153"/>
    </row>
    <row r="416" spans="1:11" ht="15.75" hidden="1" customHeight="1" x14ac:dyDescent="0.25">
      <c r="A416" s="159"/>
      <c r="C416" s="160"/>
      <c r="E416" s="159"/>
      <c r="F416" s="159"/>
      <c r="G416" s="159"/>
      <c r="H416" s="161"/>
      <c r="I416" s="161"/>
      <c r="J416" s="159"/>
      <c r="K416" s="153"/>
    </row>
    <row r="417" spans="1:11" ht="15.75" hidden="1" customHeight="1" x14ac:dyDescent="0.25">
      <c r="A417" s="159"/>
      <c r="C417" s="160"/>
      <c r="E417" s="159"/>
      <c r="F417" s="159"/>
      <c r="G417" s="159"/>
      <c r="H417" s="161"/>
      <c r="I417" s="161"/>
      <c r="J417" s="159"/>
      <c r="K417" s="153"/>
    </row>
    <row r="418" spans="1:11" ht="15.75" hidden="1" customHeight="1" x14ac:dyDescent="0.25">
      <c r="A418" s="159"/>
      <c r="C418" s="160"/>
      <c r="E418" s="159"/>
      <c r="F418" s="159"/>
      <c r="G418" s="159"/>
      <c r="H418" s="161"/>
      <c r="I418" s="161"/>
      <c r="J418" s="159"/>
      <c r="K418" s="153"/>
    </row>
    <row r="419" spans="1:11" ht="15.75" hidden="1" customHeight="1" x14ac:dyDescent="0.25">
      <c r="A419" s="159"/>
      <c r="C419" s="160"/>
      <c r="E419" s="159"/>
      <c r="F419" s="159"/>
      <c r="G419" s="159"/>
      <c r="H419" s="161"/>
      <c r="I419" s="161"/>
      <c r="J419" s="159"/>
      <c r="K419" s="153"/>
    </row>
    <row r="420" spans="1:11" ht="15.75" hidden="1" customHeight="1" x14ac:dyDescent="0.25">
      <c r="A420" s="159"/>
      <c r="C420" s="160"/>
      <c r="E420" s="159"/>
      <c r="F420" s="159"/>
      <c r="G420" s="159"/>
      <c r="H420" s="161"/>
      <c r="I420" s="161"/>
      <c r="J420" s="159"/>
      <c r="K420" s="153"/>
    </row>
    <row r="421" spans="1:11" ht="15.75" hidden="1" customHeight="1" x14ac:dyDescent="0.25">
      <c r="A421" s="159"/>
      <c r="C421" s="160"/>
      <c r="E421" s="159"/>
      <c r="F421" s="159"/>
      <c r="G421" s="159"/>
      <c r="H421" s="161"/>
      <c r="I421" s="161"/>
      <c r="J421" s="159"/>
      <c r="K421" s="153"/>
    </row>
    <row r="422" spans="1:11" ht="15.75" hidden="1" customHeight="1" x14ac:dyDescent="0.25">
      <c r="A422" s="159"/>
      <c r="C422" s="160"/>
      <c r="E422" s="159"/>
      <c r="F422" s="159"/>
      <c r="G422" s="159"/>
      <c r="H422" s="161"/>
      <c r="I422" s="161"/>
      <c r="J422" s="159"/>
      <c r="K422" s="153"/>
    </row>
    <row r="423" spans="1:11" ht="15.75" hidden="1" customHeight="1" x14ac:dyDescent="0.25">
      <c r="A423" s="159"/>
      <c r="C423" s="160"/>
      <c r="E423" s="159"/>
      <c r="F423" s="159"/>
      <c r="G423" s="159"/>
      <c r="H423" s="161"/>
      <c r="I423" s="161"/>
      <c r="J423" s="159"/>
      <c r="K423" s="153"/>
    </row>
    <row r="424" spans="1:11" ht="15.75" hidden="1" customHeight="1" x14ac:dyDescent="0.25">
      <c r="A424" s="159"/>
      <c r="C424" s="160"/>
      <c r="E424" s="159"/>
      <c r="F424" s="159"/>
      <c r="G424" s="159"/>
      <c r="H424" s="161"/>
      <c r="I424" s="161"/>
      <c r="J424" s="159"/>
      <c r="K424" s="153"/>
    </row>
    <row r="425" spans="1:11" ht="15.75" hidden="1" customHeight="1" x14ac:dyDescent="0.25">
      <c r="A425" s="159"/>
      <c r="C425" s="160"/>
      <c r="E425" s="159"/>
      <c r="F425" s="159"/>
      <c r="G425" s="159"/>
      <c r="H425" s="161"/>
      <c r="I425" s="161"/>
      <c r="J425" s="159"/>
      <c r="K425" s="153"/>
    </row>
    <row r="426" spans="1:11" ht="15.75" hidden="1" customHeight="1" x14ac:dyDescent="0.25">
      <c r="A426" s="159"/>
      <c r="C426" s="160"/>
      <c r="E426" s="159"/>
      <c r="F426" s="159"/>
      <c r="G426" s="159"/>
      <c r="H426" s="161"/>
      <c r="I426" s="161"/>
      <c r="J426" s="159"/>
      <c r="K426" s="153"/>
    </row>
    <row r="427" spans="1:11" ht="15.75" hidden="1" customHeight="1" x14ac:dyDescent="0.25">
      <c r="A427" s="159"/>
      <c r="C427" s="160"/>
      <c r="E427" s="159"/>
      <c r="F427" s="159"/>
      <c r="G427" s="159"/>
      <c r="H427" s="161"/>
      <c r="I427" s="161"/>
      <c r="J427" s="159"/>
      <c r="K427" s="153"/>
    </row>
    <row r="428" spans="1:11" ht="15.75" hidden="1" customHeight="1" x14ac:dyDescent="0.25">
      <c r="A428" s="159"/>
      <c r="C428" s="160"/>
      <c r="E428" s="159"/>
      <c r="F428" s="159"/>
      <c r="G428" s="159"/>
      <c r="H428" s="161"/>
      <c r="I428" s="161"/>
      <c r="J428" s="159"/>
      <c r="K428" s="153"/>
    </row>
    <row r="429" spans="1:11" ht="15.75" hidden="1" customHeight="1" x14ac:dyDescent="0.25">
      <c r="A429" s="159"/>
      <c r="C429" s="160"/>
      <c r="E429" s="159"/>
      <c r="F429" s="159"/>
      <c r="G429" s="159"/>
      <c r="H429" s="161"/>
      <c r="I429" s="161"/>
      <c r="J429" s="159"/>
      <c r="K429" s="153"/>
    </row>
    <row r="430" spans="1:11" ht="15.75" hidden="1" customHeight="1" x14ac:dyDescent="0.25">
      <c r="A430" s="159"/>
      <c r="C430" s="160"/>
      <c r="E430" s="159"/>
      <c r="F430" s="159"/>
      <c r="G430" s="159"/>
      <c r="H430" s="161"/>
      <c r="I430" s="161"/>
      <c r="J430" s="159"/>
      <c r="K430" s="153"/>
    </row>
    <row r="431" spans="1:11" ht="15.75" hidden="1" customHeight="1" x14ac:dyDescent="0.25">
      <c r="A431" s="159"/>
      <c r="C431" s="160"/>
      <c r="E431" s="159"/>
      <c r="F431" s="159"/>
      <c r="G431" s="159"/>
      <c r="H431" s="161"/>
      <c r="I431" s="161"/>
      <c r="J431" s="159"/>
      <c r="K431" s="153"/>
    </row>
    <row r="432" spans="1:11" ht="15.75" hidden="1" customHeight="1" x14ac:dyDescent="0.25">
      <c r="A432" s="159"/>
      <c r="C432" s="160"/>
      <c r="E432" s="159"/>
      <c r="F432" s="159"/>
      <c r="G432" s="159"/>
      <c r="H432" s="161"/>
      <c r="I432" s="161"/>
      <c r="J432" s="159"/>
      <c r="K432" s="153"/>
    </row>
    <row r="433" spans="1:11" ht="15.75" hidden="1" customHeight="1" x14ac:dyDescent="0.25">
      <c r="A433" s="159"/>
      <c r="C433" s="160"/>
      <c r="E433" s="159"/>
      <c r="F433" s="159"/>
      <c r="G433" s="159"/>
      <c r="H433" s="161"/>
      <c r="I433" s="161"/>
      <c r="J433" s="159"/>
      <c r="K433" s="153"/>
    </row>
    <row r="434" spans="1:11" ht="15.75" hidden="1" customHeight="1" x14ac:dyDescent="0.25">
      <c r="A434" s="159"/>
      <c r="C434" s="160"/>
      <c r="E434" s="159"/>
      <c r="F434" s="159"/>
      <c r="G434" s="159"/>
      <c r="H434" s="161"/>
      <c r="I434" s="161"/>
      <c r="J434" s="159"/>
      <c r="K434" s="153"/>
    </row>
    <row r="435" spans="1:11" ht="15.75" hidden="1" customHeight="1" x14ac:dyDescent="0.25">
      <c r="A435" s="159"/>
      <c r="C435" s="160"/>
      <c r="E435" s="159"/>
      <c r="F435" s="159"/>
      <c r="G435" s="159"/>
      <c r="H435" s="161"/>
      <c r="I435" s="161"/>
      <c r="J435" s="159"/>
      <c r="K435" s="153"/>
    </row>
    <row r="436" spans="1:11" ht="15.75" hidden="1" customHeight="1" x14ac:dyDescent="0.25">
      <c r="A436" s="159"/>
      <c r="C436" s="160"/>
      <c r="E436" s="159"/>
      <c r="F436" s="159"/>
      <c r="G436" s="159"/>
      <c r="H436" s="161"/>
      <c r="I436" s="161"/>
      <c r="J436" s="159"/>
      <c r="K436" s="153"/>
    </row>
    <row r="437" spans="1:11" ht="15.75" hidden="1" customHeight="1" x14ac:dyDescent="0.25">
      <c r="A437" s="159"/>
      <c r="C437" s="160"/>
      <c r="E437" s="159"/>
      <c r="F437" s="159"/>
      <c r="G437" s="159"/>
      <c r="H437" s="161"/>
      <c r="I437" s="161"/>
      <c r="J437" s="159"/>
      <c r="K437" s="153"/>
    </row>
    <row r="438" spans="1:11" ht="15.75" hidden="1" customHeight="1" x14ac:dyDescent="0.25">
      <c r="A438" s="159"/>
      <c r="C438" s="160"/>
      <c r="E438" s="159"/>
      <c r="F438" s="159"/>
      <c r="G438" s="159"/>
      <c r="H438" s="161"/>
      <c r="I438" s="161"/>
      <c r="J438" s="159"/>
      <c r="K438" s="153"/>
    </row>
    <row r="439" spans="1:11" ht="15.75" hidden="1" customHeight="1" x14ac:dyDescent="0.25">
      <c r="A439" s="159"/>
      <c r="C439" s="160"/>
      <c r="E439" s="159"/>
      <c r="F439" s="159"/>
      <c r="G439" s="159"/>
      <c r="H439" s="161"/>
      <c r="I439" s="161"/>
      <c r="J439" s="159"/>
      <c r="K439" s="153"/>
    </row>
    <row r="440" spans="1:11" ht="15.75" hidden="1" customHeight="1" x14ac:dyDescent="0.25">
      <c r="A440" s="159"/>
      <c r="C440" s="160"/>
      <c r="E440" s="159"/>
      <c r="F440" s="159"/>
      <c r="G440" s="159"/>
      <c r="H440" s="161"/>
      <c r="I440" s="161"/>
      <c r="J440" s="159"/>
      <c r="K440" s="153"/>
    </row>
    <row r="441" spans="1:11" ht="15.75" hidden="1" customHeight="1" x14ac:dyDescent="0.25">
      <c r="A441" s="159"/>
      <c r="C441" s="160"/>
      <c r="E441" s="159"/>
      <c r="F441" s="159"/>
      <c r="G441" s="159"/>
      <c r="H441" s="161"/>
      <c r="I441" s="161"/>
      <c r="J441" s="159"/>
      <c r="K441" s="153"/>
    </row>
    <row r="442" spans="1:11" ht="15.75" hidden="1" customHeight="1" x14ac:dyDescent="0.25">
      <c r="A442" s="159"/>
      <c r="C442" s="160"/>
      <c r="E442" s="159"/>
      <c r="F442" s="159"/>
      <c r="G442" s="159"/>
      <c r="H442" s="161"/>
      <c r="I442" s="161"/>
      <c r="J442" s="159"/>
      <c r="K442" s="153"/>
    </row>
    <row r="443" spans="1:11" ht="15.75" hidden="1" customHeight="1" x14ac:dyDescent="0.25">
      <c r="A443" s="159"/>
      <c r="C443" s="160"/>
      <c r="E443" s="159"/>
      <c r="F443" s="159"/>
      <c r="G443" s="159"/>
      <c r="H443" s="161"/>
      <c r="I443" s="161"/>
      <c r="J443" s="159"/>
      <c r="K443" s="153"/>
    </row>
    <row r="444" spans="1:11" ht="15.75" hidden="1" customHeight="1" x14ac:dyDescent="0.25">
      <c r="A444" s="159"/>
      <c r="C444" s="160"/>
      <c r="E444" s="159"/>
      <c r="F444" s="159"/>
      <c r="G444" s="159"/>
      <c r="H444" s="161"/>
      <c r="I444" s="161"/>
      <c r="J444" s="159"/>
      <c r="K444" s="153"/>
    </row>
    <row r="445" spans="1:11" ht="15.75" hidden="1" customHeight="1" x14ac:dyDescent="0.25">
      <c r="A445" s="159"/>
      <c r="C445" s="160"/>
      <c r="E445" s="159"/>
      <c r="F445" s="159"/>
      <c r="G445" s="159"/>
      <c r="H445" s="161"/>
      <c r="I445" s="161"/>
      <c r="J445" s="159"/>
      <c r="K445" s="153"/>
    </row>
    <row r="446" spans="1:11" ht="15.75" hidden="1" customHeight="1" x14ac:dyDescent="0.25">
      <c r="A446" s="159"/>
      <c r="C446" s="160"/>
      <c r="E446" s="159"/>
      <c r="F446" s="159"/>
      <c r="G446" s="159"/>
      <c r="H446" s="161"/>
      <c r="I446" s="161"/>
      <c r="J446" s="159"/>
      <c r="K446" s="153"/>
    </row>
    <row r="447" spans="1:11" ht="15.75" hidden="1" customHeight="1" x14ac:dyDescent="0.25">
      <c r="A447" s="159"/>
      <c r="C447" s="160"/>
      <c r="E447" s="159"/>
      <c r="F447" s="159"/>
      <c r="G447" s="159"/>
      <c r="H447" s="161"/>
      <c r="I447" s="161"/>
      <c r="J447" s="159"/>
      <c r="K447" s="153"/>
    </row>
    <row r="448" spans="1:11" ht="15.75" hidden="1" customHeight="1" x14ac:dyDescent="0.25">
      <c r="A448" s="159"/>
      <c r="C448" s="160"/>
      <c r="E448" s="159"/>
      <c r="F448" s="159"/>
      <c r="G448" s="159"/>
      <c r="H448" s="161"/>
      <c r="I448" s="161"/>
      <c r="J448" s="159"/>
      <c r="K448" s="153"/>
    </row>
    <row r="449" spans="1:11" ht="15.75" hidden="1" customHeight="1" x14ac:dyDescent="0.25">
      <c r="A449" s="159"/>
      <c r="C449" s="160"/>
      <c r="E449" s="159"/>
      <c r="F449" s="159"/>
      <c r="G449" s="159"/>
      <c r="H449" s="161"/>
      <c r="I449" s="161"/>
      <c r="J449" s="159"/>
      <c r="K449" s="153"/>
    </row>
    <row r="450" spans="1:11" ht="15.75" hidden="1" customHeight="1" x14ac:dyDescent="0.25">
      <c r="A450" s="159"/>
      <c r="C450" s="160"/>
      <c r="E450" s="159"/>
      <c r="F450" s="159"/>
      <c r="G450" s="159"/>
      <c r="H450" s="161"/>
      <c r="I450" s="161"/>
      <c r="J450" s="159"/>
      <c r="K450" s="153"/>
    </row>
    <row r="451" spans="1:11" ht="15.75" hidden="1" customHeight="1" x14ac:dyDescent="0.25">
      <c r="A451" s="159"/>
      <c r="C451" s="160"/>
      <c r="E451" s="159"/>
      <c r="F451" s="159"/>
      <c r="G451" s="159"/>
      <c r="H451" s="161"/>
      <c r="I451" s="161"/>
      <c r="J451" s="159"/>
      <c r="K451" s="153"/>
    </row>
    <row r="452" spans="1:11" ht="15.75" hidden="1" customHeight="1" x14ac:dyDescent="0.25">
      <c r="A452" s="159"/>
      <c r="C452" s="160"/>
      <c r="E452" s="159"/>
      <c r="F452" s="159"/>
      <c r="G452" s="159"/>
      <c r="H452" s="161"/>
      <c r="I452" s="161"/>
      <c r="J452" s="159"/>
      <c r="K452" s="153"/>
    </row>
    <row r="453" spans="1:11" ht="15.75" hidden="1" customHeight="1" x14ac:dyDescent="0.25">
      <c r="A453" s="159"/>
      <c r="C453" s="160"/>
      <c r="E453" s="159"/>
      <c r="F453" s="159"/>
      <c r="G453" s="159"/>
      <c r="H453" s="161"/>
      <c r="I453" s="161"/>
      <c r="J453" s="159"/>
      <c r="K453" s="153"/>
    </row>
    <row r="454" spans="1:11" ht="15.75" hidden="1" customHeight="1" x14ac:dyDescent="0.25">
      <c r="A454" s="159"/>
      <c r="C454" s="160"/>
      <c r="E454" s="159"/>
      <c r="F454" s="159"/>
      <c r="G454" s="159"/>
      <c r="H454" s="161"/>
      <c r="I454" s="161"/>
      <c r="J454" s="159"/>
      <c r="K454" s="153"/>
    </row>
    <row r="455" spans="1:11" ht="15.75" hidden="1" customHeight="1" x14ac:dyDescent="0.25">
      <c r="A455" s="159"/>
      <c r="C455" s="160"/>
      <c r="E455" s="159"/>
      <c r="F455" s="159"/>
      <c r="G455" s="159"/>
      <c r="H455" s="161"/>
      <c r="I455" s="161"/>
      <c r="J455" s="159"/>
      <c r="K455" s="153"/>
    </row>
    <row r="456" spans="1:11" ht="15.75" hidden="1" customHeight="1" x14ac:dyDescent="0.25">
      <c r="A456" s="159"/>
      <c r="C456" s="160"/>
      <c r="E456" s="159"/>
      <c r="F456" s="159"/>
      <c r="G456" s="159"/>
      <c r="H456" s="161"/>
      <c r="I456" s="161"/>
      <c r="J456" s="159"/>
      <c r="K456" s="153"/>
    </row>
    <row r="457" spans="1:11" ht="15.75" hidden="1" customHeight="1" x14ac:dyDescent="0.25">
      <c r="A457" s="159"/>
      <c r="C457" s="160"/>
      <c r="E457" s="159"/>
      <c r="F457" s="159"/>
      <c r="G457" s="159"/>
      <c r="H457" s="161"/>
      <c r="I457" s="161"/>
      <c r="J457" s="159"/>
      <c r="K457" s="153"/>
    </row>
    <row r="458" spans="1:11" ht="15.75" hidden="1" customHeight="1" x14ac:dyDescent="0.25">
      <c r="A458" s="159"/>
      <c r="C458" s="160"/>
      <c r="E458" s="159"/>
      <c r="F458" s="159"/>
      <c r="G458" s="159"/>
      <c r="H458" s="161"/>
      <c r="I458" s="161"/>
      <c r="J458" s="159"/>
      <c r="K458" s="153"/>
    </row>
    <row r="459" spans="1:11" ht="15.75" hidden="1" customHeight="1" x14ac:dyDescent="0.25">
      <c r="A459" s="159"/>
      <c r="C459" s="160"/>
      <c r="E459" s="159"/>
      <c r="F459" s="159"/>
      <c r="G459" s="159"/>
      <c r="H459" s="161"/>
      <c r="I459" s="161"/>
      <c r="J459" s="159"/>
      <c r="K459" s="153"/>
    </row>
    <row r="460" spans="1:11" ht="15.75" hidden="1" customHeight="1" x14ac:dyDescent="0.25">
      <c r="A460" s="159"/>
      <c r="C460" s="160"/>
      <c r="E460" s="159"/>
      <c r="F460" s="159"/>
      <c r="G460" s="159"/>
      <c r="H460" s="161"/>
      <c r="I460" s="161"/>
      <c r="J460" s="159"/>
      <c r="K460" s="153"/>
    </row>
    <row r="461" spans="1:11" ht="15.75" hidden="1" customHeight="1" x14ac:dyDescent="0.25">
      <c r="A461" s="159"/>
      <c r="C461" s="160"/>
      <c r="E461" s="159"/>
      <c r="F461" s="159"/>
      <c r="G461" s="159"/>
      <c r="H461" s="161"/>
      <c r="I461" s="161"/>
      <c r="J461" s="159"/>
      <c r="K461" s="153"/>
    </row>
    <row r="462" spans="1:11" ht="15.75" hidden="1" customHeight="1" x14ac:dyDescent="0.25">
      <c r="A462" s="159"/>
      <c r="C462" s="160"/>
      <c r="E462" s="159"/>
      <c r="F462" s="159"/>
      <c r="G462" s="159"/>
      <c r="H462" s="161"/>
      <c r="I462" s="161"/>
      <c r="J462" s="159"/>
      <c r="K462" s="153"/>
    </row>
    <row r="463" spans="1:11" ht="15.75" hidden="1" customHeight="1" x14ac:dyDescent="0.25">
      <c r="A463" s="159"/>
      <c r="C463" s="160"/>
      <c r="E463" s="159"/>
      <c r="F463" s="159"/>
      <c r="G463" s="159"/>
      <c r="H463" s="161"/>
      <c r="I463" s="161"/>
      <c r="J463" s="159"/>
      <c r="K463" s="153"/>
    </row>
    <row r="464" spans="1:11" ht="15.75" hidden="1" customHeight="1" x14ac:dyDescent="0.25">
      <c r="A464" s="159"/>
      <c r="C464" s="160"/>
      <c r="E464" s="159"/>
      <c r="F464" s="159"/>
      <c r="G464" s="159"/>
      <c r="H464" s="161"/>
      <c r="I464" s="161"/>
      <c r="J464" s="159"/>
      <c r="K464" s="153"/>
    </row>
    <row r="465" spans="1:11" ht="15.75" hidden="1" customHeight="1" x14ac:dyDescent="0.25">
      <c r="A465" s="159"/>
      <c r="C465" s="160"/>
      <c r="E465" s="159"/>
      <c r="F465" s="159"/>
      <c r="G465" s="159"/>
      <c r="H465" s="161"/>
      <c r="I465" s="161"/>
      <c r="J465" s="159"/>
      <c r="K465" s="153"/>
    </row>
    <row r="466" spans="1:11" ht="15.75" hidden="1" customHeight="1" x14ac:dyDescent="0.25">
      <c r="A466" s="159"/>
      <c r="C466" s="160"/>
      <c r="E466" s="159"/>
      <c r="F466" s="159"/>
      <c r="G466" s="159"/>
      <c r="H466" s="161"/>
      <c r="I466" s="161"/>
      <c r="J466" s="159"/>
      <c r="K466" s="153"/>
    </row>
    <row r="467" spans="1:11" ht="15.75" hidden="1" customHeight="1" x14ac:dyDescent="0.25">
      <c r="A467" s="159"/>
      <c r="C467" s="160"/>
      <c r="E467" s="159"/>
      <c r="F467" s="159"/>
      <c r="G467" s="159"/>
      <c r="H467" s="161"/>
      <c r="I467" s="161"/>
      <c r="J467" s="159"/>
      <c r="K467" s="153"/>
    </row>
    <row r="468" spans="1:11" ht="15.75" hidden="1" customHeight="1" x14ac:dyDescent="0.25">
      <c r="A468" s="159"/>
      <c r="C468" s="160"/>
      <c r="E468" s="159"/>
      <c r="F468" s="159"/>
      <c r="G468" s="159"/>
      <c r="H468" s="161"/>
      <c r="I468" s="161"/>
      <c r="J468" s="159"/>
      <c r="K468" s="153"/>
    </row>
    <row r="469" spans="1:11" ht="15.75" hidden="1" customHeight="1" x14ac:dyDescent="0.25">
      <c r="A469" s="159"/>
      <c r="C469" s="160"/>
      <c r="E469" s="159"/>
      <c r="F469" s="159"/>
      <c r="G469" s="159"/>
      <c r="H469" s="161"/>
      <c r="I469" s="161"/>
      <c r="J469" s="159"/>
      <c r="K469" s="153"/>
    </row>
    <row r="470" spans="1:11" ht="15.75" hidden="1" customHeight="1" x14ac:dyDescent="0.25">
      <c r="A470" s="159"/>
      <c r="C470" s="160"/>
      <c r="E470" s="159"/>
      <c r="F470" s="159"/>
      <c r="G470" s="159"/>
      <c r="H470" s="161"/>
      <c r="I470" s="161"/>
      <c r="J470" s="159"/>
      <c r="K470" s="153"/>
    </row>
    <row r="471" spans="1:11" ht="15.75" hidden="1" customHeight="1" x14ac:dyDescent="0.25">
      <c r="A471" s="159"/>
      <c r="C471" s="160"/>
      <c r="E471" s="159"/>
      <c r="F471" s="159"/>
      <c r="G471" s="159"/>
      <c r="H471" s="161"/>
      <c r="I471" s="161"/>
      <c r="J471" s="159"/>
      <c r="K471" s="153"/>
    </row>
    <row r="472" spans="1:11" ht="15.75" hidden="1" customHeight="1" x14ac:dyDescent="0.25">
      <c r="A472" s="159"/>
      <c r="C472" s="160"/>
      <c r="E472" s="159"/>
      <c r="F472" s="159"/>
      <c r="G472" s="159"/>
      <c r="H472" s="161"/>
      <c r="I472" s="161"/>
      <c r="J472" s="159"/>
      <c r="K472" s="153"/>
    </row>
    <row r="473" spans="1:11" ht="15.75" hidden="1" customHeight="1" x14ac:dyDescent="0.25">
      <c r="A473" s="159"/>
      <c r="C473" s="160"/>
      <c r="E473" s="159"/>
      <c r="F473" s="159"/>
      <c r="G473" s="159"/>
      <c r="H473" s="161"/>
      <c r="I473" s="161"/>
      <c r="J473" s="159"/>
      <c r="K473" s="153"/>
    </row>
    <row r="474" spans="1:11" ht="15.75" hidden="1" customHeight="1" x14ac:dyDescent="0.25">
      <c r="A474" s="159"/>
      <c r="C474" s="160"/>
      <c r="E474" s="159"/>
      <c r="F474" s="159"/>
      <c r="G474" s="159"/>
      <c r="H474" s="161"/>
      <c r="I474" s="161"/>
      <c r="J474" s="159"/>
      <c r="K474" s="153"/>
    </row>
    <row r="475" spans="1:11" ht="15.75" hidden="1" customHeight="1" x14ac:dyDescent="0.25">
      <c r="A475" s="159"/>
      <c r="C475" s="160"/>
      <c r="E475" s="159"/>
      <c r="F475" s="159"/>
      <c r="G475" s="159"/>
      <c r="H475" s="161"/>
      <c r="I475" s="161"/>
      <c r="J475" s="159"/>
      <c r="K475" s="153"/>
    </row>
    <row r="476" spans="1:11" ht="15.75" hidden="1" customHeight="1" x14ac:dyDescent="0.25">
      <c r="A476" s="159"/>
      <c r="C476" s="160"/>
      <c r="E476" s="159"/>
      <c r="F476" s="159"/>
      <c r="G476" s="159"/>
      <c r="H476" s="161"/>
      <c r="I476" s="161"/>
      <c r="J476" s="159"/>
      <c r="K476" s="153"/>
    </row>
    <row r="477" spans="1:11" ht="15.75" hidden="1" customHeight="1" x14ac:dyDescent="0.25">
      <c r="A477" s="159"/>
      <c r="C477" s="160"/>
      <c r="E477" s="159"/>
      <c r="F477" s="159"/>
      <c r="G477" s="159"/>
      <c r="H477" s="161"/>
      <c r="I477" s="161"/>
      <c r="J477" s="159"/>
      <c r="K477" s="153"/>
    </row>
    <row r="478" spans="1:11" ht="15.75" hidden="1" customHeight="1" x14ac:dyDescent="0.25">
      <c r="A478" s="159"/>
      <c r="C478" s="160"/>
      <c r="E478" s="159"/>
      <c r="F478" s="159"/>
      <c r="G478" s="159"/>
      <c r="H478" s="161"/>
      <c r="I478" s="161"/>
      <c r="J478" s="159"/>
      <c r="K478" s="153"/>
    </row>
    <row r="479" spans="1:11" ht="15.75" hidden="1" customHeight="1" x14ac:dyDescent="0.25">
      <c r="A479" s="159"/>
      <c r="C479" s="160"/>
      <c r="E479" s="159"/>
      <c r="F479" s="159"/>
      <c r="G479" s="159"/>
      <c r="H479" s="161"/>
      <c r="I479" s="161"/>
      <c r="J479" s="159"/>
      <c r="K479" s="153"/>
    </row>
    <row r="480" spans="1:11" ht="15.75" hidden="1" customHeight="1" x14ac:dyDescent="0.25">
      <c r="A480" s="159"/>
      <c r="C480" s="160"/>
      <c r="E480" s="159"/>
      <c r="F480" s="159"/>
      <c r="G480" s="159"/>
      <c r="H480" s="161"/>
      <c r="I480" s="161"/>
      <c r="J480" s="159"/>
      <c r="K480" s="153"/>
    </row>
    <row r="481" spans="1:11" ht="15.75" hidden="1" customHeight="1" x14ac:dyDescent="0.25">
      <c r="A481" s="159"/>
      <c r="C481" s="160"/>
      <c r="E481" s="159"/>
      <c r="F481" s="159"/>
      <c r="G481" s="159"/>
      <c r="H481" s="161"/>
      <c r="I481" s="161"/>
      <c r="J481" s="159"/>
      <c r="K481" s="153"/>
    </row>
    <row r="482" spans="1:11" ht="15.75" hidden="1" customHeight="1" x14ac:dyDescent="0.25">
      <c r="A482" s="159"/>
      <c r="C482" s="160"/>
      <c r="E482" s="159"/>
      <c r="F482" s="159"/>
      <c r="G482" s="159"/>
      <c r="H482" s="161"/>
      <c r="I482" s="161"/>
      <c r="J482" s="159"/>
      <c r="K482" s="153"/>
    </row>
    <row r="483" spans="1:11" ht="15.75" hidden="1" customHeight="1" x14ac:dyDescent="0.25">
      <c r="A483" s="159"/>
      <c r="C483" s="160"/>
      <c r="E483" s="159"/>
      <c r="F483" s="159"/>
      <c r="G483" s="159"/>
      <c r="H483" s="161"/>
      <c r="I483" s="161"/>
      <c r="J483" s="159"/>
      <c r="K483" s="153"/>
    </row>
    <row r="484" spans="1:11" ht="15.75" hidden="1" customHeight="1" x14ac:dyDescent="0.25">
      <c r="A484" s="159"/>
      <c r="C484" s="160"/>
      <c r="E484" s="159"/>
      <c r="F484" s="159"/>
      <c r="G484" s="159"/>
      <c r="H484" s="161"/>
      <c r="I484" s="161"/>
      <c r="J484" s="159"/>
      <c r="K484" s="153"/>
    </row>
    <row r="485" spans="1:11" ht="15.75" hidden="1" customHeight="1" x14ac:dyDescent="0.25">
      <c r="A485" s="159"/>
      <c r="C485" s="160"/>
      <c r="E485" s="159"/>
      <c r="F485" s="159"/>
      <c r="G485" s="159"/>
      <c r="H485" s="161"/>
      <c r="I485" s="161"/>
      <c r="J485" s="159"/>
      <c r="K485" s="153"/>
    </row>
    <row r="486" spans="1:11" ht="15.75" hidden="1" customHeight="1" x14ac:dyDescent="0.25">
      <c r="A486" s="159"/>
      <c r="C486" s="160"/>
      <c r="E486" s="159"/>
      <c r="F486" s="159"/>
      <c r="G486" s="159"/>
      <c r="H486" s="161"/>
      <c r="I486" s="161"/>
      <c r="J486" s="159"/>
      <c r="K486" s="153"/>
    </row>
    <row r="487" spans="1:11" ht="15.75" hidden="1" customHeight="1" x14ac:dyDescent="0.25">
      <c r="A487" s="159"/>
      <c r="C487" s="160"/>
      <c r="E487" s="159"/>
      <c r="F487" s="159"/>
      <c r="G487" s="159"/>
      <c r="H487" s="161"/>
      <c r="I487" s="161"/>
      <c r="J487" s="159"/>
      <c r="K487" s="153"/>
    </row>
    <row r="488" spans="1:11" ht="15.75" hidden="1" customHeight="1" x14ac:dyDescent="0.25">
      <c r="A488" s="159"/>
      <c r="C488" s="160"/>
      <c r="E488" s="159"/>
      <c r="F488" s="159"/>
      <c r="G488" s="159"/>
      <c r="H488" s="161"/>
      <c r="I488" s="161"/>
      <c r="J488" s="159"/>
      <c r="K488" s="153"/>
    </row>
    <row r="489" spans="1:11" ht="15.75" hidden="1" customHeight="1" x14ac:dyDescent="0.25">
      <c r="A489" s="159"/>
      <c r="C489" s="160"/>
      <c r="E489" s="159"/>
      <c r="F489" s="159"/>
      <c r="G489" s="159"/>
      <c r="H489" s="161"/>
      <c r="I489" s="161"/>
      <c r="J489" s="159"/>
      <c r="K489" s="153"/>
    </row>
    <row r="490" spans="1:11" ht="15.75" hidden="1" customHeight="1" x14ac:dyDescent="0.25">
      <c r="A490" s="159"/>
      <c r="C490" s="160"/>
      <c r="E490" s="159"/>
      <c r="F490" s="159"/>
      <c r="G490" s="159"/>
      <c r="H490" s="161"/>
      <c r="I490" s="161"/>
      <c r="J490" s="159"/>
      <c r="K490" s="153"/>
    </row>
    <row r="491" spans="1:11" ht="15.75" hidden="1" customHeight="1" x14ac:dyDescent="0.25">
      <c r="A491" s="159"/>
      <c r="C491" s="160"/>
      <c r="E491" s="159"/>
      <c r="F491" s="159"/>
      <c r="G491" s="159"/>
      <c r="H491" s="161"/>
      <c r="I491" s="161"/>
      <c r="J491" s="159"/>
      <c r="K491" s="153"/>
    </row>
    <row r="492" spans="1:11" ht="15.75" hidden="1" customHeight="1" x14ac:dyDescent="0.25">
      <c r="A492" s="159"/>
      <c r="C492" s="160"/>
      <c r="E492" s="159"/>
      <c r="F492" s="159"/>
      <c r="G492" s="159"/>
      <c r="H492" s="161"/>
      <c r="I492" s="161"/>
      <c r="J492" s="159"/>
      <c r="K492" s="153"/>
    </row>
    <row r="493" spans="1:11" ht="15.75" hidden="1" customHeight="1" x14ac:dyDescent="0.25">
      <c r="A493" s="159"/>
      <c r="C493" s="160"/>
      <c r="E493" s="159"/>
      <c r="F493" s="159"/>
      <c r="G493" s="159"/>
      <c r="H493" s="161"/>
      <c r="I493" s="161"/>
      <c r="J493" s="159"/>
      <c r="K493" s="153"/>
    </row>
    <row r="494" spans="1:11" ht="15.75" hidden="1" customHeight="1" x14ac:dyDescent="0.25">
      <c r="A494" s="159"/>
      <c r="C494" s="160"/>
      <c r="E494" s="159"/>
      <c r="F494" s="159"/>
      <c r="G494" s="159"/>
      <c r="H494" s="161"/>
      <c r="I494" s="161"/>
      <c r="J494" s="159"/>
      <c r="K494" s="153"/>
    </row>
    <row r="495" spans="1:11" ht="15.75" hidden="1" customHeight="1" x14ac:dyDescent="0.25">
      <c r="A495" s="159"/>
      <c r="C495" s="160"/>
      <c r="E495" s="159"/>
      <c r="F495" s="159"/>
      <c r="G495" s="159"/>
      <c r="H495" s="161"/>
      <c r="I495" s="161"/>
      <c r="J495" s="159"/>
      <c r="K495" s="153"/>
    </row>
    <row r="496" spans="1:11" ht="15.75" hidden="1" customHeight="1" x14ac:dyDescent="0.25">
      <c r="A496" s="159"/>
      <c r="C496" s="160"/>
      <c r="E496" s="159"/>
      <c r="F496" s="159"/>
      <c r="G496" s="159"/>
      <c r="H496" s="161"/>
      <c r="I496" s="161"/>
      <c r="J496" s="159"/>
      <c r="K496" s="153"/>
    </row>
    <row r="497" spans="1:11" ht="15.75" hidden="1" customHeight="1" x14ac:dyDescent="0.25">
      <c r="A497" s="159"/>
      <c r="C497" s="160"/>
      <c r="E497" s="159"/>
      <c r="F497" s="159"/>
      <c r="G497" s="159"/>
      <c r="H497" s="161"/>
      <c r="I497" s="161"/>
      <c r="J497" s="159"/>
      <c r="K497" s="153"/>
    </row>
    <row r="498" spans="1:11" ht="15.75" hidden="1" customHeight="1" x14ac:dyDescent="0.25">
      <c r="A498" s="159"/>
      <c r="C498" s="160"/>
      <c r="E498" s="159"/>
      <c r="F498" s="159"/>
      <c r="G498" s="159"/>
      <c r="H498" s="161"/>
      <c r="I498" s="161"/>
      <c r="J498" s="159"/>
      <c r="K498" s="153"/>
    </row>
    <row r="499" spans="1:11" ht="15.75" hidden="1" customHeight="1" x14ac:dyDescent="0.25">
      <c r="A499" s="159"/>
      <c r="C499" s="160"/>
      <c r="E499" s="159"/>
      <c r="F499" s="159"/>
      <c r="G499" s="159"/>
      <c r="H499" s="161"/>
      <c r="I499" s="161"/>
      <c r="J499" s="159"/>
      <c r="K499" s="153"/>
    </row>
    <row r="500" spans="1:11" ht="15.75" hidden="1" customHeight="1" x14ac:dyDescent="0.25">
      <c r="A500" s="159"/>
      <c r="C500" s="160"/>
      <c r="E500" s="159"/>
      <c r="F500" s="159"/>
      <c r="G500" s="159"/>
      <c r="H500" s="161"/>
      <c r="I500" s="161"/>
      <c r="J500" s="159"/>
      <c r="K500" s="153"/>
    </row>
    <row r="501" spans="1:11" ht="15.75" hidden="1" customHeight="1" x14ac:dyDescent="0.25">
      <c r="A501" s="159"/>
      <c r="C501" s="160"/>
      <c r="E501" s="159"/>
      <c r="F501" s="159"/>
      <c r="G501" s="159"/>
      <c r="H501" s="161"/>
      <c r="I501" s="161"/>
      <c r="J501" s="159"/>
      <c r="K501" s="153"/>
    </row>
    <row r="502" spans="1:11" ht="15.75" hidden="1" customHeight="1" x14ac:dyDescent="0.25">
      <c r="A502" s="159"/>
      <c r="C502" s="160"/>
      <c r="E502" s="159"/>
      <c r="F502" s="159"/>
      <c r="G502" s="159"/>
      <c r="H502" s="161"/>
      <c r="I502" s="161"/>
      <c r="J502" s="159"/>
      <c r="K502" s="153"/>
    </row>
    <row r="503" spans="1:11" ht="15.75" hidden="1" customHeight="1" x14ac:dyDescent="0.25">
      <c r="A503" s="159"/>
      <c r="C503" s="160"/>
      <c r="E503" s="159"/>
      <c r="F503" s="159"/>
      <c r="G503" s="159"/>
      <c r="H503" s="161"/>
      <c r="I503" s="161"/>
      <c r="J503" s="159"/>
      <c r="K503" s="153"/>
    </row>
    <row r="504" spans="1:11" ht="15.75" hidden="1" customHeight="1" x14ac:dyDescent="0.25">
      <c r="A504" s="159"/>
      <c r="C504" s="160"/>
      <c r="E504" s="159"/>
      <c r="F504" s="159"/>
      <c r="G504" s="159"/>
      <c r="H504" s="161"/>
      <c r="I504" s="161"/>
      <c r="J504" s="159"/>
      <c r="K504" s="153"/>
    </row>
    <row r="505" spans="1:11" ht="15.75" hidden="1" customHeight="1" x14ac:dyDescent="0.25">
      <c r="A505" s="159"/>
      <c r="C505" s="160"/>
      <c r="E505" s="159"/>
      <c r="F505" s="159"/>
      <c r="G505" s="159"/>
      <c r="H505" s="161"/>
      <c r="I505" s="161"/>
      <c r="J505" s="159"/>
      <c r="K505" s="153"/>
    </row>
    <row r="506" spans="1:11" ht="15.75" hidden="1" customHeight="1" x14ac:dyDescent="0.25">
      <c r="A506" s="159"/>
      <c r="C506" s="160"/>
      <c r="E506" s="159"/>
      <c r="F506" s="159"/>
      <c r="G506" s="159"/>
      <c r="H506" s="161"/>
      <c r="I506" s="161"/>
      <c r="J506" s="159"/>
      <c r="K506" s="153"/>
    </row>
    <row r="507" spans="1:11" ht="15.75" hidden="1" customHeight="1" x14ac:dyDescent="0.25">
      <c r="A507" s="159"/>
      <c r="C507" s="160"/>
      <c r="E507" s="159"/>
      <c r="F507" s="159"/>
      <c r="G507" s="159"/>
      <c r="H507" s="161"/>
      <c r="I507" s="161"/>
      <c r="J507" s="159"/>
      <c r="K507" s="153"/>
    </row>
    <row r="508" spans="1:11" ht="15.75" hidden="1" customHeight="1" x14ac:dyDescent="0.25">
      <c r="A508" s="159"/>
      <c r="C508" s="160"/>
      <c r="E508" s="159"/>
      <c r="F508" s="159"/>
      <c r="G508" s="159"/>
      <c r="H508" s="161"/>
      <c r="I508" s="161"/>
      <c r="J508" s="159"/>
      <c r="K508" s="153"/>
    </row>
    <row r="509" spans="1:11" ht="15.75" hidden="1" customHeight="1" x14ac:dyDescent="0.25">
      <c r="A509" s="159"/>
      <c r="C509" s="160"/>
      <c r="E509" s="159"/>
      <c r="F509" s="159"/>
      <c r="G509" s="159"/>
      <c r="H509" s="161"/>
      <c r="I509" s="161"/>
      <c r="J509" s="159"/>
      <c r="K509" s="153"/>
    </row>
    <row r="510" spans="1:11" ht="15.75" hidden="1" customHeight="1" x14ac:dyDescent="0.25">
      <c r="A510" s="159"/>
      <c r="C510" s="160"/>
      <c r="E510" s="159"/>
      <c r="F510" s="159"/>
      <c r="G510" s="159"/>
      <c r="H510" s="161"/>
      <c r="I510" s="161"/>
      <c r="J510" s="159"/>
      <c r="K510" s="153"/>
    </row>
    <row r="511" spans="1:11" ht="15.75" hidden="1" customHeight="1" x14ac:dyDescent="0.25">
      <c r="A511" s="159"/>
      <c r="C511" s="160"/>
      <c r="E511" s="159"/>
      <c r="F511" s="159"/>
      <c r="G511" s="159"/>
      <c r="H511" s="161"/>
      <c r="I511" s="161"/>
      <c r="J511" s="159"/>
      <c r="K511" s="153"/>
    </row>
    <row r="512" spans="1:11" ht="15.75" hidden="1" customHeight="1" x14ac:dyDescent="0.25">
      <c r="A512" s="159"/>
      <c r="C512" s="160"/>
      <c r="E512" s="159"/>
      <c r="F512" s="159"/>
      <c r="G512" s="159"/>
      <c r="H512" s="161"/>
      <c r="I512" s="161"/>
      <c r="J512" s="159"/>
      <c r="K512" s="153"/>
    </row>
    <row r="513" spans="1:11" ht="15.75" hidden="1" customHeight="1" x14ac:dyDescent="0.25">
      <c r="A513" s="159"/>
      <c r="C513" s="160"/>
      <c r="E513" s="159"/>
      <c r="F513" s="159"/>
      <c r="G513" s="159"/>
      <c r="H513" s="161"/>
      <c r="I513" s="161"/>
      <c r="J513" s="159"/>
      <c r="K513" s="153"/>
    </row>
    <row r="514" spans="1:11" ht="15.75" hidden="1" customHeight="1" x14ac:dyDescent="0.25">
      <c r="A514" s="159"/>
      <c r="C514" s="160"/>
      <c r="E514" s="159"/>
      <c r="F514" s="159"/>
      <c r="G514" s="159"/>
      <c r="H514" s="161"/>
      <c r="I514" s="161"/>
      <c r="J514" s="159"/>
      <c r="K514" s="153"/>
    </row>
    <row r="515" spans="1:11" ht="15.75" hidden="1" customHeight="1" x14ac:dyDescent="0.25">
      <c r="A515" s="159"/>
      <c r="C515" s="160"/>
      <c r="E515" s="159"/>
      <c r="F515" s="159"/>
      <c r="G515" s="159"/>
      <c r="H515" s="161"/>
      <c r="I515" s="161"/>
      <c r="J515" s="159"/>
      <c r="K515" s="153"/>
    </row>
    <row r="516" spans="1:11" ht="15.75" hidden="1" customHeight="1" x14ac:dyDescent="0.25">
      <c r="A516" s="159"/>
      <c r="C516" s="160"/>
      <c r="E516" s="159"/>
      <c r="F516" s="159"/>
      <c r="G516" s="159"/>
      <c r="H516" s="161"/>
      <c r="I516" s="161"/>
      <c r="J516" s="159"/>
      <c r="K516" s="153"/>
    </row>
    <row r="517" spans="1:11" ht="15.75" hidden="1" customHeight="1" x14ac:dyDescent="0.25">
      <c r="A517" s="159"/>
      <c r="C517" s="160"/>
      <c r="E517" s="159"/>
      <c r="F517" s="159"/>
      <c r="G517" s="159"/>
      <c r="H517" s="161"/>
      <c r="I517" s="161"/>
      <c r="J517" s="159"/>
      <c r="K517" s="153"/>
    </row>
    <row r="518" spans="1:11" ht="15.75" hidden="1" customHeight="1" x14ac:dyDescent="0.25">
      <c r="A518" s="159"/>
      <c r="C518" s="160"/>
      <c r="E518" s="159"/>
      <c r="F518" s="159"/>
      <c r="G518" s="159"/>
      <c r="H518" s="161"/>
      <c r="I518" s="161"/>
      <c r="J518" s="159"/>
      <c r="K518" s="153"/>
    </row>
    <row r="519" spans="1:11" ht="15.75" hidden="1" customHeight="1" x14ac:dyDescent="0.25">
      <c r="A519" s="159"/>
      <c r="C519" s="160"/>
      <c r="E519" s="159"/>
      <c r="F519" s="159"/>
      <c r="G519" s="159"/>
      <c r="H519" s="161"/>
      <c r="I519" s="161"/>
      <c r="J519" s="159"/>
      <c r="K519" s="153"/>
    </row>
    <row r="520" spans="1:11" ht="15.75" hidden="1" customHeight="1" x14ac:dyDescent="0.25">
      <c r="A520" s="159"/>
      <c r="C520" s="160"/>
      <c r="E520" s="159"/>
      <c r="F520" s="159"/>
      <c r="G520" s="159"/>
      <c r="H520" s="161"/>
      <c r="I520" s="161"/>
      <c r="J520" s="159"/>
      <c r="K520" s="153"/>
    </row>
    <row r="521" spans="1:11" ht="15.75" hidden="1" customHeight="1" x14ac:dyDescent="0.25">
      <c r="A521" s="159"/>
      <c r="C521" s="160"/>
      <c r="E521" s="159"/>
      <c r="F521" s="159"/>
      <c r="G521" s="159"/>
      <c r="H521" s="161"/>
      <c r="I521" s="161"/>
      <c r="J521" s="159"/>
      <c r="K521" s="153"/>
    </row>
    <row r="522" spans="1:11" ht="15.75" hidden="1" customHeight="1" x14ac:dyDescent="0.25">
      <c r="A522" s="159"/>
      <c r="C522" s="160"/>
      <c r="E522" s="159"/>
      <c r="F522" s="159"/>
      <c r="G522" s="159"/>
      <c r="H522" s="161"/>
      <c r="I522" s="161"/>
      <c r="J522" s="159"/>
      <c r="K522" s="153"/>
    </row>
    <row r="523" spans="1:11" ht="15.75" hidden="1" customHeight="1" x14ac:dyDescent="0.25">
      <c r="A523" s="159"/>
      <c r="C523" s="160"/>
      <c r="E523" s="159"/>
      <c r="F523" s="159"/>
      <c r="G523" s="159"/>
      <c r="H523" s="161"/>
      <c r="I523" s="161"/>
      <c r="J523" s="159"/>
      <c r="K523" s="153"/>
    </row>
    <row r="524" spans="1:11" ht="15.75" hidden="1" customHeight="1" x14ac:dyDescent="0.25">
      <c r="A524" s="159"/>
      <c r="C524" s="160"/>
      <c r="E524" s="159"/>
      <c r="F524" s="159"/>
      <c r="G524" s="159"/>
      <c r="H524" s="161"/>
      <c r="I524" s="161"/>
      <c r="J524" s="159"/>
      <c r="K524" s="153"/>
    </row>
    <row r="525" spans="1:11" ht="15.75" hidden="1" customHeight="1" x14ac:dyDescent="0.25">
      <c r="A525" s="159"/>
      <c r="C525" s="160"/>
      <c r="E525" s="159"/>
      <c r="F525" s="159"/>
      <c r="G525" s="159"/>
      <c r="H525" s="161"/>
      <c r="I525" s="161"/>
      <c r="J525" s="159"/>
      <c r="K525" s="153"/>
    </row>
    <row r="526" spans="1:11" ht="15.75" hidden="1" customHeight="1" x14ac:dyDescent="0.25">
      <c r="A526" s="159"/>
      <c r="C526" s="160"/>
      <c r="E526" s="159"/>
      <c r="F526" s="159"/>
      <c r="G526" s="159"/>
      <c r="H526" s="161"/>
      <c r="I526" s="161"/>
      <c r="J526" s="159"/>
      <c r="K526" s="153"/>
    </row>
    <row r="527" spans="1:11" ht="15.75" hidden="1" customHeight="1" x14ac:dyDescent="0.25">
      <c r="A527" s="159"/>
      <c r="C527" s="160"/>
      <c r="E527" s="159"/>
      <c r="F527" s="159"/>
      <c r="G527" s="159"/>
      <c r="H527" s="161"/>
      <c r="I527" s="161"/>
      <c r="J527" s="159"/>
      <c r="K527" s="153"/>
    </row>
    <row r="528" spans="1:11" ht="15.75" hidden="1" customHeight="1" x14ac:dyDescent="0.25">
      <c r="A528" s="159"/>
      <c r="C528" s="160"/>
      <c r="E528" s="159"/>
      <c r="F528" s="159"/>
      <c r="G528" s="159"/>
      <c r="H528" s="161"/>
      <c r="I528" s="161"/>
      <c r="J528" s="159"/>
      <c r="K528" s="153"/>
    </row>
    <row r="529" spans="1:11" ht="15.75" hidden="1" customHeight="1" x14ac:dyDescent="0.25">
      <c r="A529" s="159"/>
      <c r="C529" s="160"/>
      <c r="E529" s="159"/>
      <c r="F529" s="159"/>
      <c r="G529" s="159"/>
      <c r="H529" s="161"/>
      <c r="I529" s="161"/>
      <c r="J529" s="159"/>
      <c r="K529" s="153"/>
    </row>
    <row r="530" spans="1:11" ht="15.75" hidden="1" customHeight="1" x14ac:dyDescent="0.25">
      <c r="A530" s="159"/>
      <c r="C530" s="160"/>
      <c r="E530" s="159"/>
      <c r="F530" s="159"/>
      <c r="G530" s="159"/>
      <c r="H530" s="161"/>
      <c r="I530" s="161"/>
      <c r="J530" s="159"/>
      <c r="K530" s="153"/>
    </row>
    <row r="531" spans="1:11" ht="15.75" hidden="1" customHeight="1" x14ac:dyDescent="0.25">
      <c r="A531" s="159"/>
      <c r="C531" s="160"/>
      <c r="E531" s="159"/>
      <c r="F531" s="159"/>
      <c r="G531" s="159"/>
      <c r="H531" s="161"/>
      <c r="I531" s="161"/>
      <c r="J531" s="159"/>
      <c r="K531" s="153"/>
    </row>
    <row r="532" spans="1:11" ht="15.75" hidden="1" customHeight="1" x14ac:dyDescent="0.25">
      <c r="A532" s="159"/>
      <c r="C532" s="160"/>
      <c r="E532" s="159"/>
      <c r="F532" s="159"/>
      <c r="G532" s="159"/>
      <c r="H532" s="161"/>
      <c r="I532" s="161"/>
      <c r="J532" s="159"/>
      <c r="K532" s="153"/>
    </row>
    <row r="533" spans="1:11" ht="15.75" hidden="1" customHeight="1" x14ac:dyDescent="0.25">
      <c r="A533" s="159"/>
      <c r="C533" s="160"/>
      <c r="E533" s="159"/>
      <c r="F533" s="159"/>
      <c r="G533" s="159"/>
      <c r="H533" s="161"/>
      <c r="I533" s="161"/>
      <c r="J533" s="159"/>
      <c r="K533" s="153"/>
    </row>
    <row r="534" spans="1:11" ht="15.75" hidden="1" customHeight="1" x14ac:dyDescent="0.25">
      <c r="A534" s="159"/>
      <c r="C534" s="160"/>
      <c r="E534" s="159"/>
      <c r="F534" s="159"/>
      <c r="G534" s="159"/>
      <c r="H534" s="161"/>
      <c r="I534" s="161"/>
      <c r="J534" s="159"/>
      <c r="K534" s="153"/>
    </row>
    <row r="535" spans="1:11" ht="15.75" hidden="1" customHeight="1" x14ac:dyDescent="0.25">
      <c r="A535" s="159"/>
      <c r="C535" s="160"/>
      <c r="E535" s="159"/>
      <c r="F535" s="159"/>
      <c r="G535" s="159"/>
      <c r="H535" s="161"/>
      <c r="I535" s="161"/>
      <c r="J535" s="159"/>
      <c r="K535" s="153"/>
    </row>
    <row r="536" spans="1:11" ht="15.75" hidden="1" customHeight="1" x14ac:dyDescent="0.25">
      <c r="A536" s="159"/>
      <c r="C536" s="160"/>
      <c r="E536" s="159"/>
      <c r="F536" s="159"/>
      <c r="G536" s="159"/>
      <c r="H536" s="161"/>
      <c r="I536" s="161"/>
      <c r="J536" s="159"/>
      <c r="K536" s="153"/>
    </row>
    <row r="537" spans="1:11" ht="15.75" hidden="1" customHeight="1" x14ac:dyDescent="0.25">
      <c r="A537" s="159"/>
      <c r="C537" s="160"/>
      <c r="E537" s="159"/>
      <c r="F537" s="159"/>
      <c r="G537" s="159"/>
      <c r="H537" s="161"/>
      <c r="I537" s="161"/>
      <c r="J537" s="159"/>
      <c r="K537" s="153"/>
    </row>
    <row r="538" spans="1:11" ht="15.75" hidden="1" customHeight="1" x14ac:dyDescent="0.25">
      <c r="A538" s="159"/>
      <c r="C538" s="160"/>
      <c r="E538" s="159"/>
      <c r="F538" s="159"/>
      <c r="G538" s="159"/>
      <c r="H538" s="161"/>
      <c r="I538" s="161"/>
      <c r="J538" s="159"/>
      <c r="K538" s="153"/>
    </row>
    <row r="539" spans="1:11" ht="15.75" hidden="1" customHeight="1" x14ac:dyDescent="0.25">
      <c r="A539" s="159"/>
      <c r="C539" s="160"/>
      <c r="E539" s="159"/>
      <c r="F539" s="159"/>
      <c r="G539" s="159"/>
      <c r="H539" s="161"/>
      <c r="I539" s="161"/>
      <c r="J539" s="159"/>
      <c r="K539" s="153"/>
    </row>
    <row r="540" spans="1:11" ht="15.75" hidden="1" customHeight="1" x14ac:dyDescent="0.25">
      <c r="A540" s="159"/>
      <c r="C540" s="160"/>
      <c r="E540" s="159"/>
      <c r="F540" s="159"/>
      <c r="G540" s="159"/>
      <c r="H540" s="161"/>
      <c r="I540" s="161"/>
      <c r="J540" s="159"/>
      <c r="K540" s="153"/>
    </row>
    <row r="541" spans="1:11" ht="15.75" hidden="1" customHeight="1" x14ac:dyDescent="0.25">
      <c r="A541" s="159"/>
      <c r="C541" s="160"/>
      <c r="E541" s="159"/>
      <c r="F541" s="159"/>
      <c r="G541" s="159"/>
      <c r="H541" s="161"/>
      <c r="I541" s="161"/>
      <c r="J541" s="159"/>
      <c r="K541" s="153"/>
    </row>
    <row r="542" spans="1:11" ht="15.75" hidden="1" customHeight="1" x14ac:dyDescent="0.25">
      <c r="A542" s="159"/>
      <c r="C542" s="160"/>
      <c r="E542" s="159"/>
      <c r="F542" s="159"/>
      <c r="G542" s="159"/>
      <c r="H542" s="161"/>
      <c r="I542" s="161"/>
      <c r="J542" s="159"/>
      <c r="K542" s="153"/>
    </row>
    <row r="543" spans="1:11" ht="15.75" hidden="1" customHeight="1" x14ac:dyDescent="0.25">
      <c r="A543" s="159"/>
      <c r="C543" s="160"/>
      <c r="E543" s="159"/>
      <c r="F543" s="159"/>
      <c r="G543" s="159"/>
      <c r="H543" s="161"/>
      <c r="I543" s="161"/>
      <c r="J543" s="159"/>
      <c r="K543" s="153"/>
    </row>
    <row r="544" spans="1:11" ht="15.75" hidden="1" customHeight="1" x14ac:dyDescent="0.25">
      <c r="A544" s="159"/>
      <c r="C544" s="160"/>
      <c r="E544" s="159"/>
      <c r="F544" s="159"/>
      <c r="G544" s="159"/>
      <c r="H544" s="161"/>
      <c r="I544" s="161"/>
      <c r="J544" s="159"/>
      <c r="K544" s="153"/>
    </row>
    <row r="545" spans="1:11" ht="15.75" hidden="1" customHeight="1" x14ac:dyDescent="0.25">
      <c r="A545" s="159"/>
      <c r="C545" s="160"/>
      <c r="E545" s="159"/>
      <c r="F545" s="159"/>
      <c r="G545" s="159"/>
      <c r="H545" s="161"/>
      <c r="I545" s="161"/>
      <c r="J545" s="159"/>
      <c r="K545" s="153"/>
    </row>
    <row r="546" spans="1:11" ht="15.75" hidden="1" customHeight="1" x14ac:dyDescent="0.25">
      <c r="A546" s="159"/>
      <c r="C546" s="160"/>
      <c r="E546" s="159"/>
      <c r="F546" s="159"/>
      <c r="G546" s="159"/>
      <c r="H546" s="161"/>
      <c r="I546" s="161"/>
      <c r="J546" s="159"/>
      <c r="K546" s="153"/>
    </row>
    <row r="547" spans="1:11" ht="15.75" hidden="1" customHeight="1" x14ac:dyDescent="0.25">
      <c r="A547" s="159"/>
      <c r="C547" s="160"/>
      <c r="E547" s="159"/>
      <c r="F547" s="159"/>
      <c r="G547" s="159"/>
      <c r="H547" s="161"/>
      <c r="I547" s="161"/>
      <c r="J547" s="159"/>
      <c r="K547" s="153"/>
    </row>
    <row r="548" spans="1:11" ht="15.75" hidden="1" customHeight="1" x14ac:dyDescent="0.25">
      <c r="A548" s="159"/>
      <c r="C548" s="160"/>
      <c r="E548" s="159"/>
      <c r="F548" s="159"/>
      <c r="G548" s="159"/>
      <c r="H548" s="161"/>
      <c r="I548" s="161"/>
      <c r="J548" s="159"/>
      <c r="K548" s="153"/>
    </row>
    <row r="549" spans="1:11" ht="15.75" hidden="1" customHeight="1" x14ac:dyDescent="0.25">
      <c r="A549" s="159"/>
      <c r="C549" s="160"/>
      <c r="E549" s="159"/>
      <c r="F549" s="159"/>
      <c r="G549" s="159"/>
      <c r="H549" s="161"/>
      <c r="I549" s="161"/>
      <c r="J549" s="159"/>
      <c r="K549" s="153"/>
    </row>
    <row r="550" spans="1:11" ht="15.75" hidden="1" customHeight="1" x14ac:dyDescent="0.25">
      <c r="A550" s="159"/>
      <c r="C550" s="160"/>
      <c r="E550" s="159"/>
      <c r="F550" s="159"/>
      <c r="G550" s="159"/>
      <c r="H550" s="161"/>
      <c r="I550" s="161"/>
      <c r="J550" s="159"/>
      <c r="K550" s="153"/>
    </row>
    <row r="551" spans="1:11" ht="15.75" hidden="1" customHeight="1" x14ac:dyDescent="0.25">
      <c r="A551" s="159"/>
      <c r="C551" s="160"/>
      <c r="E551" s="159"/>
      <c r="F551" s="159"/>
      <c r="G551" s="159"/>
      <c r="H551" s="161"/>
      <c r="I551" s="161"/>
      <c r="J551" s="159"/>
      <c r="K551" s="153"/>
    </row>
    <row r="552" spans="1:11" ht="15.75" hidden="1" customHeight="1" x14ac:dyDescent="0.25">
      <c r="A552" s="159"/>
      <c r="C552" s="160"/>
      <c r="E552" s="159"/>
      <c r="F552" s="159"/>
      <c r="G552" s="159"/>
      <c r="H552" s="161"/>
      <c r="I552" s="161"/>
      <c r="J552" s="159"/>
      <c r="K552" s="153"/>
    </row>
    <row r="553" spans="1:11" ht="15.75" hidden="1" customHeight="1" x14ac:dyDescent="0.25">
      <c r="A553" s="159"/>
      <c r="C553" s="160"/>
      <c r="E553" s="159"/>
      <c r="F553" s="159"/>
      <c r="G553" s="159"/>
      <c r="H553" s="161"/>
      <c r="I553" s="161"/>
      <c r="J553" s="159"/>
      <c r="K553" s="153"/>
    </row>
    <row r="554" spans="1:11" ht="15.75" hidden="1" customHeight="1" x14ac:dyDescent="0.25">
      <c r="A554" s="159"/>
      <c r="C554" s="160"/>
      <c r="E554" s="159"/>
      <c r="F554" s="159"/>
      <c r="G554" s="159"/>
      <c r="H554" s="161"/>
      <c r="I554" s="161"/>
      <c r="J554" s="159"/>
      <c r="K554" s="153"/>
    </row>
    <row r="555" spans="1:11" ht="15.75" hidden="1" customHeight="1" x14ac:dyDescent="0.25">
      <c r="A555" s="159"/>
      <c r="C555" s="160"/>
      <c r="E555" s="159"/>
      <c r="F555" s="159"/>
      <c r="G555" s="159"/>
      <c r="H555" s="161"/>
      <c r="I555" s="161"/>
      <c r="J555" s="159"/>
      <c r="K555" s="153"/>
    </row>
    <row r="556" spans="1:11" ht="15.75" hidden="1" customHeight="1" x14ac:dyDescent="0.25">
      <c r="A556" s="159"/>
      <c r="C556" s="160"/>
      <c r="E556" s="159"/>
      <c r="F556" s="159"/>
      <c r="G556" s="159"/>
      <c r="H556" s="161"/>
      <c r="I556" s="161"/>
      <c r="J556" s="159"/>
      <c r="K556" s="153"/>
    </row>
    <row r="557" spans="1:11" ht="15.75" hidden="1" customHeight="1" x14ac:dyDescent="0.25">
      <c r="A557" s="159"/>
      <c r="C557" s="160"/>
      <c r="E557" s="159"/>
      <c r="F557" s="159"/>
      <c r="G557" s="159"/>
      <c r="H557" s="161"/>
      <c r="I557" s="161"/>
      <c r="J557" s="159"/>
      <c r="K557" s="153"/>
    </row>
    <row r="558" spans="1:11" ht="15.75" hidden="1" customHeight="1" x14ac:dyDescent="0.25">
      <c r="A558" s="159"/>
      <c r="C558" s="160"/>
      <c r="E558" s="159"/>
      <c r="F558" s="159"/>
      <c r="G558" s="159"/>
      <c r="H558" s="161"/>
      <c r="I558" s="161"/>
      <c r="J558" s="159"/>
      <c r="K558" s="153"/>
    </row>
    <row r="559" spans="1:11" ht="15.75" hidden="1" customHeight="1" x14ac:dyDescent="0.25">
      <c r="A559" s="159"/>
      <c r="C559" s="160"/>
      <c r="E559" s="159"/>
      <c r="F559" s="159"/>
      <c r="G559" s="159"/>
      <c r="H559" s="161"/>
      <c r="I559" s="161"/>
      <c r="J559" s="159"/>
      <c r="K559" s="153"/>
    </row>
    <row r="560" spans="1:11" ht="15.75" hidden="1" customHeight="1" x14ac:dyDescent="0.25">
      <c r="A560" s="159"/>
      <c r="C560" s="160"/>
      <c r="E560" s="159"/>
      <c r="F560" s="159"/>
      <c r="G560" s="159"/>
      <c r="H560" s="161"/>
      <c r="I560" s="161"/>
      <c r="J560" s="159"/>
      <c r="K560" s="153"/>
    </row>
    <row r="561" spans="1:11" ht="15.75" hidden="1" customHeight="1" x14ac:dyDescent="0.25">
      <c r="A561" s="159"/>
      <c r="C561" s="160"/>
      <c r="E561" s="159"/>
      <c r="F561" s="159"/>
      <c r="G561" s="159"/>
      <c r="H561" s="161"/>
      <c r="I561" s="161"/>
      <c r="J561" s="159"/>
      <c r="K561" s="153"/>
    </row>
    <row r="562" spans="1:11" ht="15.75" hidden="1" customHeight="1" x14ac:dyDescent="0.25">
      <c r="A562" s="159"/>
      <c r="C562" s="160"/>
      <c r="E562" s="159"/>
      <c r="F562" s="159"/>
      <c r="G562" s="159"/>
      <c r="H562" s="161"/>
      <c r="I562" s="161"/>
      <c r="J562" s="159"/>
      <c r="K562" s="153"/>
    </row>
    <row r="563" spans="1:11" ht="15.75" hidden="1" customHeight="1" x14ac:dyDescent="0.25">
      <c r="A563" s="159"/>
      <c r="C563" s="160"/>
      <c r="E563" s="159"/>
      <c r="F563" s="159"/>
      <c r="G563" s="159"/>
      <c r="H563" s="161"/>
      <c r="I563" s="161"/>
      <c r="J563" s="159"/>
      <c r="K563" s="153"/>
    </row>
    <row r="564" spans="1:11" ht="15.75" hidden="1" customHeight="1" x14ac:dyDescent="0.25">
      <c r="A564" s="159"/>
      <c r="C564" s="160"/>
      <c r="E564" s="159"/>
      <c r="F564" s="159"/>
      <c r="G564" s="159"/>
      <c r="H564" s="161"/>
      <c r="I564" s="161"/>
      <c r="J564" s="159"/>
      <c r="K564" s="153"/>
    </row>
    <row r="565" spans="1:11" ht="15.75" hidden="1" customHeight="1" x14ac:dyDescent="0.25">
      <c r="A565" s="159"/>
      <c r="C565" s="160"/>
      <c r="E565" s="159"/>
      <c r="F565" s="159"/>
      <c r="G565" s="159"/>
      <c r="H565" s="161"/>
      <c r="I565" s="161"/>
      <c r="J565" s="159"/>
      <c r="K565" s="153"/>
    </row>
    <row r="566" spans="1:11" ht="15.75" hidden="1" customHeight="1" x14ac:dyDescent="0.25">
      <c r="A566" s="159"/>
      <c r="C566" s="160"/>
      <c r="E566" s="159"/>
      <c r="F566" s="159"/>
      <c r="G566" s="159"/>
      <c r="H566" s="161"/>
      <c r="I566" s="161"/>
      <c r="J566" s="159"/>
      <c r="K566" s="153"/>
    </row>
    <row r="567" spans="1:11" ht="15.75" hidden="1" customHeight="1" x14ac:dyDescent="0.25">
      <c r="A567" s="159"/>
      <c r="C567" s="160"/>
      <c r="E567" s="159"/>
      <c r="F567" s="159"/>
      <c r="G567" s="159"/>
      <c r="H567" s="161"/>
      <c r="I567" s="161"/>
      <c r="J567" s="159"/>
      <c r="K567" s="153"/>
    </row>
    <row r="568" spans="1:11" ht="15.75" hidden="1" customHeight="1" x14ac:dyDescent="0.25">
      <c r="A568" s="159"/>
      <c r="C568" s="160"/>
      <c r="E568" s="159"/>
      <c r="F568" s="159"/>
      <c r="G568" s="159"/>
      <c r="H568" s="161"/>
      <c r="I568" s="161"/>
      <c r="J568" s="159"/>
      <c r="K568" s="153"/>
    </row>
    <row r="569" spans="1:11" ht="15.75" hidden="1" customHeight="1" x14ac:dyDescent="0.25">
      <c r="A569" s="159"/>
      <c r="C569" s="160"/>
      <c r="E569" s="159"/>
      <c r="F569" s="159"/>
      <c r="G569" s="159"/>
      <c r="H569" s="161"/>
      <c r="I569" s="161"/>
      <c r="J569" s="159"/>
      <c r="K569" s="153"/>
    </row>
    <row r="570" spans="1:11" ht="15.75" hidden="1" customHeight="1" x14ac:dyDescent="0.25">
      <c r="A570" s="159"/>
      <c r="C570" s="160"/>
      <c r="E570" s="159"/>
      <c r="F570" s="159"/>
      <c r="G570" s="159"/>
      <c r="H570" s="161"/>
      <c r="I570" s="161"/>
      <c r="J570" s="159"/>
      <c r="K570" s="153"/>
    </row>
    <row r="571" spans="1:11" ht="15.75" hidden="1" customHeight="1" x14ac:dyDescent="0.25">
      <c r="A571" s="159"/>
      <c r="C571" s="160"/>
      <c r="E571" s="159"/>
      <c r="F571" s="159"/>
      <c r="G571" s="159"/>
      <c r="H571" s="161"/>
      <c r="I571" s="161"/>
      <c r="J571" s="159"/>
      <c r="K571" s="153"/>
    </row>
    <row r="572" spans="1:11" ht="15.75" hidden="1" customHeight="1" x14ac:dyDescent="0.25">
      <c r="A572" s="159"/>
      <c r="C572" s="160"/>
      <c r="E572" s="159"/>
      <c r="F572" s="159"/>
      <c r="G572" s="159"/>
      <c r="H572" s="161"/>
      <c r="I572" s="161"/>
      <c r="J572" s="159"/>
      <c r="K572" s="153"/>
    </row>
    <row r="573" spans="1:11" ht="15.75" hidden="1" customHeight="1" x14ac:dyDescent="0.25">
      <c r="A573" s="159"/>
      <c r="C573" s="160"/>
      <c r="E573" s="159"/>
      <c r="F573" s="159"/>
      <c r="G573" s="159"/>
      <c r="H573" s="161"/>
      <c r="I573" s="161"/>
      <c r="J573" s="159"/>
      <c r="K573" s="153"/>
    </row>
    <row r="574" spans="1:11" ht="15.75" hidden="1" customHeight="1" x14ac:dyDescent="0.25">
      <c r="A574" s="159"/>
      <c r="C574" s="160"/>
      <c r="E574" s="159"/>
      <c r="F574" s="159"/>
      <c r="G574" s="159"/>
      <c r="H574" s="161"/>
      <c r="I574" s="161"/>
      <c r="J574" s="159"/>
      <c r="K574" s="153"/>
    </row>
    <row r="575" spans="1:11" ht="15.75" hidden="1" customHeight="1" x14ac:dyDescent="0.25">
      <c r="A575" s="159"/>
      <c r="C575" s="160"/>
      <c r="E575" s="159"/>
      <c r="F575" s="159"/>
      <c r="G575" s="159"/>
      <c r="H575" s="161"/>
      <c r="I575" s="161"/>
      <c r="J575" s="159"/>
      <c r="K575" s="153"/>
    </row>
    <row r="576" spans="1:11" ht="15.75" hidden="1" customHeight="1" x14ac:dyDescent="0.25">
      <c r="A576" s="159"/>
      <c r="C576" s="160"/>
      <c r="E576" s="159"/>
      <c r="F576" s="159"/>
      <c r="G576" s="159"/>
      <c r="H576" s="161"/>
      <c r="I576" s="161"/>
      <c r="J576" s="159"/>
      <c r="K576" s="153"/>
    </row>
    <row r="577" spans="1:11" ht="15.75" hidden="1" customHeight="1" x14ac:dyDescent="0.25">
      <c r="A577" s="159"/>
      <c r="C577" s="160"/>
      <c r="E577" s="159"/>
      <c r="F577" s="159"/>
      <c r="G577" s="159"/>
      <c r="H577" s="161"/>
      <c r="I577" s="161"/>
      <c r="J577" s="159"/>
      <c r="K577" s="153"/>
    </row>
    <row r="578" spans="1:11" ht="15.75" hidden="1" customHeight="1" x14ac:dyDescent="0.25">
      <c r="A578" s="159"/>
      <c r="C578" s="160"/>
      <c r="E578" s="159"/>
      <c r="F578" s="159"/>
      <c r="G578" s="159"/>
      <c r="H578" s="161"/>
      <c r="I578" s="161"/>
      <c r="J578" s="159"/>
      <c r="K578" s="153"/>
    </row>
    <row r="579" spans="1:11" ht="15.75" hidden="1" customHeight="1" x14ac:dyDescent="0.25">
      <c r="A579" s="159"/>
      <c r="C579" s="160"/>
      <c r="E579" s="159"/>
      <c r="F579" s="159"/>
      <c r="G579" s="159"/>
      <c r="H579" s="161"/>
      <c r="I579" s="161"/>
      <c r="J579" s="159"/>
      <c r="K579" s="153"/>
    </row>
    <row r="580" spans="1:11" ht="15.75" hidden="1" customHeight="1" x14ac:dyDescent="0.25">
      <c r="A580" s="159"/>
      <c r="C580" s="160"/>
      <c r="E580" s="159"/>
      <c r="F580" s="159"/>
      <c r="G580" s="159"/>
      <c r="H580" s="161"/>
      <c r="I580" s="161"/>
      <c r="J580" s="159"/>
      <c r="K580" s="153"/>
    </row>
    <row r="581" spans="1:11" ht="15.75" hidden="1" customHeight="1" x14ac:dyDescent="0.25">
      <c r="A581" s="159"/>
      <c r="C581" s="160"/>
      <c r="E581" s="159"/>
      <c r="F581" s="159"/>
      <c r="G581" s="159"/>
      <c r="H581" s="161"/>
      <c r="I581" s="161"/>
      <c r="J581" s="159"/>
      <c r="K581" s="153"/>
    </row>
    <row r="582" spans="1:11" ht="15.75" hidden="1" customHeight="1" x14ac:dyDescent="0.25">
      <c r="A582" s="159"/>
      <c r="C582" s="160"/>
      <c r="E582" s="159"/>
      <c r="F582" s="159"/>
      <c r="G582" s="159"/>
      <c r="H582" s="161"/>
      <c r="I582" s="161"/>
      <c r="J582" s="159"/>
      <c r="K582" s="153"/>
    </row>
    <row r="583" spans="1:11" ht="15.75" hidden="1" customHeight="1" x14ac:dyDescent="0.25">
      <c r="A583" s="159"/>
      <c r="C583" s="160"/>
      <c r="E583" s="159"/>
      <c r="F583" s="159"/>
      <c r="G583" s="159"/>
      <c r="H583" s="161"/>
      <c r="I583" s="161"/>
      <c r="J583" s="159"/>
      <c r="K583" s="153"/>
    </row>
    <row r="584" spans="1:11" ht="15.75" hidden="1" customHeight="1" x14ac:dyDescent="0.25">
      <c r="A584" s="159"/>
      <c r="C584" s="160"/>
      <c r="E584" s="159"/>
      <c r="F584" s="159"/>
      <c r="G584" s="159"/>
      <c r="H584" s="161"/>
      <c r="I584" s="161"/>
      <c r="J584" s="159"/>
      <c r="K584" s="153"/>
    </row>
    <row r="585" spans="1:11" ht="15.75" hidden="1" customHeight="1" x14ac:dyDescent="0.25">
      <c r="A585" s="159"/>
      <c r="C585" s="160"/>
      <c r="E585" s="159"/>
      <c r="F585" s="159"/>
      <c r="G585" s="159"/>
      <c r="H585" s="161"/>
      <c r="I585" s="161"/>
      <c r="J585" s="159"/>
      <c r="K585" s="153"/>
    </row>
    <row r="586" spans="1:11" ht="15.75" hidden="1" customHeight="1" x14ac:dyDescent="0.25">
      <c r="A586" s="159"/>
      <c r="C586" s="160"/>
      <c r="E586" s="159"/>
      <c r="F586" s="159"/>
      <c r="G586" s="159"/>
      <c r="H586" s="161"/>
      <c r="I586" s="161"/>
      <c r="J586" s="159"/>
      <c r="K586" s="153"/>
    </row>
    <row r="587" spans="1:11" ht="15.75" hidden="1" customHeight="1" x14ac:dyDescent="0.25">
      <c r="A587" s="159"/>
      <c r="C587" s="160"/>
      <c r="E587" s="159"/>
      <c r="F587" s="159"/>
      <c r="G587" s="159"/>
      <c r="H587" s="161"/>
      <c r="I587" s="161"/>
      <c r="J587" s="159"/>
      <c r="K587" s="153"/>
    </row>
    <row r="588" spans="1:11" ht="15.75" hidden="1" customHeight="1" x14ac:dyDescent="0.25">
      <c r="A588" s="159"/>
      <c r="C588" s="160"/>
      <c r="E588" s="159"/>
      <c r="F588" s="159"/>
      <c r="G588" s="159"/>
      <c r="H588" s="161"/>
      <c r="I588" s="161"/>
      <c r="J588" s="159"/>
      <c r="K588" s="153"/>
    </row>
    <row r="589" spans="1:11" ht="15.75" hidden="1" customHeight="1" x14ac:dyDescent="0.25">
      <c r="A589" s="159"/>
      <c r="C589" s="160"/>
      <c r="E589" s="159"/>
      <c r="F589" s="159"/>
      <c r="G589" s="159"/>
      <c r="H589" s="161"/>
      <c r="I589" s="161"/>
      <c r="J589" s="159"/>
      <c r="K589" s="153"/>
    </row>
    <row r="590" spans="1:11" ht="15.75" hidden="1" customHeight="1" x14ac:dyDescent="0.25">
      <c r="A590" s="159"/>
      <c r="C590" s="160"/>
      <c r="E590" s="159"/>
      <c r="F590" s="159"/>
      <c r="G590" s="159"/>
      <c r="H590" s="161"/>
      <c r="I590" s="161"/>
      <c r="J590" s="159"/>
      <c r="K590" s="153"/>
    </row>
    <row r="591" spans="1:11" ht="15.75" hidden="1" customHeight="1" x14ac:dyDescent="0.25">
      <c r="A591" s="159"/>
      <c r="C591" s="160"/>
      <c r="E591" s="159"/>
      <c r="F591" s="159"/>
      <c r="G591" s="159"/>
      <c r="H591" s="161"/>
      <c r="I591" s="161"/>
      <c r="J591" s="159"/>
      <c r="K591" s="153"/>
    </row>
    <row r="592" spans="1:11" ht="15.75" hidden="1" customHeight="1" x14ac:dyDescent="0.25">
      <c r="A592" s="159"/>
      <c r="C592" s="160"/>
      <c r="E592" s="159"/>
      <c r="F592" s="159"/>
      <c r="G592" s="159"/>
      <c r="H592" s="161"/>
      <c r="I592" s="161"/>
      <c r="J592" s="159"/>
      <c r="K592" s="153"/>
    </row>
    <row r="593" spans="1:11" ht="15.75" hidden="1" customHeight="1" x14ac:dyDescent="0.25">
      <c r="A593" s="159"/>
      <c r="C593" s="160"/>
      <c r="E593" s="159"/>
      <c r="F593" s="159"/>
      <c r="G593" s="159"/>
      <c r="H593" s="161"/>
      <c r="I593" s="161"/>
      <c r="J593" s="159"/>
      <c r="K593" s="153"/>
    </row>
    <row r="594" spans="1:11" ht="15.75" hidden="1" customHeight="1" x14ac:dyDescent="0.25">
      <c r="A594" s="159"/>
      <c r="C594" s="160"/>
      <c r="E594" s="159"/>
      <c r="F594" s="159"/>
      <c r="G594" s="159"/>
      <c r="H594" s="161"/>
      <c r="I594" s="161"/>
      <c r="J594" s="159"/>
      <c r="K594" s="153"/>
    </row>
    <row r="595" spans="1:11" ht="15.75" hidden="1" customHeight="1" x14ac:dyDescent="0.25">
      <c r="A595" s="159"/>
      <c r="C595" s="160"/>
      <c r="E595" s="159"/>
      <c r="F595" s="159"/>
      <c r="G595" s="159"/>
      <c r="H595" s="161"/>
      <c r="I595" s="161"/>
      <c r="J595" s="159"/>
      <c r="K595" s="153"/>
    </row>
    <row r="596" spans="1:11" ht="15.75" hidden="1" customHeight="1" x14ac:dyDescent="0.25">
      <c r="A596" s="159"/>
      <c r="C596" s="160"/>
      <c r="E596" s="159"/>
      <c r="F596" s="159"/>
      <c r="G596" s="159"/>
      <c r="H596" s="161"/>
      <c r="I596" s="161"/>
      <c r="J596" s="159"/>
      <c r="K596" s="153"/>
    </row>
    <row r="597" spans="1:11" ht="15.75" hidden="1" customHeight="1" x14ac:dyDescent="0.25">
      <c r="A597" s="159"/>
      <c r="C597" s="160"/>
      <c r="E597" s="159"/>
      <c r="F597" s="159"/>
      <c r="G597" s="159"/>
      <c r="H597" s="161"/>
      <c r="I597" s="161"/>
      <c r="J597" s="159"/>
      <c r="K597" s="153"/>
    </row>
    <row r="598" spans="1:11" ht="15.75" hidden="1" customHeight="1" x14ac:dyDescent="0.25">
      <c r="A598" s="159"/>
      <c r="C598" s="160"/>
      <c r="E598" s="159"/>
      <c r="F598" s="159"/>
      <c r="G598" s="159"/>
      <c r="H598" s="161"/>
      <c r="I598" s="161"/>
      <c r="J598" s="159"/>
      <c r="K598" s="153"/>
    </row>
    <row r="599" spans="1:11" ht="15.75" hidden="1" customHeight="1" x14ac:dyDescent="0.25">
      <c r="A599" s="159"/>
      <c r="C599" s="160"/>
      <c r="E599" s="159"/>
      <c r="F599" s="159"/>
      <c r="G599" s="159"/>
      <c r="H599" s="161"/>
      <c r="I599" s="161"/>
      <c r="J599" s="159"/>
      <c r="K599" s="153"/>
    </row>
    <row r="600" spans="1:11" ht="15.75" hidden="1" customHeight="1" x14ac:dyDescent="0.25">
      <c r="A600" s="159"/>
      <c r="C600" s="160"/>
      <c r="E600" s="159"/>
      <c r="F600" s="159"/>
      <c r="G600" s="159"/>
      <c r="H600" s="161"/>
      <c r="I600" s="161"/>
      <c r="J600" s="159"/>
      <c r="K600" s="153"/>
    </row>
    <row r="601" spans="1:11" ht="15.75" hidden="1" customHeight="1" x14ac:dyDescent="0.25">
      <c r="A601" s="159"/>
      <c r="C601" s="160"/>
      <c r="E601" s="159"/>
      <c r="F601" s="159"/>
      <c r="G601" s="159"/>
      <c r="H601" s="161"/>
      <c r="I601" s="161"/>
      <c r="J601" s="159"/>
      <c r="K601" s="153"/>
    </row>
    <row r="602" spans="1:11" ht="15.75" hidden="1" customHeight="1" x14ac:dyDescent="0.25">
      <c r="A602" s="159"/>
      <c r="C602" s="160"/>
      <c r="E602" s="159"/>
      <c r="F602" s="159"/>
      <c r="G602" s="159"/>
      <c r="H602" s="161"/>
      <c r="I602" s="161"/>
      <c r="J602" s="159"/>
      <c r="K602" s="153"/>
    </row>
    <row r="603" spans="1:11" ht="15.75" hidden="1" customHeight="1" x14ac:dyDescent="0.25">
      <c r="A603" s="159"/>
      <c r="C603" s="160"/>
      <c r="E603" s="159"/>
      <c r="F603" s="159"/>
      <c r="G603" s="159"/>
      <c r="H603" s="161"/>
      <c r="I603" s="161"/>
      <c r="J603" s="159"/>
      <c r="K603" s="153"/>
    </row>
    <row r="604" spans="1:11" ht="15.75" hidden="1" customHeight="1" x14ac:dyDescent="0.25">
      <c r="A604" s="159"/>
      <c r="C604" s="160"/>
      <c r="E604" s="159"/>
      <c r="F604" s="159"/>
      <c r="G604" s="159"/>
      <c r="H604" s="161"/>
      <c r="I604" s="161"/>
      <c r="J604" s="159"/>
      <c r="K604" s="153"/>
    </row>
    <row r="605" spans="1:11" ht="15.75" hidden="1" customHeight="1" x14ac:dyDescent="0.25">
      <c r="A605" s="159"/>
      <c r="C605" s="160"/>
      <c r="E605" s="159"/>
      <c r="F605" s="159"/>
      <c r="G605" s="159"/>
      <c r="H605" s="161"/>
      <c r="I605" s="161"/>
      <c r="J605" s="159"/>
      <c r="K605" s="153"/>
    </row>
    <row r="606" spans="1:11" ht="15.75" hidden="1" customHeight="1" x14ac:dyDescent="0.25">
      <c r="A606" s="159"/>
      <c r="C606" s="160"/>
      <c r="E606" s="159"/>
      <c r="F606" s="159"/>
      <c r="G606" s="159"/>
      <c r="H606" s="161"/>
      <c r="I606" s="161"/>
      <c r="J606" s="159"/>
      <c r="K606" s="153"/>
    </row>
    <row r="607" spans="1:11" ht="15.75" hidden="1" customHeight="1" x14ac:dyDescent="0.25">
      <c r="A607" s="159"/>
      <c r="C607" s="160"/>
      <c r="E607" s="159"/>
      <c r="F607" s="159"/>
      <c r="G607" s="159"/>
      <c r="H607" s="161"/>
      <c r="I607" s="161"/>
      <c r="J607" s="159"/>
      <c r="K607" s="153"/>
    </row>
    <row r="608" spans="1:11" ht="15.75" hidden="1" customHeight="1" x14ac:dyDescent="0.25">
      <c r="A608" s="159"/>
      <c r="C608" s="160"/>
      <c r="E608" s="159"/>
      <c r="F608" s="159"/>
      <c r="G608" s="159"/>
      <c r="H608" s="161"/>
      <c r="I608" s="161"/>
      <c r="J608" s="159"/>
      <c r="K608" s="153"/>
    </row>
    <row r="609" spans="1:11" ht="15.75" hidden="1" customHeight="1" x14ac:dyDescent="0.25">
      <c r="A609" s="159"/>
      <c r="C609" s="160"/>
      <c r="E609" s="159"/>
      <c r="F609" s="159"/>
      <c r="G609" s="159"/>
      <c r="H609" s="161"/>
      <c r="I609" s="161"/>
      <c r="J609" s="159"/>
      <c r="K609" s="153"/>
    </row>
    <row r="610" spans="1:11" ht="15.75" hidden="1" customHeight="1" x14ac:dyDescent="0.25">
      <c r="A610" s="159"/>
      <c r="C610" s="160"/>
      <c r="E610" s="159"/>
      <c r="F610" s="159"/>
      <c r="G610" s="159"/>
      <c r="H610" s="161"/>
      <c r="I610" s="161"/>
      <c r="J610" s="159"/>
      <c r="K610" s="153"/>
    </row>
    <row r="611" spans="1:11" ht="15.75" hidden="1" customHeight="1" x14ac:dyDescent="0.25">
      <c r="A611" s="159"/>
      <c r="C611" s="160"/>
      <c r="E611" s="159"/>
      <c r="F611" s="159"/>
      <c r="G611" s="159"/>
      <c r="H611" s="161"/>
      <c r="I611" s="161"/>
      <c r="J611" s="159"/>
      <c r="K611" s="153"/>
    </row>
    <row r="612" spans="1:11" ht="15.75" hidden="1" customHeight="1" x14ac:dyDescent="0.25">
      <c r="A612" s="159"/>
      <c r="C612" s="160"/>
      <c r="E612" s="159"/>
      <c r="F612" s="159"/>
      <c r="G612" s="159"/>
      <c r="H612" s="161"/>
      <c r="I612" s="161"/>
      <c r="J612" s="159"/>
      <c r="K612" s="153"/>
    </row>
    <row r="613" spans="1:11" ht="15.75" hidden="1" customHeight="1" x14ac:dyDescent="0.25">
      <c r="A613" s="159"/>
      <c r="C613" s="160"/>
      <c r="E613" s="159"/>
      <c r="F613" s="159"/>
      <c r="G613" s="159"/>
      <c r="H613" s="161"/>
      <c r="I613" s="161"/>
      <c r="J613" s="159"/>
      <c r="K613" s="153"/>
    </row>
    <row r="614" spans="1:11" ht="15.75" hidden="1" customHeight="1" x14ac:dyDescent="0.25">
      <c r="A614" s="159"/>
      <c r="C614" s="160"/>
      <c r="E614" s="159"/>
      <c r="F614" s="159"/>
      <c r="G614" s="159"/>
      <c r="H614" s="161"/>
      <c r="I614" s="161"/>
      <c r="J614" s="159"/>
      <c r="K614" s="153"/>
    </row>
    <row r="615" spans="1:11" ht="15.75" hidden="1" customHeight="1" x14ac:dyDescent="0.25">
      <c r="A615" s="159"/>
      <c r="C615" s="160"/>
      <c r="E615" s="159"/>
      <c r="F615" s="159"/>
      <c r="G615" s="159"/>
      <c r="H615" s="161"/>
      <c r="I615" s="161"/>
      <c r="J615" s="159"/>
      <c r="K615" s="153"/>
    </row>
    <row r="616" spans="1:11" ht="15.75" hidden="1" customHeight="1" x14ac:dyDescent="0.25">
      <c r="A616" s="159"/>
      <c r="C616" s="160"/>
      <c r="E616" s="159"/>
      <c r="F616" s="159"/>
      <c r="G616" s="159"/>
      <c r="H616" s="161"/>
      <c r="I616" s="161"/>
      <c r="J616" s="159"/>
      <c r="K616" s="153"/>
    </row>
    <row r="617" spans="1:11" ht="15.75" hidden="1" customHeight="1" x14ac:dyDescent="0.25">
      <c r="A617" s="159"/>
      <c r="C617" s="160"/>
      <c r="E617" s="159"/>
      <c r="F617" s="159"/>
      <c r="G617" s="159"/>
      <c r="H617" s="161"/>
      <c r="I617" s="161"/>
      <c r="J617" s="159"/>
      <c r="K617" s="153"/>
    </row>
    <row r="618" spans="1:11" ht="15.75" hidden="1" customHeight="1" x14ac:dyDescent="0.25">
      <c r="A618" s="159"/>
      <c r="C618" s="160"/>
      <c r="E618" s="159"/>
      <c r="F618" s="159"/>
      <c r="G618" s="159"/>
      <c r="H618" s="161"/>
      <c r="I618" s="161"/>
      <c r="J618" s="159"/>
      <c r="K618" s="153"/>
    </row>
    <row r="619" spans="1:11" ht="15.75" hidden="1" customHeight="1" x14ac:dyDescent="0.25">
      <c r="A619" s="159"/>
      <c r="C619" s="160"/>
      <c r="E619" s="159"/>
      <c r="F619" s="159"/>
      <c r="G619" s="159"/>
      <c r="H619" s="161"/>
      <c r="I619" s="161"/>
      <c r="J619" s="159"/>
      <c r="K619" s="153"/>
    </row>
    <row r="620" spans="1:11" ht="15.75" hidden="1" customHeight="1" x14ac:dyDescent="0.25">
      <c r="A620" s="159"/>
      <c r="C620" s="160"/>
      <c r="E620" s="159"/>
      <c r="F620" s="159"/>
      <c r="G620" s="159"/>
      <c r="H620" s="161"/>
      <c r="I620" s="161"/>
      <c r="J620" s="159"/>
      <c r="K620" s="153"/>
    </row>
    <row r="621" spans="1:11" ht="15.75" hidden="1" customHeight="1" x14ac:dyDescent="0.25">
      <c r="A621" s="159"/>
      <c r="C621" s="160"/>
      <c r="E621" s="159"/>
      <c r="F621" s="159"/>
      <c r="G621" s="159"/>
      <c r="H621" s="161"/>
      <c r="I621" s="161"/>
      <c r="J621" s="159"/>
      <c r="K621" s="153"/>
    </row>
    <row r="622" spans="1:11" ht="15.75" hidden="1" customHeight="1" x14ac:dyDescent="0.25">
      <c r="A622" s="159"/>
      <c r="C622" s="160"/>
      <c r="E622" s="159"/>
      <c r="F622" s="159"/>
      <c r="G622" s="159"/>
      <c r="H622" s="161"/>
      <c r="I622" s="161"/>
      <c r="J622" s="159"/>
      <c r="K622" s="153"/>
    </row>
    <row r="623" spans="1:11" ht="15.75" hidden="1" customHeight="1" x14ac:dyDescent="0.25">
      <c r="A623" s="159"/>
      <c r="C623" s="160"/>
      <c r="E623" s="159"/>
      <c r="F623" s="159"/>
      <c r="G623" s="159"/>
      <c r="H623" s="161"/>
      <c r="I623" s="161"/>
      <c r="J623" s="159"/>
      <c r="K623" s="153"/>
    </row>
    <row r="624" spans="1:11" ht="15.75" hidden="1" customHeight="1" x14ac:dyDescent="0.25">
      <c r="A624" s="159"/>
      <c r="C624" s="160"/>
      <c r="E624" s="159"/>
      <c r="F624" s="159"/>
      <c r="G624" s="159"/>
      <c r="H624" s="161"/>
      <c r="I624" s="161"/>
      <c r="J624" s="159"/>
      <c r="K624" s="153"/>
    </row>
    <row r="625" spans="1:11" ht="15.75" hidden="1" customHeight="1" x14ac:dyDescent="0.25">
      <c r="A625" s="159"/>
      <c r="C625" s="160"/>
      <c r="E625" s="159"/>
      <c r="F625" s="159"/>
      <c r="G625" s="159"/>
      <c r="H625" s="161"/>
      <c r="I625" s="161"/>
      <c r="J625" s="159"/>
      <c r="K625" s="153"/>
    </row>
    <row r="626" spans="1:11" ht="15.75" hidden="1" customHeight="1" x14ac:dyDescent="0.25">
      <c r="A626" s="159"/>
      <c r="C626" s="160"/>
      <c r="E626" s="159"/>
      <c r="F626" s="159"/>
      <c r="G626" s="159"/>
      <c r="H626" s="161"/>
      <c r="I626" s="161"/>
      <c r="J626" s="159"/>
      <c r="K626" s="153"/>
    </row>
    <row r="627" spans="1:11" ht="15.75" hidden="1" customHeight="1" x14ac:dyDescent="0.25">
      <c r="A627" s="159"/>
      <c r="C627" s="160"/>
      <c r="E627" s="159"/>
      <c r="F627" s="159"/>
      <c r="G627" s="159"/>
      <c r="H627" s="161"/>
      <c r="I627" s="161"/>
      <c r="J627" s="159"/>
      <c r="K627" s="153"/>
    </row>
    <row r="628" spans="1:11" ht="15.75" hidden="1" customHeight="1" x14ac:dyDescent="0.25">
      <c r="A628" s="159"/>
      <c r="C628" s="160"/>
      <c r="E628" s="159"/>
      <c r="F628" s="159"/>
      <c r="G628" s="159"/>
      <c r="H628" s="161"/>
      <c r="I628" s="161"/>
      <c r="J628" s="159"/>
      <c r="K628" s="153"/>
    </row>
    <row r="629" spans="1:11" ht="15.75" hidden="1" customHeight="1" x14ac:dyDescent="0.25">
      <c r="A629" s="159"/>
      <c r="C629" s="160"/>
      <c r="E629" s="159"/>
      <c r="F629" s="159"/>
      <c r="G629" s="159"/>
      <c r="H629" s="161"/>
      <c r="I629" s="161"/>
      <c r="J629" s="159"/>
      <c r="K629" s="153"/>
    </row>
    <row r="630" spans="1:11" ht="15.75" hidden="1" customHeight="1" x14ac:dyDescent="0.25">
      <c r="A630" s="159"/>
      <c r="C630" s="160"/>
      <c r="E630" s="159"/>
      <c r="F630" s="159"/>
      <c r="G630" s="159"/>
      <c r="H630" s="161"/>
      <c r="I630" s="161"/>
      <c r="J630" s="159"/>
      <c r="K630" s="153"/>
    </row>
    <row r="631" spans="1:11" ht="15.75" hidden="1" customHeight="1" x14ac:dyDescent="0.25">
      <c r="A631" s="159"/>
      <c r="C631" s="160"/>
      <c r="E631" s="159"/>
      <c r="F631" s="159"/>
      <c r="G631" s="159"/>
      <c r="H631" s="161"/>
      <c r="I631" s="161"/>
      <c r="J631" s="159"/>
      <c r="K631" s="153"/>
    </row>
    <row r="632" spans="1:11" ht="15.75" hidden="1" customHeight="1" x14ac:dyDescent="0.25">
      <c r="A632" s="159"/>
      <c r="C632" s="160"/>
      <c r="E632" s="159"/>
      <c r="F632" s="159"/>
      <c r="G632" s="159"/>
      <c r="H632" s="161"/>
      <c r="I632" s="161"/>
      <c r="J632" s="159"/>
      <c r="K632" s="153"/>
    </row>
    <row r="633" spans="1:11" ht="15.75" hidden="1" customHeight="1" x14ac:dyDescent="0.25">
      <c r="A633" s="159"/>
      <c r="C633" s="160"/>
      <c r="E633" s="159"/>
      <c r="F633" s="159"/>
      <c r="G633" s="159"/>
      <c r="H633" s="161"/>
      <c r="I633" s="161"/>
      <c r="J633" s="159"/>
      <c r="K633" s="153"/>
    </row>
    <row r="634" spans="1:11" ht="15.75" hidden="1" customHeight="1" x14ac:dyDescent="0.25">
      <c r="A634" s="159"/>
      <c r="C634" s="160"/>
      <c r="E634" s="159"/>
      <c r="F634" s="159"/>
      <c r="G634" s="159"/>
      <c r="H634" s="161"/>
      <c r="I634" s="161"/>
      <c r="J634" s="159"/>
      <c r="K634" s="153"/>
    </row>
    <row r="635" spans="1:11" ht="15.75" hidden="1" customHeight="1" x14ac:dyDescent="0.25">
      <c r="A635" s="159"/>
      <c r="C635" s="160"/>
      <c r="E635" s="159"/>
      <c r="F635" s="159"/>
      <c r="G635" s="159"/>
      <c r="H635" s="161"/>
      <c r="I635" s="161"/>
      <c r="J635" s="159"/>
      <c r="K635" s="153"/>
    </row>
    <row r="636" spans="1:11" ht="15.75" hidden="1" customHeight="1" x14ac:dyDescent="0.25">
      <c r="A636" s="159"/>
      <c r="C636" s="160"/>
      <c r="E636" s="159"/>
      <c r="F636" s="159"/>
      <c r="G636" s="159"/>
      <c r="H636" s="161"/>
      <c r="I636" s="161"/>
      <c r="J636" s="159"/>
      <c r="K636" s="153"/>
    </row>
    <row r="637" spans="1:11" ht="15.75" hidden="1" customHeight="1" x14ac:dyDescent="0.25">
      <c r="A637" s="159"/>
      <c r="C637" s="160"/>
      <c r="E637" s="159"/>
      <c r="F637" s="159"/>
      <c r="G637" s="159"/>
      <c r="H637" s="161"/>
      <c r="I637" s="161"/>
      <c r="J637" s="159"/>
      <c r="K637" s="153"/>
    </row>
    <row r="638" spans="1:11" ht="15.75" hidden="1" customHeight="1" x14ac:dyDescent="0.25">
      <c r="A638" s="159"/>
      <c r="C638" s="160"/>
      <c r="E638" s="159"/>
      <c r="F638" s="159"/>
      <c r="G638" s="159"/>
      <c r="H638" s="161"/>
      <c r="I638" s="161"/>
      <c r="J638" s="159"/>
      <c r="K638" s="153"/>
    </row>
    <row r="639" spans="1:11" ht="15.75" hidden="1" customHeight="1" x14ac:dyDescent="0.25">
      <c r="A639" s="159"/>
      <c r="C639" s="160"/>
      <c r="E639" s="159"/>
      <c r="F639" s="159"/>
      <c r="G639" s="159"/>
      <c r="H639" s="161"/>
      <c r="I639" s="161"/>
      <c r="J639" s="159"/>
      <c r="K639" s="153"/>
    </row>
    <row r="640" spans="1:11" ht="15.75" hidden="1" customHeight="1" x14ac:dyDescent="0.25">
      <c r="A640" s="159"/>
      <c r="C640" s="160"/>
      <c r="E640" s="159"/>
      <c r="F640" s="159"/>
      <c r="G640" s="159"/>
      <c r="H640" s="161"/>
      <c r="I640" s="161"/>
      <c r="J640" s="159"/>
      <c r="K640" s="153"/>
    </row>
    <row r="641" spans="1:11" ht="15.75" hidden="1" customHeight="1" x14ac:dyDescent="0.25">
      <c r="A641" s="159"/>
      <c r="C641" s="160"/>
      <c r="E641" s="159"/>
      <c r="F641" s="159"/>
      <c r="G641" s="159"/>
      <c r="H641" s="161"/>
      <c r="I641" s="161"/>
      <c r="J641" s="159"/>
      <c r="K641" s="153"/>
    </row>
    <row r="642" spans="1:11" ht="15.75" hidden="1" customHeight="1" x14ac:dyDescent="0.25">
      <c r="A642" s="159"/>
      <c r="C642" s="160"/>
      <c r="E642" s="159"/>
      <c r="F642" s="159"/>
      <c r="G642" s="159"/>
      <c r="H642" s="161"/>
      <c r="I642" s="161"/>
      <c r="J642" s="159"/>
      <c r="K642" s="153"/>
    </row>
    <row r="643" spans="1:11" ht="15.75" hidden="1" customHeight="1" x14ac:dyDescent="0.25">
      <c r="A643" s="159"/>
      <c r="C643" s="160"/>
      <c r="E643" s="159"/>
      <c r="F643" s="159"/>
      <c r="G643" s="159"/>
      <c r="H643" s="161"/>
      <c r="I643" s="161"/>
      <c r="J643" s="159"/>
      <c r="K643" s="153"/>
    </row>
    <row r="644" spans="1:11" ht="15.75" hidden="1" customHeight="1" x14ac:dyDescent="0.25">
      <c r="A644" s="159"/>
      <c r="C644" s="160"/>
      <c r="E644" s="159"/>
      <c r="F644" s="159"/>
      <c r="G644" s="159"/>
      <c r="H644" s="161"/>
      <c r="I644" s="161"/>
      <c r="J644" s="159"/>
      <c r="K644" s="153"/>
    </row>
    <row r="645" spans="1:11" ht="15.75" hidden="1" customHeight="1" x14ac:dyDescent="0.25">
      <c r="A645" s="159"/>
      <c r="C645" s="160"/>
      <c r="E645" s="159"/>
      <c r="F645" s="159"/>
      <c r="G645" s="159"/>
      <c r="H645" s="161"/>
      <c r="I645" s="161"/>
      <c r="J645" s="159"/>
      <c r="K645" s="153"/>
    </row>
    <row r="646" spans="1:11" ht="15.75" hidden="1" customHeight="1" x14ac:dyDescent="0.25">
      <c r="A646" s="159"/>
      <c r="C646" s="160"/>
      <c r="E646" s="159"/>
      <c r="F646" s="159"/>
      <c r="G646" s="159"/>
      <c r="H646" s="161"/>
      <c r="I646" s="161"/>
      <c r="J646" s="159"/>
      <c r="K646" s="153"/>
    </row>
    <row r="647" spans="1:11" ht="15.75" hidden="1" customHeight="1" x14ac:dyDescent="0.25">
      <c r="A647" s="159"/>
      <c r="C647" s="160"/>
      <c r="E647" s="159"/>
      <c r="F647" s="159"/>
      <c r="G647" s="159"/>
      <c r="H647" s="161"/>
      <c r="I647" s="161"/>
      <c r="J647" s="159"/>
      <c r="K647" s="153"/>
    </row>
    <row r="648" spans="1:11" ht="15.75" hidden="1" customHeight="1" x14ac:dyDescent="0.25">
      <c r="A648" s="159"/>
      <c r="C648" s="160"/>
      <c r="E648" s="159"/>
      <c r="F648" s="159"/>
      <c r="G648" s="159"/>
      <c r="H648" s="161"/>
      <c r="I648" s="161"/>
      <c r="J648" s="159"/>
      <c r="K648" s="153"/>
    </row>
    <row r="649" spans="1:11" ht="15.75" hidden="1" customHeight="1" x14ac:dyDescent="0.25">
      <c r="A649" s="159"/>
      <c r="C649" s="160"/>
      <c r="E649" s="159"/>
      <c r="F649" s="159"/>
      <c r="G649" s="159"/>
      <c r="H649" s="161"/>
      <c r="I649" s="161"/>
      <c r="J649" s="159"/>
      <c r="K649" s="153"/>
    </row>
    <row r="650" spans="1:11" ht="15.75" hidden="1" customHeight="1" x14ac:dyDescent="0.25">
      <c r="A650" s="159"/>
      <c r="C650" s="160"/>
      <c r="E650" s="159"/>
      <c r="F650" s="159"/>
      <c r="G650" s="159"/>
      <c r="H650" s="161"/>
      <c r="I650" s="161"/>
      <c r="J650" s="159"/>
      <c r="K650" s="153"/>
    </row>
    <row r="651" spans="1:11" ht="15.75" hidden="1" customHeight="1" x14ac:dyDescent="0.25">
      <c r="A651" s="159"/>
      <c r="C651" s="160"/>
      <c r="E651" s="159"/>
      <c r="F651" s="159"/>
      <c r="G651" s="159"/>
      <c r="H651" s="161"/>
      <c r="I651" s="161"/>
      <c r="J651" s="159"/>
      <c r="K651" s="153"/>
    </row>
    <row r="652" spans="1:11" ht="15.75" hidden="1" customHeight="1" x14ac:dyDescent="0.25">
      <c r="A652" s="159"/>
      <c r="C652" s="160"/>
      <c r="E652" s="159"/>
      <c r="F652" s="159"/>
      <c r="G652" s="159"/>
      <c r="H652" s="161"/>
      <c r="I652" s="161"/>
      <c r="J652" s="159"/>
      <c r="K652" s="153"/>
    </row>
    <row r="653" spans="1:11" ht="15.75" hidden="1" customHeight="1" x14ac:dyDescent="0.25">
      <c r="A653" s="159"/>
      <c r="C653" s="160"/>
      <c r="E653" s="159"/>
      <c r="F653" s="159"/>
      <c r="G653" s="159"/>
      <c r="H653" s="161"/>
      <c r="I653" s="161"/>
      <c r="J653" s="159"/>
      <c r="K653" s="153"/>
    </row>
    <row r="654" spans="1:11" ht="15.75" hidden="1" customHeight="1" x14ac:dyDescent="0.25">
      <c r="A654" s="159"/>
      <c r="C654" s="160"/>
      <c r="E654" s="159"/>
      <c r="F654" s="159"/>
      <c r="G654" s="159"/>
      <c r="H654" s="161"/>
      <c r="I654" s="161"/>
      <c r="J654" s="159"/>
      <c r="K654" s="153"/>
    </row>
    <row r="655" spans="1:11" ht="15.75" hidden="1" customHeight="1" x14ac:dyDescent="0.25">
      <c r="A655" s="159"/>
      <c r="C655" s="160"/>
      <c r="E655" s="159"/>
      <c r="F655" s="159"/>
      <c r="G655" s="159"/>
      <c r="H655" s="161"/>
      <c r="I655" s="161"/>
      <c r="J655" s="159"/>
      <c r="K655" s="153"/>
    </row>
    <row r="656" spans="1:11" ht="15.75" hidden="1" customHeight="1" x14ac:dyDescent="0.25">
      <c r="A656" s="159"/>
      <c r="C656" s="160"/>
      <c r="E656" s="159"/>
      <c r="F656" s="159"/>
      <c r="G656" s="159"/>
      <c r="H656" s="161"/>
      <c r="I656" s="161"/>
      <c r="J656" s="159"/>
      <c r="K656" s="153"/>
    </row>
    <row r="657" spans="1:11" ht="15.75" hidden="1" customHeight="1" x14ac:dyDescent="0.25">
      <c r="A657" s="159"/>
      <c r="C657" s="160"/>
      <c r="E657" s="159"/>
      <c r="F657" s="159"/>
      <c r="G657" s="159"/>
      <c r="H657" s="161"/>
      <c r="I657" s="161"/>
      <c r="J657" s="159"/>
      <c r="K657" s="153"/>
    </row>
    <row r="658" spans="1:11" ht="15.75" hidden="1" customHeight="1" x14ac:dyDescent="0.25">
      <c r="A658" s="159"/>
      <c r="C658" s="160"/>
      <c r="E658" s="159"/>
      <c r="F658" s="159"/>
      <c r="G658" s="159"/>
      <c r="H658" s="161"/>
      <c r="I658" s="161"/>
      <c r="J658" s="159"/>
      <c r="K658" s="153"/>
    </row>
    <row r="659" spans="1:11" ht="15.75" hidden="1" customHeight="1" x14ac:dyDescent="0.25">
      <c r="A659" s="159"/>
      <c r="C659" s="160"/>
      <c r="E659" s="159"/>
      <c r="F659" s="159"/>
      <c r="G659" s="159"/>
      <c r="H659" s="161"/>
      <c r="I659" s="161"/>
      <c r="J659" s="159"/>
      <c r="K659" s="153"/>
    </row>
    <row r="660" spans="1:11" ht="15.75" hidden="1" customHeight="1" x14ac:dyDescent="0.25">
      <c r="A660" s="159"/>
      <c r="C660" s="160"/>
      <c r="E660" s="159"/>
      <c r="F660" s="159"/>
      <c r="G660" s="159"/>
      <c r="H660" s="161"/>
      <c r="I660" s="161"/>
      <c r="J660" s="159"/>
      <c r="K660" s="153"/>
    </row>
    <row r="661" spans="1:11" ht="15.75" hidden="1" customHeight="1" x14ac:dyDescent="0.25">
      <c r="A661" s="159"/>
      <c r="C661" s="160"/>
      <c r="E661" s="159"/>
      <c r="F661" s="159"/>
      <c r="G661" s="159"/>
      <c r="H661" s="161"/>
      <c r="I661" s="161"/>
      <c r="J661" s="159"/>
      <c r="K661" s="153"/>
    </row>
    <row r="662" spans="1:11" ht="15.75" hidden="1" customHeight="1" x14ac:dyDescent="0.25">
      <c r="A662" s="159"/>
      <c r="C662" s="160"/>
      <c r="E662" s="159"/>
      <c r="F662" s="159"/>
      <c r="G662" s="159"/>
      <c r="H662" s="161"/>
      <c r="I662" s="161"/>
      <c r="J662" s="159"/>
      <c r="K662" s="153"/>
    </row>
    <row r="663" spans="1:11" ht="15.75" hidden="1" customHeight="1" x14ac:dyDescent="0.25">
      <c r="A663" s="159"/>
      <c r="C663" s="160"/>
      <c r="E663" s="159"/>
      <c r="F663" s="159"/>
      <c r="G663" s="159"/>
      <c r="H663" s="161"/>
      <c r="I663" s="161"/>
      <c r="J663" s="159"/>
      <c r="K663" s="153"/>
    </row>
    <row r="664" spans="1:11" ht="15.75" hidden="1" customHeight="1" x14ac:dyDescent="0.25">
      <c r="A664" s="159"/>
      <c r="C664" s="160"/>
      <c r="E664" s="159"/>
      <c r="F664" s="159"/>
      <c r="G664" s="159"/>
      <c r="H664" s="161"/>
      <c r="I664" s="161"/>
      <c r="J664" s="159"/>
      <c r="K664" s="153"/>
    </row>
    <row r="665" spans="1:11" ht="15.75" hidden="1" customHeight="1" x14ac:dyDescent="0.25">
      <c r="A665" s="159"/>
      <c r="C665" s="160"/>
      <c r="E665" s="159"/>
      <c r="F665" s="159"/>
      <c r="G665" s="159"/>
      <c r="H665" s="161"/>
      <c r="I665" s="161"/>
      <c r="J665" s="159"/>
      <c r="K665" s="153"/>
    </row>
    <row r="666" spans="1:11" ht="15.75" hidden="1" customHeight="1" x14ac:dyDescent="0.25">
      <c r="A666" s="159"/>
      <c r="C666" s="160"/>
      <c r="E666" s="159"/>
      <c r="F666" s="159"/>
      <c r="G666" s="159"/>
      <c r="H666" s="161"/>
      <c r="I666" s="161"/>
      <c r="J666" s="159"/>
      <c r="K666" s="153"/>
    </row>
    <row r="667" spans="1:11" ht="15.75" hidden="1" customHeight="1" x14ac:dyDescent="0.25">
      <c r="A667" s="159"/>
      <c r="C667" s="160"/>
      <c r="E667" s="159"/>
      <c r="F667" s="159"/>
      <c r="G667" s="159"/>
      <c r="H667" s="161"/>
      <c r="I667" s="161"/>
      <c r="J667" s="159"/>
      <c r="K667" s="153"/>
    </row>
    <row r="668" spans="1:11" ht="15.75" hidden="1" customHeight="1" x14ac:dyDescent="0.25">
      <c r="A668" s="159"/>
      <c r="C668" s="160"/>
      <c r="E668" s="159"/>
      <c r="F668" s="159"/>
      <c r="G668" s="159"/>
      <c r="H668" s="161"/>
      <c r="I668" s="161"/>
      <c r="J668" s="159"/>
      <c r="K668" s="153"/>
    </row>
    <row r="669" spans="1:11" ht="15.75" hidden="1" customHeight="1" x14ac:dyDescent="0.25">
      <c r="A669" s="159"/>
      <c r="C669" s="160"/>
      <c r="E669" s="159"/>
      <c r="F669" s="159"/>
      <c r="G669" s="159"/>
      <c r="H669" s="161"/>
      <c r="I669" s="161"/>
      <c r="J669" s="159"/>
      <c r="K669" s="153"/>
    </row>
    <row r="670" spans="1:11" ht="15.75" hidden="1" customHeight="1" x14ac:dyDescent="0.25">
      <c r="A670" s="159"/>
      <c r="C670" s="160"/>
      <c r="E670" s="159"/>
      <c r="F670" s="159"/>
      <c r="G670" s="159"/>
      <c r="H670" s="161"/>
      <c r="I670" s="161"/>
      <c r="J670" s="159"/>
      <c r="K670" s="153"/>
    </row>
    <row r="671" spans="1:11" ht="15.75" hidden="1" customHeight="1" x14ac:dyDescent="0.25">
      <c r="A671" s="159"/>
      <c r="C671" s="160"/>
      <c r="E671" s="159"/>
      <c r="F671" s="159"/>
      <c r="G671" s="159"/>
      <c r="H671" s="161"/>
      <c r="I671" s="161"/>
      <c r="J671" s="159"/>
      <c r="K671" s="153"/>
    </row>
    <row r="672" spans="1:11" ht="15.75" hidden="1" customHeight="1" x14ac:dyDescent="0.25">
      <c r="A672" s="159"/>
      <c r="C672" s="160"/>
      <c r="E672" s="159"/>
      <c r="F672" s="159"/>
      <c r="G672" s="159"/>
      <c r="H672" s="161"/>
      <c r="I672" s="161"/>
      <c r="J672" s="159"/>
      <c r="K672" s="153"/>
    </row>
    <row r="673" spans="1:11" ht="15.75" hidden="1" customHeight="1" x14ac:dyDescent="0.25">
      <c r="A673" s="159"/>
      <c r="C673" s="160"/>
      <c r="E673" s="159"/>
      <c r="F673" s="159"/>
      <c r="G673" s="159"/>
      <c r="H673" s="161"/>
      <c r="I673" s="161"/>
      <c r="J673" s="159"/>
      <c r="K673" s="153"/>
    </row>
    <row r="674" spans="1:11" ht="15.75" hidden="1" customHeight="1" x14ac:dyDescent="0.25">
      <c r="A674" s="159"/>
      <c r="C674" s="160"/>
      <c r="E674" s="159"/>
      <c r="F674" s="159"/>
      <c r="G674" s="159"/>
      <c r="H674" s="161"/>
      <c r="I674" s="161"/>
      <c r="J674" s="159"/>
      <c r="K674" s="153"/>
    </row>
    <row r="675" spans="1:11" ht="15.75" hidden="1" customHeight="1" x14ac:dyDescent="0.25">
      <c r="A675" s="159"/>
      <c r="C675" s="160"/>
      <c r="E675" s="159"/>
      <c r="F675" s="159"/>
      <c r="G675" s="159"/>
      <c r="H675" s="161"/>
      <c r="I675" s="161"/>
      <c r="J675" s="159"/>
      <c r="K675" s="153"/>
    </row>
    <row r="676" spans="1:11" ht="15.75" hidden="1" customHeight="1" x14ac:dyDescent="0.25">
      <c r="A676" s="159"/>
      <c r="C676" s="160"/>
      <c r="E676" s="159"/>
      <c r="F676" s="159"/>
      <c r="G676" s="159"/>
      <c r="H676" s="161"/>
      <c r="I676" s="161"/>
      <c r="J676" s="159"/>
      <c r="K676" s="153"/>
    </row>
    <row r="677" spans="1:11" ht="15.75" hidden="1" customHeight="1" x14ac:dyDescent="0.25">
      <c r="A677" s="159"/>
      <c r="C677" s="160"/>
      <c r="E677" s="159"/>
      <c r="F677" s="159"/>
      <c r="G677" s="159"/>
      <c r="H677" s="161"/>
      <c r="I677" s="161"/>
      <c r="J677" s="159"/>
      <c r="K677" s="153"/>
    </row>
    <row r="678" spans="1:11" ht="15.75" hidden="1" customHeight="1" x14ac:dyDescent="0.25">
      <c r="A678" s="159"/>
      <c r="C678" s="160"/>
      <c r="E678" s="159"/>
      <c r="F678" s="159"/>
      <c r="G678" s="159"/>
      <c r="H678" s="161"/>
      <c r="I678" s="161"/>
      <c r="J678" s="159"/>
      <c r="K678" s="153"/>
    </row>
    <row r="679" spans="1:11" ht="15.75" hidden="1" customHeight="1" x14ac:dyDescent="0.25">
      <c r="A679" s="159"/>
      <c r="C679" s="160"/>
      <c r="E679" s="159"/>
      <c r="F679" s="159"/>
      <c r="G679" s="159"/>
      <c r="H679" s="161"/>
      <c r="I679" s="161"/>
      <c r="J679" s="159"/>
      <c r="K679" s="153"/>
    </row>
    <row r="680" spans="1:11" ht="15.75" hidden="1" customHeight="1" x14ac:dyDescent="0.25">
      <c r="A680" s="159"/>
      <c r="C680" s="160"/>
      <c r="E680" s="159"/>
      <c r="F680" s="159"/>
      <c r="G680" s="159"/>
      <c r="H680" s="161"/>
      <c r="I680" s="161"/>
      <c r="J680" s="159"/>
      <c r="K680" s="153"/>
    </row>
    <row r="681" spans="1:11" ht="15.75" hidden="1" customHeight="1" x14ac:dyDescent="0.25">
      <c r="A681" s="159"/>
      <c r="C681" s="160"/>
      <c r="E681" s="159"/>
      <c r="F681" s="159"/>
      <c r="G681" s="159"/>
      <c r="H681" s="161"/>
      <c r="I681" s="161"/>
      <c r="J681" s="159"/>
      <c r="K681" s="153"/>
    </row>
    <row r="682" spans="1:11" ht="15.75" hidden="1" customHeight="1" x14ac:dyDescent="0.25">
      <c r="A682" s="159"/>
      <c r="C682" s="160"/>
      <c r="E682" s="159"/>
      <c r="F682" s="159"/>
      <c r="G682" s="159"/>
      <c r="H682" s="161"/>
      <c r="I682" s="161"/>
      <c r="J682" s="159"/>
      <c r="K682" s="153"/>
    </row>
    <row r="683" spans="1:11" ht="15.75" hidden="1" customHeight="1" x14ac:dyDescent="0.25">
      <c r="A683" s="159"/>
      <c r="C683" s="160"/>
      <c r="E683" s="159"/>
      <c r="F683" s="159"/>
      <c r="G683" s="159"/>
      <c r="H683" s="161"/>
      <c r="I683" s="161"/>
      <c r="J683" s="159"/>
      <c r="K683" s="153"/>
    </row>
    <row r="684" spans="1:11" ht="15.75" hidden="1" customHeight="1" x14ac:dyDescent="0.25">
      <c r="A684" s="159"/>
      <c r="C684" s="160"/>
      <c r="E684" s="159"/>
      <c r="F684" s="159"/>
      <c r="G684" s="159"/>
      <c r="H684" s="161"/>
      <c r="I684" s="161"/>
      <c r="J684" s="159"/>
      <c r="K684" s="153"/>
    </row>
    <row r="685" spans="1:11" ht="15.75" hidden="1" customHeight="1" x14ac:dyDescent="0.25">
      <c r="A685" s="159"/>
      <c r="C685" s="160"/>
      <c r="E685" s="159"/>
      <c r="F685" s="159"/>
      <c r="G685" s="159"/>
      <c r="H685" s="161"/>
      <c r="I685" s="161"/>
      <c r="J685" s="159"/>
      <c r="K685" s="153"/>
    </row>
    <row r="686" spans="1:11" ht="15.75" hidden="1" customHeight="1" x14ac:dyDescent="0.25">
      <c r="A686" s="159"/>
      <c r="C686" s="160"/>
      <c r="E686" s="159"/>
      <c r="F686" s="159"/>
      <c r="G686" s="159"/>
      <c r="H686" s="161"/>
      <c r="I686" s="161"/>
      <c r="J686" s="159"/>
      <c r="K686" s="153"/>
    </row>
    <row r="687" spans="1:11" ht="15.75" hidden="1" customHeight="1" x14ac:dyDescent="0.25">
      <c r="A687" s="159"/>
      <c r="C687" s="160"/>
      <c r="E687" s="159"/>
      <c r="F687" s="159"/>
      <c r="G687" s="159"/>
      <c r="H687" s="161"/>
      <c r="I687" s="161"/>
      <c r="J687" s="159"/>
      <c r="K687" s="153"/>
    </row>
    <row r="688" spans="1:11" ht="15.75" hidden="1" customHeight="1" x14ac:dyDescent="0.25">
      <c r="A688" s="159"/>
      <c r="C688" s="160"/>
      <c r="E688" s="159"/>
      <c r="F688" s="159"/>
      <c r="G688" s="159"/>
      <c r="H688" s="161"/>
      <c r="I688" s="161"/>
      <c r="J688" s="159"/>
      <c r="K688" s="153"/>
    </row>
    <row r="689" spans="1:11" ht="15.75" hidden="1" customHeight="1" x14ac:dyDescent="0.25">
      <c r="A689" s="159"/>
      <c r="C689" s="160"/>
      <c r="E689" s="159"/>
      <c r="F689" s="159"/>
      <c r="G689" s="159"/>
      <c r="H689" s="161"/>
      <c r="I689" s="161"/>
      <c r="J689" s="159"/>
      <c r="K689" s="153"/>
    </row>
    <row r="690" spans="1:11" ht="15.75" hidden="1" customHeight="1" x14ac:dyDescent="0.25">
      <c r="A690" s="159"/>
      <c r="C690" s="160"/>
      <c r="E690" s="159"/>
      <c r="F690" s="159"/>
      <c r="G690" s="159"/>
      <c r="H690" s="161"/>
      <c r="I690" s="161"/>
      <c r="J690" s="159"/>
      <c r="K690" s="153"/>
    </row>
    <row r="691" spans="1:11" ht="15.75" hidden="1" customHeight="1" x14ac:dyDescent="0.25">
      <c r="A691" s="159"/>
      <c r="C691" s="160"/>
      <c r="E691" s="159"/>
      <c r="F691" s="159"/>
      <c r="G691" s="159"/>
      <c r="H691" s="161"/>
      <c r="I691" s="161"/>
      <c r="J691" s="159"/>
      <c r="K691" s="153"/>
    </row>
    <row r="692" spans="1:11" ht="15.75" hidden="1" customHeight="1" x14ac:dyDescent="0.25">
      <c r="A692" s="159"/>
      <c r="C692" s="160"/>
      <c r="E692" s="159"/>
      <c r="F692" s="159"/>
      <c r="G692" s="159"/>
      <c r="H692" s="161"/>
      <c r="I692" s="161"/>
      <c r="J692" s="159"/>
      <c r="K692" s="153"/>
    </row>
    <row r="693" spans="1:11" ht="15.75" hidden="1" customHeight="1" x14ac:dyDescent="0.25">
      <c r="A693" s="159"/>
      <c r="C693" s="160"/>
      <c r="E693" s="159"/>
      <c r="F693" s="159"/>
      <c r="G693" s="159"/>
      <c r="H693" s="161"/>
      <c r="I693" s="161"/>
      <c r="J693" s="159"/>
      <c r="K693" s="153"/>
    </row>
    <row r="694" spans="1:11" ht="15.75" hidden="1" customHeight="1" x14ac:dyDescent="0.25">
      <c r="A694" s="159"/>
      <c r="C694" s="160"/>
      <c r="E694" s="159"/>
      <c r="F694" s="159"/>
      <c r="G694" s="159"/>
      <c r="H694" s="161"/>
      <c r="I694" s="161"/>
      <c r="J694" s="159"/>
      <c r="K694" s="153"/>
    </row>
    <row r="695" spans="1:11" ht="15.75" hidden="1" customHeight="1" x14ac:dyDescent="0.25">
      <c r="A695" s="159"/>
      <c r="C695" s="160"/>
      <c r="E695" s="159"/>
      <c r="F695" s="159"/>
      <c r="G695" s="159"/>
      <c r="H695" s="161"/>
      <c r="I695" s="161"/>
      <c r="J695" s="159"/>
      <c r="K695" s="153"/>
    </row>
    <row r="696" spans="1:11" ht="15.75" hidden="1" customHeight="1" x14ac:dyDescent="0.25">
      <c r="A696" s="159"/>
      <c r="C696" s="160"/>
      <c r="E696" s="159"/>
      <c r="F696" s="159"/>
      <c r="G696" s="159"/>
      <c r="H696" s="161"/>
      <c r="I696" s="161"/>
      <c r="J696" s="159"/>
      <c r="K696" s="153"/>
    </row>
    <row r="697" spans="1:11" ht="15.75" hidden="1" customHeight="1" x14ac:dyDescent="0.25">
      <c r="A697" s="159"/>
      <c r="C697" s="160"/>
      <c r="E697" s="159"/>
      <c r="F697" s="159"/>
      <c r="G697" s="159"/>
      <c r="H697" s="161"/>
      <c r="I697" s="161"/>
      <c r="J697" s="159"/>
      <c r="K697" s="153"/>
    </row>
    <row r="698" spans="1:11" ht="15.75" hidden="1" customHeight="1" x14ac:dyDescent="0.25">
      <c r="A698" s="159"/>
      <c r="C698" s="160"/>
      <c r="E698" s="159"/>
      <c r="F698" s="159"/>
      <c r="G698" s="159"/>
      <c r="H698" s="161"/>
      <c r="I698" s="161"/>
      <c r="J698" s="159"/>
      <c r="K698" s="153"/>
    </row>
    <row r="699" spans="1:11" ht="15.75" hidden="1" customHeight="1" x14ac:dyDescent="0.25">
      <c r="A699" s="159"/>
      <c r="C699" s="160"/>
      <c r="E699" s="159"/>
      <c r="F699" s="159"/>
      <c r="G699" s="159"/>
      <c r="H699" s="161"/>
      <c r="I699" s="161"/>
      <c r="J699" s="159"/>
      <c r="K699" s="153"/>
    </row>
    <row r="700" spans="1:11" ht="15.75" hidden="1" customHeight="1" x14ac:dyDescent="0.25">
      <c r="A700" s="159"/>
      <c r="C700" s="160"/>
      <c r="E700" s="159"/>
      <c r="F700" s="159"/>
      <c r="G700" s="159"/>
      <c r="H700" s="161"/>
      <c r="I700" s="161"/>
      <c r="J700" s="159"/>
      <c r="K700" s="153"/>
    </row>
    <row r="701" spans="1:11" ht="15.75" hidden="1" customHeight="1" x14ac:dyDescent="0.25">
      <c r="A701" s="159"/>
      <c r="C701" s="160"/>
      <c r="E701" s="159"/>
      <c r="F701" s="159"/>
      <c r="G701" s="159"/>
      <c r="H701" s="161"/>
      <c r="I701" s="161"/>
      <c r="J701" s="159"/>
      <c r="K701" s="153"/>
    </row>
    <row r="702" spans="1:11" ht="15.75" hidden="1" customHeight="1" x14ac:dyDescent="0.25">
      <c r="A702" s="159"/>
      <c r="C702" s="160"/>
      <c r="E702" s="159"/>
      <c r="F702" s="159"/>
      <c r="G702" s="159"/>
      <c r="H702" s="161"/>
      <c r="I702" s="161"/>
      <c r="J702" s="159"/>
      <c r="K702" s="153"/>
    </row>
    <row r="703" spans="1:11" ht="15.75" hidden="1" customHeight="1" x14ac:dyDescent="0.25">
      <c r="A703" s="159"/>
      <c r="C703" s="160"/>
      <c r="E703" s="159"/>
      <c r="F703" s="159"/>
      <c r="G703" s="159"/>
      <c r="H703" s="161"/>
      <c r="I703" s="161"/>
      <c r="J703" s="159"/>
      <c r="K703" s="153"/>
    </row>
    <row r="704" spans="1:11" ht="15.75" hidden="1" customHeight="1" x14ac:dyDescent="0.25">
      <c r="A704" s="159"/>
      <c r="C704" s="160"/>
      <c r="E704" s="159"/>
      <c r="F704" s="159"/>
      <c r="G704" s="159"/>
      <c r="H704" s="161"/>
      <c r="I704" s="161"/>
      <c r="J704" s="159"/>
      <c r="K704" s="153"/>
    </row>
    <row r="705" spans="1:11" ht="15.75" hidden="1" customHeight="1" x14ac:dyDescent="0.25">
      <c r="A705" s="159"/>
      <c r="C705" s="160"/>
      <c r="E705" s="159"/>
      <c r="F705" s="159"/>
      <c r="G705" s="159"/>
      <c r="H705" s="161"/>
      <c r="I705" s="161"/>
      <c r="J705" s="159"/>
      <c r="K705" s="153"/>
    </row>
    <row r="706" spans="1:11" ht="15.75" hidden="1" customHeight="1" x14ac:dyDescent="0.25">
      <c r="A706" s="159"/>
      <c r="C706" s="160"/>
      <c r="E706" s="159"/>
      <c r="F706" s="159"/>
      <c r="G706" s="159"/>
      <c r="H706" s="161"/>
      <c r="I706" s="161"/>
      <c r="J706" s="159"/>
      <c r="K706" s="153"/>
    </row>
    <row r="707" spans="1:11" ht="15.75" hidden="1" customHeight="1" x14ac:dyDescent="0.25">
      <c r="A707" s="159"/>
      <c r="C707" s="160"/>
      <c r="E707" s="159"/>
      <c r="F707" s="159"/>
      <c r="G707" s="159"/>
      <c r="H707" s="161"/>
      <c r="I707" s="161"/>
      <c r="J707" s="159"/>
      <c r="K707" s="153"/>
    </row>
    <row r="708" spans="1:11" ht="15.75" hidden="1" customHeight="1" x14ac:dyDescent="0.25">
      <c r="A708" s="159"/>
      <c r="C708" s="160"/>
      <c r="E708" s="159"/>
      <c r="F708" s="159"/>
      <c r="G708" s="159"/>
      <c r="H708" s="161"/>
      <c r="I708" s="161"/>
      <c r="J708" s="159"/>
      <c r="K708" s="153"/>
    </row>
    <row r="709" spans="1:11" ht="15.75" hidden="1" customHeight="1" x14ac:dyDescent="0.25">
      <c r="A709" s="159"/>
      <c r="C709" s="160"/>
      <c r="E709" s="159"/>
      <c r="F709" s="159"/>
      <c r="G709" s="159"/>
      <c r="H709" s="161"/>
      <c r="I709" s="161"/>
      <c r="J709" s="159"/>
      <c r="K709" s="153"/>
    </row>
    <row r="710" spans="1:11" ht="15.75" hidden="1" customHeight="1" x14ac:dyDescent="0.25">
      <c r="A710" s="159"/>
      <c r="C710" s="160"/>
      <c r="E710" s="159"/>
      <c r="F710" s="159"/>
      <c r="G710" s="159"/>
      <c r="H710" s="161"/>
      <c r="I710" s="161"/>
      <c r="J710" s="159"/>
      <c r="K710" s="153"/>
    </row>
    <row r="711" spans="1:11" ht="15.75" hidden="1" customHeight="1" x14ac:dyDescent="0.25">
      <c r="A711" s="159"/>
      <c r="C711" s="160"/>
      <c r="E711" s="159"/>
      <c r="F711" s="159"/>
      <c r="G711" s="159"/>
      <c r="H711" s="161"/>
      <c r="I711" s="161"/>
      <c r="J711" s="159"/>
      <c r="K711" s="153"/>
    </row>
    <row r="712" spans="1:11" ht="15.75" hidden="1" customHeight="1" x14ac:dyDescent="0.25">
      <c r="A712" s="159"/>
      <c r="C712" s="160"/>
      <c r="E712" s="159"/>
      <c r="F712" s="159"/>
      <c r="G712" s="159"/>
      <c r="H712" s="161"/>
      <c r="I712" s="161"/>
      <c r="J712" s="159"/>
      <c r="K712" s="153"/>
    </row>
    <row r="713" spans="1:11" ht="15.75" hidden="1" customHeight="1" x14ac:dyDescent="0.25">
      <c r="A713" s="159"/>
      <c r="C713" s="160"/>
      <c r="E713" s="159"/>
      <c r="F713" s="159"/>
      <c r="G713" s="159"/>
      <c r="H713" s="161"/>
      <c r="I713" s="161"/>
      <c r="J713" s="159"/>
      <c r="K713" s="153"/>
    </row>
    <row r="714" spans="1:11" ht="15.75" hidden="1" customHeight="1" x14ac:dyDescent="0.25">
      <c r="A714" s="159"/>
      <c r="C714" s="160"/>
      <c r="E714" s="159"/>
      <c r="F714" s="159"/>
      <c r="G714" s="159"/>
      <c r="H714" s="161"/>
      <c r="I714" s="161"/>
      <c r="J714" s="159"/>
      <c r="K714" s="153"/>
    </row>
    <row r="715" spans="1:11" ht="15.75" hidden="1" customHeight="1" x14ac:dyDescent="0.25">
      <c r="A715" s="159"/>
      <c r="C715" s="160"/>
      <c r="E715" s="159"/>
      <c r="F715" s="159"/>
      <c r="G715" s="159"/>
      <c r="H715" s="161"/>
      <c r="I715" s="161"/>
      <c r="J715" s="159"/>
      <c r="K715" s="153"/>
    </row>
    <row r="716" spans="1:11" ht="15.75" hidden="1" customHeight="1" x14ac:dyDescent="0.25">
      <c r="A716" s="159"/>
      <c r="C716" s="160"/>
      <c r="E716" s="159"/>
      <c r="F716" s="159"/>
      <c r="G716" s="159"/>
      <c r="H716" s="161"/>
      <c r="I716" s="161"/>
      <c r="J716" s="159"/>
      <c r="K716" s="153"/>
    </row>
    <row r="717" spans="1:11" ht="15.75" hidden="1" customHeight="1" x14ac:dyDescent="0.25">
      <c r="A717" s="159"/>
      <c r="C717" s="160"/>
      <c r="E717" s="159"/>
      <c r="F717" s="159"/>
      <c r="G717" s="159"/>
      <c r="H717" s="161"/>
      <c r="I717" s="161"/>
      <c r="J717" s="159"/>
      <c r="K717" s="153"/>
    </row>
    <row r="718" spans="1:11" ht="15.75" hidden="1" customHeight="1" x14ac:dyDescent="0.25">
      <c r="A718" s="159"/>
      <c r="C718" s="160"/>
      <c r="E718" s="159"/>
      <c r="F718" s="159"/>
      <c r="G718" s="159"/>
      <c r="H718" s="161"/>
      <c r="I718" s="161"/>
      <c r="J718" s="159"/>
      <c r="K718" s="153"/>
    </row>
    <row r="719" spans="1:11" ht="15.75" hidden="1" customHeight="1" x14ac:dyDescent="0.25">
      <c r="A719" s="159"/>
      <c r="C719" s="160"/>
      <c r="E719" s="159"/>
      <c r="F719" s="159"/>
      <c r="G719" s="159"/>
      <c r="H719" s="161"/>
      <c r="I719" s="161"/>
      <c r="J719" s="159"/>
      <c r="K719" s="153"/>
    </row>
    <row r="720" spans="1:11" ht="15.75" hidden="1" customHeight="1" x14ac:dyDescent="0.25">
      <c r="A720" s="159"/>
      <c r="C720" s="160"/>
      <c r="E720" s="159"/>
      <c r="F720" s="159"/>
      <c r="G720" s="159"/>
      <c r="H720" s="161"/>
      <c r="I720" s="161"/>
      <c r="J720" s="159"/>
      <c r="K720" s="153"/>
    </row>
    <row r="721" spans="1:11" ht="15.75" hidden="1" customHeight="1" x14ac:dyDescent="0.25">
      <c r="A721" s="159"/>
      <c r="C721" s="160"/>
      <c r="E721" s="159"/>
      <c r="F721" s="159"/>
      <c r="G721" s="159"/>
      <c r="H721" s="161"/>
      <c r="I721" s="161"/>
      <c r="J721" s="159"/>
      <c r="K721" s="153"/>
    </row>
    <row r="722" spans="1:11" ht="15.75" hidden="1" customHeight="1" x14ac:dyDescent="0.25">
      <c r="A722" s="159"/>
      <c r="C722" s="160"/>
      <c r="E722" s="159"/>
      <c r="F722" s="159"/>
      <c r="G722" s="159"/>
      <c r="H722" s="161"/>
      <c r="I722" s="161"/>
      <c r="J722" s="159"/>
      <c r="K722" s="153"/>
    </row>
    <row r="723" spans="1:11" ht="15.75" hidden="1" customHeight="1" x14ac:dyDescent="0.25">
      <c r="A723" s="159"/>
      <c r="C723" s="160"/>
      <c r="E723" s="159"/>
      <c r="F723" s="159"/>
      <c r="G723" s="159"/>
      <c r="H723" s="161"/>
      <c r="I723" s="161"/>
      <c r="J723" s="159"/>
      <c r="K723" s="153"/>
    </row>
    <row r="724" spans="1:11" ht="15.75" hidden="1" customHeight="1" x14ac:dyDescent="0.25">
      <c r="A724" s="159"/>
      <c r="C724" s="160"/>
      <c r="E724" s="159"/>
      <c r="F724" s="159"/>
      <c r="G724" s="159"/>
      <c r="H724" s="161"/>
      <c r="I724" s="161"/>
      <c r="J724" s="159"/>
      <c r="K724" s="153"/>
    </row>
    <row r="725" spans="1:11" ht="15.75" hidden="1" customHeight="1" x14ac:dyDescent="0.25">
      <c r="A725" s="159"/>
      <c r="C725" s="160"/>
      <c r="E725" s="159"/>
      <c r="F725" s="159"/>
      <c r="G725" s="159"/>
      <c r="H725" s="161"/>
      <c r="I725" s="161"/>
      <c r="J725" s="159"/>
      <c r="K725" s="153"/>
    </row>
    <row r="726" spans="1:11" ht="15.75" hidden="1" customHeight="1" x14ac:dyDescent="0.25">
      <c r="A726" s="159"/>
      <c r="C726" s="160"/>
      <c r="E726" s="159"/>
      <c r="F726" s="159"/>
      <c r="G726" s="159"/>
      <c r="H726" s="161"/>
      <c r="I726" s="161"/>
      <c r="J726" s="159"/>
      <c r="K726" s="153"/>
    </row>
    <row r="727" spans="1:11" ht="15.75" hidden="1" customHeight="1" x14ac:dyDescent="0.25">
      <c r="A727" s="159"/>
      <c r="C727" s="160"/>
      <c r="E727" s="159"/>
      <c r="F727" s="159"/>
      <c r="G727" s="159"/>
      <c r="H727" s="161"/>
      <c r="I727" s="161"/>
      <c r="J727" s="159"/>
      <c r="K727" s="153"/>
    </row>
    <row r="728" spans="1:11" ht="15.75" hidden="1" customHeight="1" x14ac:dyDescent="0.25">
      <c r="A728" s="159"/>
      <c r="C728" s="160"/>
      <c r="E728" s="159"/>
      <c r="F728" s="159"/>
      <c r="G728" s="159"/>
      <c r="H728" s="161"/>
      <c r="I728" s="161"/>
      <c r="J728" s="159"/>
      <c r="K728" s="153"/>
    </row>
    <row r="729" spans="1:11" ht="15.75" hidden="1" customHeight="1" x14ac:dyDescent="0.25">
      <c r="A729" s="159"/>
      <c r="C729" s="160"/>
      <c r="E729" s="159"/>
      <c r="F729" s="159"/>
      <c r="G729" s="159"/>
      <c r="H729" s="161"/>
      <c r="I729" s="161"/>
      <c r="J729" s="159"/>
      <c r="K729" s="153"/>
    </row>
    <row r="730" spans="1:11" ht="15.75" hidden="1" customHeight="1" x14ac:dyDescent="0.25">
      <c r="A730" s="159"/>
      <c r="C730" s="160"/>
      <c r="E730" s="159"/>
      <c r="F730" s="159"/>
      <c r="G730" s="159"/>
      <c r="H730" s="161"/>
      <c r="I730" s="161"/>
      <c r="J730" s="159"/>
      <c r="K730" s="153"/>
    </row>
    <row r="731" spans="1:11" ht="15.75" hidden="1" customHeight="1" x14ac:dyDescent="0.25">
      <c r="A731" s="159"/>
      <c r="C731" s="160"/>
      <c r="E731" s="159"/>
      <c r="F731" s="159"/>
      <c r="G731" s="159"/>
      <c r="H731" s="161"/>
      <c r="I731" s="161"/>
      <c r="J731" s="159"/>
      <c r="K731" s="153"/>
    </row>
    <row r="732" spans="1:11" ht="15.75" hidden="1" customHeight="1" x14ac:dyDescent="0.25">
      <c r="A732" s="159"/>
      <c r="C732" s="160"/>
      <c r="E732" s="159"/>
      <c r="F732" s="159"/>
      <c r="G732" s="159"/>
      <c r="H732" s="161"/>
      <c r="I732" s="161"/>
      <c r="J732" s="159"/>
      <c r="K732" s="153"/>
    </row>
    <row r="733" spans="1:11" ht="15.75" hidden="1" customHeight="1" x14ac:dyDescent="0.25">
      <c r="A733" s="159"/>
      <c r="C733" s="160"/>
      <c r="E733" s="159"/>
      <c r="F733" s="159"/>
      <c r="G733" s="159"/>
      <c r="H733" s="161"/>
      <c r="I733" s="161"/>
      <c r="J733" s="159"/>
      <c r="K733" s="153"/>
    </row>
    <row r="734" spans="1:11" ht="15.75" hidden="1" customHeight="1" x14ac:dyDescent="0.25">
      <c r="A734" s="159"/>
      <c r="C734" s="160"/>
      <c r="E734" s="159"/>
      <c r="F734" s="159"/>
      <c r="G734" s="159"/>
      <c r="H734" s="161"/>
      <c r="I734" s="161"/>
      <c r="J734" s="159"/>
      <c r="K734" s="153"/>
    </row>
    <row r="735" spans="1:11" ht="15.75" hidden="1" customHeight="1" x14ac:dyDescent="0.25">
      <c r="A735" s="159"/>
      <c r="C735" s="160"/>
      <c r="E735" s="159"/>
      <c r="F735" s="159"/>
      <c r="G735" s="159"/>
      <c r="H735" s="161"/>
      <c r="I735" s="161"/>
      <c r="J735" s="159"/>
      <c r="K735" s="153"/>
    </row>
    <row r="736" spans="1:11" ht="15.75" hidden="1" customHeight="1" x14ac:dyDescent="0.25">
      <c r="A736" s="159"/>
      <c r="C736" s="160"/>
      <c r="E736" s="159"/>
      <c r="F736" s="159"/>
      <c r="G736" s="159"/>
      <c r="H736" s="161"/>
      <c r="I736" s="161"/>
      <c r="J736" s="159"/>
      <c r="K736" s="153"/>
    </row>
    <row r="737" spans="1:11" ht="15.75" hidden="1" customHeight="1" x14ac:dyDescent="0.25">
      <c r="A737" s="159"/>
      <c r="C737" s="160"/>
      <c r="E737" s="159"/>
      <c r="F737" s="159"/>
      <c r="G737" s="159"/>
      <c r="H737" s="161"/>
      <c r="I737" s="161"/>
      <c r="J737" s="159"/>
      <c r="K737" s="153"/>
    </row>
    <row r="738" spans="1:11" ht="15.75" hidden="1" customHeight="1" x14ac:dyDescent="0.25">
      <c r="A738" s="159"/>
      <c r="C738" s="160"/>
      <c r="E738" s="159"/>
      <c r="F738" s="159"/>
      <c r="G738" s="159"/>
      <c r="H738" s="161"/>
      <c r="I738" s="161"/>
      <c r="J738" s="159"/>
      <c r="K738" s="153"/>
    </row>
    <row r="739" spans="1:11" ht="15.75" hidden="1" customHeight="1" x14ac:dyDescent="0.25">
      <c r="A739" s="159"/>
      <c r="C739" s="160"/>
      <c r="E739" s="159"/>
      <c r="F739" s="159"/>
      <c r="G739" s="159"/>
      <c r="H739" s="161"/>
      <c r="I739" s="161"/>
      <c r="J739" s="159"/>
      <c r="K739" s="153"/>
    </row>
    <row r="740" spans="1:11" ht="15.75" hidden="1" customHeight="1" x14ac:dyDescent="0.25">
      <c r="A740" s="159"/>
      <c r="C740" s="160"/>
      <c r="E740" s="159"/>
      <c r="F740" s="159"/>
      <c r="G740" s="159"/>
      <c r="H740" s="161"/>
      <c r="I740" s="161"/>
      <c r="J740" s="159"/>
      <c r="K740" s="153"/>
    </row>
    <row r="741" spans="1:11" ht="15.75" hidden="1" customHeight="1" x14ac:dyDescent="0.25">
      <c r="A741" s="159"/>
      <c r="C741" s="160"/>
      <c r="E741" s="159"/>
      <c r="F741" s="159"/>
      <c r="G741" s="159"/>
      <c r="H741" s="161"/>
      <c r="I741" s="161"/>
      <c r="J741" s="159"/>
      <c r="K741" s="153"/>
    </row>
    <row r="742" spans="1:11" ht="15.75" hidden="1" customHeight="1" x14ac:dyDescent="0.25">
      <c r="A742" s="159"/>
      <c r="C742" s="160"/>
      <c r="E742" s="159"/>
      <c r="F742" s="159"/>
      <c r="G742" s="159"/>
      <c r="H742" s="161"/>
      <c r="I742" s="161"/>
      <c r="J742" s="159"/>
      <c r="K742" s="153"/>
    </row>
    <row r="743" spans="1:11" ht="15.75" hidden="1" customHeight="1" x14ac:dyDescent="0.25">
      <c r="A743" s="159"/>
      <c r="C743" s="160"/>
      <c r="E743" s="159"/>
      <c r="F743" s="159"/>
      <c r="G743" s="159"/>
      <c r="H743" s="161"/>
      <c r="I743" s="161"/>
      <c r="J743" s="159"/>
      <c r="K743" s="153"/>
    </row>
    <row r="744" spans="1:11" ht="15.75" hidden="1" customHeight="1" x14ac:dyDescent="0.25">
      <c r="A744" s="159"/>
      <c r="C744" s="160"/>
      <c r="E744" s="159"/>
      <c r="F744" s="159"/>
      <c r="G744" s="159"/>
      <c r="H744" s="161"/>
      <c r="I744" s="161"/>
      <c r="J744" s="159"/>
      <c r="K744" s="153"/>
    </row>
    <row r="745" spans="1:11" ht="15.75" hidden="1" customHeight="1" x14ac:dyDescent="0.25">
      <c r="A745" s="159"/>
      <c r="C745" s="160"/>
      <c r="E745" s="159"/>
      <c r="F745" s="159"/>
      <c r="G745" s="159"/>
      <c r="H745" s="161"/>
      <c r="I745" s="161"/>
      <c r="J745" s="159"/>
      <c r="K745" s="153"/>
    </row>
    <row r="746" spans="1:11" ht="15.75" hidden="1" customHeight="1" x14ac:dyDescent="0.25">
      <c r="A746" s="159"/>
      <c r="C746" s="160"/>
      <c r="E746" s="159"/>
      <c r="F746" s="159"/>
      <c r="G746" s="159"/>
      <c r="H746" s="161"/>
      <c r="I746" s="161"/>
      <c r="J746" s="159"/>
      <c r="K746" s="153"/>
    </row>
    <row r="747" spans="1:11" ht="15.75" hidden="1" customHeight="1" x14ac:dyDescent="0.25">
      <c r="A747" s="159"/>
      <c r="C747" s="160"/>
      <c r="E747" s="159"/>
      <c r="F747" s="159"/>
      <c r="G747" s="159"/>
      <c r="H747" s="161"/>
      <c r="I747" s="161"/>
      <c r="J747" s="159"/>
      <c r="K747" s="153"/>
    </row>
    <row r="748" spans="1:11" ht="15.75" hidden="1" customHeight="1" x14ac:dyDescent="0.25">
      <c r="A748" s="159"/>
      <c r="C748" s="160"/>
      <c r="E748" s="159"/>
      <c r="F748" s="159"/>
      <c r="G748" s="159"/>
      <c r="H748" s="161"/>
      <c r="I748" s="161"/>
      <c r="J748" s="159"/>
      <c r="K748" s="153"/>
    </row>
    <row r="749" spans="1:11" ht="15.75" hidden="1" customHeight="1" x14ac:dyDescent="0.25">
      <c r="A749" s="159"/>
      <c r="C749" s="160"/>
      <c r="E749" s="159"/>
      <c r="F749" s="159"/>
      <c r="G749" s="159"/>
      <c r="H749" s="161"/>
      <c r="I749" s="161"/>
      <c r="J749" s="159"/>
      <c r="K749" s="153"/>
    </row>
    <row r="750" spans="1:11" ht="15.75" hidden="1" customHeight="1" x14ac:dyDescent="0.25">
      <c r="A750" s="159"/>
      <c r="C750" s="160"/>
      <c r="E750" s="159"/>
      <c r="F750" s="159"/>
      <c r="G750" s="159"/>
      <c r="H750" s="161"/>
      <c r="I750" s="161"/>
      <c r="J750" s="159"/>
      <c r="K750" s="153"/>
    </row>
    <row r="751" spans="1:11" ht="15.75" hidden="1" customHeight="1" x14ac:dyDescent="0.25">
      <c r="A751" s="159"/>
      <c r="C751" s="160"/>
      <c r="E751" s="159"/>
      <c r="F751" s="159"/>
      <c r="G751" s="159"/>
      <c r="H751" s="161"/>
      <c r="I751" s="161"/>
      <c r="J751" s="159"/>
      <c r="K751" s="153"/>
    </row>
    <row r="752" spans="1:11" ht="15.75" hidden="1" customHeight="1" x14ac:dyDescent="0.25">
      <c r="A752" s="159"/>
      <c r="C752" s="160"/>
      <c r="E752" s="159"/>
      <c r="F752" s="159"/>
      <c r="G752" s="159"/>
      <c r="H752" s="161"/>
      <c r="I752" s="161"/>
      <c r="J752" s="159"/>
      <c r="K752" s="153"/>
    </row>
    <row r="753" spans="1:11" ht="15.75" hidden="1" customHeight="1" x14ac:dyDescent="0.25">
      <c r="A753" s="159"/>
      <c r="C753" s="160"/>
      <c r="E753" s="159"/>
      <c r="F753" s="159"/>
      <c r="G753" s="159"/>
      <c r="H753" s="161"/>
      <c r="I753" s="161"/>
      <c r="J753" s="159"/>
      <c r="K753" s="153"/>
    </row>
    <row r="754" spans="1:11" ht="15.75" hidden="1" customHeight="1" x14ac:dyDescent="0.25">
      <c r="A754" s="159"/>
      <c r="C754" s="160"/>
      <c r="E754" s="159"/>
      <c r="F754" s="159"/>
      <c r="G754" s="159"/>
      <c r="H754" s="161"/>
      <c r="I754" s="161"/>
      <c r="J754" s="159"/>
      <c r="K754" s="153"/>
    </row>
    <row r="755" spans="1:11" ht="15.75" hidden="1" customHeight="1" x14ac:dyDescent="0.25">
      <c r="A755" s="159"/>
      <c r="C755" s="160"/>
      <c r="E755" s="159"/>
      <c r="F755" s="159"/>
      <c r="G755" s="159"/>
      <c r="H755" s="161"/>
      <c r="I755" s="161"/>
      <c r="J755" s="159"/>
      <c r="K755" s="153"/>
    </row>
    <row r="756" spans="1:11" ht="15.75" hidden="1" customHeight="1" x14ac:dyDescent="0.25">
      <c r="A756" s="159"/>
      <c r="C756" s="160"/>
      <c r="E756" s="159"/>
      <c r="F756" s="159"/>
      <c r="G756" s="159"/>
      <c r="H756" s="161"/>
      <c r="I756" s="161"/>
      <c r="J756" s="159"/>
      <c r="K756" s="153"/>
    </row>
    <row r="757" spans="1:11" ht="15.75" hidden="1" customHeight="1" x14ac:dyDescent="0.25">
      <c r="A757" s="159"/>
      <c r="C757" s="160"/>
      <c r="E757" s="159"/>
      <c r="F757" s="159"/>
      <c r="G757" s="159"/>
      <c r="H757" s="161"/>
      <c r="I757" s="161"/>
      <c r="J757" s="159"/>
      <c r="K757" s="153"/>
    </row>
    <row r="758" spans="1:11" ht="15.75" hidden="1" customHeight="1" x14ac:dyDescent="0.25">
      <c r="A758" s="159"/>
      <c r="C758" s="160"/>
      <c r="E758" s="159"/>
      <c r="F758" s="159"/>
      <c r="G758" s="159"/>
      <c r="H758" s="161"/>
      <c r="I758" s="161"/>
      <c r="J758" s="159"/>
      <c r="K758" s="153"/>
    </row>
    <row r="759" spans="1:11" ht="15.75" hidden="1" customHeight="1" x14ac:dyDescent="0.25">
      <c r="A759" s="159"/>
      <c r="C759" s="160"/>
      <c r="E759" s="159"/>
      <c r="F759" s="159"/>
      <c r="G759" s="159"/>
      <c r="H759" s="161"/>
      <c r="I759" s="161"/>
      <c r="J759" s="159"/>
      <c r="K759" s="153"/>
    </row>
    <row r="760" spans="1:11" ht="15.75" hidden="1" customHeight="1" x14ac:dyDescent="0.25">
      <c r="A760" s="159"/>
      <c r="C760" s="160"/>
      <c r="E760" s="159"/>
      <c r="F760" s="159"/>
      <c r="G760" s="159"/>
      <c r="H760" s="161"/>
      <c r="I760" s="161"/>
      <c r="J760" s="159"/>
      <c r="K760" s="153"/>
    </row>
    <row r="761" spans="1:11" ht="15.75" hidden="1" customHeight="1" x14ac:dyDescent="0.25">
      <c r="A761" s="159"/>
      <c r="C761" s="160"/>
      <c r="E761" s="159"/>
      <c r="F761" s="159"/>
      <c r="G761" s="159"/>
      <c r="H761" s="161"/>
      <c r="I761" s="161"/>
      <c r="J761" s="159"/>
      <c r="K761" s="153"/>
    </row>
    <row r="762" spans="1:11" ht="15.75" hidden="1" customHeight="1" x14ac:dyDescent="0.25">
      <c r="A762" s="159"/>
      <c r="C762" s="160"/>
      <c r="E762" s="159"/>
      <c r="F762" s="159"/>
      <c r="G762" s="159"/>
      <c r="H762" s="161"/>
      <c r="I762" s="161"/>
      <c r="J762" s="159"/>
      <c r="K762" s="153"/>
    </row>
    <row r="763" spans="1:11" ht="15.75" hidden="1" customHeight="1" x14ac:dyDescent="0.25">
      <c r="A763" s="159"/>
      <c r="C763" s="160"/>
      <c r="E763" s="159"/>
      <c r="F763" s="159"/>
      <c r="G763" s="159"/>
      <c r="H763" s="161"/>
      <c r="I763" s="161"/>
      <c r="J763" s="159"/>
      <c r="K763" s="153"/>
    </row>
    <row r="764" spans="1:11" ht="15.75" hidden="1" customHeight="1" x14ac:dyDescent="0.25">
      <c r="A764" s="159"/>
      <c r="C764" s="160"/>
      <c r="E764" s="159"/>
      <c r="F764" s="159"/>
      <c r="G764" s="159"/>
      <c r="H764" s="161"/>
      <c r="I764" s="161"/>
      <c r="J764" s="159"/>
      <c r="K764" s="153"/>
    </row>
    <row r="765" spans="1:11" ht="15.75" hidden="1" customHeight="1" x14ac:dyDescent="0.25">
      <c r="A765" s="159"/>
      <c r="C765" s="160"/>
      <c r="E765" s="159"/>
      <c r="F765" s="159"/>
      <c r="G765" s="159"/>
      <c r="H765" s="161"/>
      <c r="I765" s="161"/>
      <c r="J765" s="159"/>
      <c r="K765" s="153"/>
    </row>
    <row r="766" spans="1:11" ht="15.75" hidden="1" customHeight="1" x14ac:dyDescent="0.25">
      <c r="A766" s="159"/>
      <c r="C766" s="160"/>
      <c r="E766" s="159"/>
      <c r="F766" s="159"/>
      <c r="G766" s="159"/>
      <c r="H766" s="161"/>
      <c r="I766" s="161"/>
      <c r="J766" s="159"/>
      <c r="K766" s="153"/>
    </row>
    <row r="767" spans="1:11" ht="15.75" hidden="1" customHeight="1" x14ac:dyDescent="0.25">
      <c r="A767" s="159"/>
      <c r="C767" s="160"/>
      <c r="E767" s="159"/>
      <c r="F767" s="159"/>
      <c r="G767" s="159"/>
      <c r="H767" s="161"/>
      <c r="I767" s="161"/>
      <c r="J767" s="159"/>
      <c r="K767" s="153"/>
    </row>
    <row r="768" spans="1:11" ht="15.75" hidden="1" customHeight="1" x14ac:dyDescent="0.25">
      <c r="A768" s="159"/>
      <c r="C768" s="160"/>
      <c r="E768" s="159"/>
      <c r="F768" s="159"/>
      <c r="G768" s="159"/>
      <c r="H768" s="161"/>
      <c r="I768" s="161"/>
      <c r="J768" s="159"/>
      <c r="K768" s="153"/>
    </row>
    <row r="769" spans="1:11" ht="15.75" hidden="1" customHeight="1" x14ac:dyDescent="0.25">
      <c r="A769" s="159"/>
      <c r="C769" s="160"/>
      <c r="E769" s="159"/>
      <c r="F769" s="159"/>
      <c r="G769" s="159"/>
      <c r="H769" s="161"/>
      <c r="I769" s="161"/>
      <c r="J769" s="159"/>
      <c r="K769" s="153"/>
    </row>
    <row r="770" spans="1:11" ht="15.75" hidden="1" customHeight="1" x14ac:dyDescent="0.25">
      <c r="A770" s="159"/>
      <c r="C770" s="160"/>
      <c r="E770" s="159"/>
      <c r="F770" s="159"/>
      <c r="G770" s="159"/>
      <c r="H770" s="161"/>
      <c r="I770" s="161"/>
      <c r="J770" s="159"/>
      <c r="K770" s="153"/>
    </row>
    <row r="771" spans="1:11" ht="15.75" hidden="1" customHeight="1" x14ac:dyDescent="0.25">
      <c r="A771" s="159"/>
      <c r="C771" s="160"/>
      <c r="E771" s="159"/>
      <c r="F771" s="159"/>
      <c r="G771" s="159"/>
      <c r="H771" s="161"/>
      <c r="I771" s="161"/>
      <c r="J771" s="159"/>
      <c r="K771" s="153"/>
    </row>
    <row r="772" spans="1:11" ht="15.75" hidden="1" customHeight="1" x14ac:dyDescent="0.25">
      <c r="A772" s="159"/>
      <c r="C772" s="160"/>
      <c r="E772" s="159"/>
      <c r="F772" s="159"/>
      <c r="G772" s="159"/>
      <c r="H772" s="161"/>
      <c r="I772" s="161"/>
      <c r="J772" s="159"/>
      <c r="K772" s="153"/>
    </row>
    <row r="773" spans="1:11" ht="15.75" hidden="1" customHeight="1" x14ac:dyDescent="0.25">
      <c r="A773" s="159"/>
      <c r="C773" s="160"/>
      <c r="E773" s="159"/>
      <c r="F773" s="159"/>
      <c r="G773" s="159"/>
      <c r="H773" s="161"/>
      <c r="I773" s="161"/>
      <c r="J773" s="159"/>
      <c r="K773" s="153"/>
    </row>
    <row r="774" spans="1:11" ht="15.75" hidden="1" customHeight="1" x14ac:dyDescent="0.25">
      <c r="A774" s="159"/>
      <c r="C774" s="160"/>
      <c r="E774" s="159"/>
      <c r="F774" s="159"/>
      <c r="G774" s="159"/>
      <c r="H774" s="161"/>
      <c r="I774" s="161"/>
      <c r="J774" s="159"/>
      <c r="K774" s="153"/>
    </row>
    <row r="775" spans="1:11" ht="15.75" hidden="1" customHeight="1" x14ac:dyDescent="0.25">
      <c r="A775" s="159"/>
      <c r="C775" s="160"/>
      <c r="E775" s="159"/>
      <c r="F775" s="159"/>
      <c r="G775" s="159"/>
      <c r="H775" s="161"/>
      <c r="I775" s="161"/>
      <c r="J775" s="159"/>
      <c r="K775" s="153"/>
    </row>
    <row r="776" spans="1:11" ht="15.75" hidden="1" customHeight="1" x14ac:dyDescent="0.25">
      <c r="A776" s="159"/>
      <c r="C776" s="160"/>
      <c r="E776" s="159"/>
      <c r="F776" s="159"/>
      <c r="G776" s="159"/>
      <c r="H776" s="161"/>
      <c r="I776" s="161"/>
      <c r="J776" s="159"/>
      <c r="K776" s="153"/>
    </row>
    <row r="777" spans="1:11" ht="15.75" hidden="1" customHeight="1" x14ac:dyDescent="0.25">
      <c r="A777" s="159"/>
      <c r="C777" s="160"/>
      <c r="E777" s="159"/>
      <c r="F777" s="159"/>
      <c r="G777" s="159"/>
      <c r="H777" s="161"/>
      <c r="I777" s="161"/>
      <c r="J777" s="159"/>
      <c r="K777" s="153"/>
    </row>
    <row r="778" spans="1:11" ht="15.75" hidden="1" customHeight="1" x14ac:dyDescent="0.25">
      <c r="A778" s="159"/>
      <c r="C778" s="160"/>
      <c r="E778" s="159"/>
      <c r="F778" s="159"/>
      <c r="G778" s="159"/>
      <c r="H778" s="161"/>
      <c r="I778" s="161"/>
      <c r="J778" s="159"/>
      <c r="K778" s="153"/>
    </row>
    <row r="779" spans="1:11" ht="15.75" hidden="1" customHeight="1" x14ac:dyDescent="0.25">
      <c r="A779" s="159"/>
      <c r="C779" s="160"/>
      <c r="E779" s="159"/>
      <c r="F779" s="159"/>
      <c r="G779" s="159"/>
      <c r="H779" s="161"/>
      <c r="I779" s="161"/>
      <c r="J779" s="159"/>
      <c r="K779" s="153"/>
    </row>
    <row r="780" spans="1:11" ht="15.75" hidden="1" customHeight="1" x14ac:dyDescent="0.25">
      <c r="A780" s="159"/>
      <c r="C780" s="160"/>
      <c r="E780" s="159"/>
      <c r="F780" s="159"/>
      <c r="G780" s="159"/>
      <c r="H780" s="161"/>
      <c r="I780" s="161"/>
      <c r="J780" s="159"/>
      <c r="K780" s="153"/>
    </row>
    <row r="781" spans="1:11" ht="15.75" hidden="1" customHeight="1" x14ac:dyDescent="0.25">
      <c r="A781" s="159"/>
      <c r="C781" s="160"/>
      <c r="E781" s="159"/>
      <c r="F781" s="159"/>
      <c r="G781" s="159"/>
      <c r="H781" s="161"/>
      <c r="I781" s="161"/>
      <c r="J781" s="159"/>
      <c r="K781" s="153"/>
    </row>
    <row r="782" spans="1:11" ht="15.75" hidden="1" customHeight="1" x14ac:dyDescent="0.25">
      <c r="A782" s="159"/>
      <c r="C782" s="160"/>
      <c r="E782" s="159"/>
      <c r="F782" s="159"/>
      <c r="G782" s="159"/>
      <c r="H782" s="161"/>
      <c r="I782" s="161"/>
      <c r="J782" s="159"/>
      <c r="K782" s="153"/>
    </row>
    <row r="783" spans="1:11" ht="15.75" hidden="1" customHeight="1" x14ac:dyDescent="0.25">
      <c r="A783" s="159"/>
      <c r="C783" s="160"/>
      <c r="E783" s="159"/>
      <c r="F783" s="159"/>
      <c r="G783" s="159"/>
      <c r="H783" s="161"/>
      <c r="I783" s="161"/>
      <c r="J783" s="159"/>
      <c r="K783" s="153"/>
    </row>
    <row r="784" spans="1:11" ht="15.75" hidden="1" customHeight="1" x14ac:dyDescent="0.25">
      <c r="A784" s="159"/>
      <c r="C784" s="160"/>
      <c r="E784" s="159"/>
      <c r="F784" s="159"/>
      <c r="G784" s="159"/>
      <c r="H784" s="161"/>
      <c r="I784" s="161"/>
      <c r="J784" s="159"/>
      <c r="K784" s="153"/>
    </row>
    <row r="785" spans="1:11" ht="15.75" hidden="1" customHeight="1" x14ac:dyDescent="0.25">
      <c r="A785" s="159"/>
      <c r="C785" s="160"/>
      <c r="E785" s="159"/>
      <c r="F785" s="159"/>
      <c r="G785" s="159"/>
      <c r="H785" s="161"/>
      <c r="I785" s="161"/>
      <c r="J785" s="159"/>
      <c r="K785" s="153"/>
    </row>
    <row r="786" spans="1:11" ht="15.75" hidden="1" customHeight="1" x14ac:dyDescent="0.25">
      <c r="A786" s="159"/>
      <c r="C786" s="160"/>
      <c r="E786" s="159"/>
      <c r="F786" s="159"/>
      <c r="G786" s="159"/>
      <c r="H786" s="161"/>
      <c r="I786" s="161"/>
      <c r="J786" s="159"/>
      <c r="K786" s="153"/>
    </row>
    <row r="787" spans="1:11" ht="15.75" hidden="1" customHeight="1" x14ac:dyDescent="0.25">
      <c r="A787" s="159"/>
      <c r="C787" s="160"/>
      <c r="E787" s="159"/>
      <c r="F787" s="159"/>
      <c r="G787" s="159"/>
      <c r="H787" s="161"/>
      <c r="I787" s="161"/>
      <c r="J787" s="159"/>
      <c r="K787" s="153"/>
    </row>
    <row r="788" spans="1:11" ht="15.75" hidden="1" customHeight="1" x14ac:dyDescent="0.25">
      <c r="A788" s="159"/>
      <c r="C788" s="160"/>
      <c r="E788" s="159"/>
      <c r="F788" s="159"/>
      <c r="G788" s="159"/>
      <c r="H788" s="161"/>
      <c r="I788" s="161"/>
      <c r="J788" s="159"/>
      <c r="K788" s="153"/>
    </row>
    <row r="789" spans="1:11" ht="15.75" hidden="1" customHeight="1" x14ac:dyDescent="0.25">
      <c r="A789" s="159"/>
      <c r="C789" s="160"/>
      <c r="E789" s="159"/>
      <c r="F789" s="159"/>
      <c r="G789" s="159"/>
      <c r="H789" s="161"/>
      <c r="I789" s="161"/>
      <c r="J789" s="159"/>
      <c r="K789" s="153"/>
    </row>
    <row r="790" spans="1:11" ht="15.75" hidden="1" customHeight="1" x14ac:dyDescent="0.25">
      <c r="A790" s="159"/>
      <c r="C790" s="160"/>
      <c r="E790" s="159"/>
      <c r="F790" s="159"/>
      <c r="G790" s="159"/>
      <c r="H790" s="161"/>
      <c r="I790" s="161"/>
      <c r="J790" s="159"/>
      <c r="K790" s="153"/>
    </row>
    <row r="791" spans="1:11" ht="15.75" hidden="1" customHeight="1" x14ac:dyDescent="0.25">
      <c r="A791" s="159"/>
      <c r="C791" s="160"/>
      <c r="E791" s="159"/>
      <c r="F791" s="159"/>
      <c r="G791" s="159"/>
      <c r="H791" s="161"/>
      <c r="I791" s="161"/>
      <c r="J791" s="159"/>
      <c r="K791" s="153"/>
    </row>
    <row r="792" spans="1:11" ht="15.75" hidden="1" customHeight="1" x14ac:dyDescent="0.25">
      <c r="A792" s="159"/>
      <c r="C792" s="160"/>
      <c r="E792" s="159"/>
      <c r="F792" s="159"/>
      <c r="G792" s="159"/>
      <c r="H792" s="161"/>
      <c r="I792" s="161"/>
      <c r="J792" s="159"/>
      <c r="K792" s="153"/>
    </row>
    <row r="793" spans="1:11" ht="15.75" hidden="1" customHeight="1" x14ac:dyDescent="0.25">
      <c r="A793" s="159"/>
      <c r="C793" s="160"/>
      <c r="E793" s="159"/>
      <c r="F793" s="159"/>
      <c r="G793" s="159"/>
      <c r="H793" s="161"/>
      <c r="I793" s="161"/>
      <c r="J793" s="159"/>
      <c r="K793" s="153"/>
    </row>
    <row r="794" spans="1:11" ht="15.75" hidden="1" customHeight="1" x14ac:dyDescent="0.25">
      <c r="A794" s="159"/>
      <c r="C794" s="160"/>
      <c r="E794" s="159"/>
      <c r="F794" s="159"/>
      <c r="G794" s="159"/>
      <c r="H794" s="161"/>
      <c r="I794" s="161"/>
      <c r="J794" s="159"/>
      <c r="K794" s="153"/>
    </row>
    <row r="795" spans="1:11" ht="15.75" hidden="1" customHeight="1" x14ac:dyDescent="0.25">
      <c r="A795" s="159"/>
      <c r="C795" s="160"/>
      <c r="E795" s="159"/>
      <c r="F795" s="159"/>
      <c r="G795" s="159"/>
      <c r="H795" s="161"/>
      <c r="I795" s="161"/>
      <c r="J795" s="159"/>
      <c r="K795" s="153"/>
    </row>
    <row r="796" spans="1:11" ht="15.75" hidden="1" customHeight="1" x14ac:dyDescent="0.25">
      <c r="A796" s="159"/>
      <c r="C796" s="160"/>
      <c r="E796" s="159"/>
      <c r="F796" s="159"/>
      <c r="G796" s="159"/>
      <c r="H796" s="161"/>
      <c r="I796" s="161"/>
      <c r="J796" s="159"/>
      <c r="K796" s="153"/>
    </row>
    <row r="797" spans="1:11" ht="15.75" hidden="1" customHeight="1" x14ac:dyDescent="0.25">
      <c r="A797" s="159"/>
      <c r="C797" s="160"/>
      <c r="E797" s="159"/>
      <c r="F797" s="159"/>
      <c r="G797" s="159"/>
      <c r="H797" s="161"/>
      <c r="I797" s="161"/>
      <c r="J797" s="159"/>
      <c r="K797" s="153"/>
    </row>
    <row r="798" spans="1:11" ht="15.75" hidden="1" customHeight="1" x14ac:dyDescent="0.25">
      <c r="A798" s="159"/>
      <c r="C798" s="160"/>
      <c r="E798" s="159"/>
      <c r="F798" s="159"/>
      <c r="G798" s="159"/>
      <c r="H798" s="161"/>
      <c r="I798" s="161"/>
      <c r="J798" s="159"/>
      <c r="K798" s="153"/>
    </row>
    <row r="799" spans="1:11" ht="15.75" hidden="1" customHeight="1" x14ac:dyDescent="0.25">
      <c r="A799" s="159"/>
      <c r="C799" s="160"/>
      <c r="E799" s="159"/>
      <c r="F799" s="159"/>
      <c r="G799" s="159"/>
      <c r="H799" s="161"/>
      <c r="I799" s="161"/>
      <c r="J799" s="159"/>
      <c r="K799" s="153"/>
    </row>
    <row r="800" spans="1:11" ht="15.75" hidden="1" customHeight="1" x14ac:dyDescent="0.25">
      <c r="A800" s="159"/>
      <c r="C800" s="160"/>
      <c r="E800" s="159"/>
      <c r="F800" s="159"/>
      <c r="G800" s="159"/>
      <c r="H800" s="161"/>
      <c r="I800" s="161"/>
      <c r="J800" s="159"/>
      <c r="K800" s="153"/>
    </row>
    <row r="801" spans="1:11" ht="15.75" hidden="1" customHeight="1" x14ac:dyDescent="0.25">
      <c r="A801" s="159"/>
      <c r="C801" s="160"/>
      <c r="E801" s="159"/>
      <c r="F801" s="159"/>
      <c r="G801" s="159"/>
      <c r="H801" s="161"/>
      <c r="I801" s="161"/>
      <c r="J801" s="159"/>
      <c r="K801" s="153"/>
    </row>
    <row r="802" spans="1:11" ht="15.75" hidden="1" customHeight="1" x14ac:dyDescent="0.25">
      <c r="A802" s="159"/>
      <c r="C802" s="160"/>
      <c r="E802" s="159"/>
      <c r="F802" s="159"/>
      <c r="G802" s="159"/>
      <c r="H802" s="161"/>
      <c r="I802" s="161"/>
      <c r="J802" s="159"/>
      <c r="K802" s="153"/>
    </row>
    <row r="803" spans="1:11" ht="15.75" hidden="1" customHeight="1" x14ac:dyDescent="0.25">
      <c r="A803" s="159"/>
      <c r="C803" s="160"/>
      <c r="E803" s="159"/>
      <c r="F803" s="159"/>
      <c r="G803" s="159"/>
      <c r="H803" s="161"/>
      <c r="I803" s="161"/>
      <c r="J803" s="159"/>
      <c r="K803" s="153"/>
    </row>
    <row r="804" spans="1:11" ht="15.75" hidden="1" customHeight="1" x14ac:dyDescent="0.25">
      <c r="A804" s="159"/>
      <c r="C804" s="160"/>
      <c r="E804" s="159"/>
      <c r="F804" s="159"/>
      <c r="G804" s="159"/>
      <c r="H804" s="161"/>
      <c r="I804" s="161"/>
      <c r="J804" s="159"/>
      <c r="K804" s="153"/>
    </row>
    <row r="805" spans="1:11" ht="15.75" hidden="1" customHeight="1" x14ac:dyDescent="0.25">
      <c r="A805" s="159"/>
      <c r="C805" s="160"/>
      <c r="E805" s="159"/>
      <c r="F805" s="159"/>
      <c r="G805" s="159"/>
      <c r="H805" s="161"/>
      <c r="I805" s="161"/>
      <c r="J805" s="159"/>
      <c r="K805" s="153"/>
    </row>
    <row r="806" spans="1:11" ht="15.75" hidden="1" customHeight="1" x14ac:dyDescent="0.25">
      <c r="A806" s="159"/>
      <c r="C806" s="160"/>
      <c r="E806" s="159"/>
      <c r="F806" s="159"/>
      <c r="G806" s="159"/>
      <c r="H806" s="161"/>
      <c r="I806" s="161"/>
      <c r="J806" s="159"/>
      <c r="K806" s="153"/>
    </row>
    <row r="807" spans="1:11" ht="15.75" hidden="1" customHeight="1" x14ac:dyDescent="0.25">
      <c r="A807" s="159"/>
      <c r="C807" s="160"/>
      <c r="E807" s="159"/>
      <c r="F807" s="159"/>
      <c r="G807" s="159"/>
      <c r="H807" s="161"/>
      <c r="I807" s="161"/>
      <c r="J807" s="159"/>
      <c r="K807" s="153"/>
    </row>
    <row r="808" spans="1:11" ht="15.75" hidden="1" customHeight="1" x14ac:dyDescent="0.25">
      <c r="A808" s="159"/>
      <c r="C808" s="160"/>
      <c r="E808" s="159"/>
      <c r="F808" s="159"/>
      <c r="G808" s="159"/>
      <c r="H808" s="161"/>
      <c r="I808" s="161"/>
      <c r="J808" s="159"/>
      <c r="K808" s="153"/>
    </row>
    <row r="809" spans="1:11" ht="15.75" hidden="1" customHeight="1" x14ac:dyDescent="0.25">
      <c r="A809" s="159"/>
      <c r="C809" s="160"/>
      <c r="E809" s="159"/>
      <c r="F809" s="159"/>
      <c r="G809" s="159"/>
      <c r="H809" s="161"/>
      <c r="I809" s="161"/>
      <c r="J809" s="159"/>
      <c r="K809" s="153"/>
    </row>
    <row r="810" spans="1:11" ht="15.75" hidden="1" customHeight="1" x14ac:dyDescent="0.25">
      <c r="A810" s="159"/>
      <c r="C810" s="160"/>
      <c r="E810" s="159"/>
      <c r="F810" s="159"/>
      <c r="G810" s="159"/>
      <c r="H810" s="161"/>
      <c r="I810" s="161"/>
      <c r="J810" s="159"/>
      <c r="K810" s="153"/>
    </row>
    <row r="811" spans="1:11" ht="15.75" hidden="1" customHeight="1" x14ac:dyDescent="0.25">
      <c r="A811" s="159"/>
      <c r="C811" s="160"/>
      <c r="E811" s="159"/>
      <c r="F811" s="159"/>
      <c r="G811" s="159"/>
      <c r="H811" s="161"/>
      <c r="I811" s="161"/>
      <c r="J811" s="159"/>
      <c r="K811" s="153"/>
    </row>
    <row r="812" spans="1:11" ht="15.75" hidden="1" customHeight="1" x14ac:dyDescent="0.25">
      <c r="A812" s="159"/>
      <c r="C812" s="160"/>
      <c r="E812" s="159"/>
      <c r="F812" s="159"/>
      <c r="G812" s="159"/>
      <c r="H812" s="161"/>
      <c r="I812" s="161"/>
      <c r="J812" s="159"/>
      <c r="K812" s="153"/>
    </row>
    <row r="813" spans="1:11" ht="15.75" hidden="1" customHeight="1" x14ac:dyDescent="0.25">
      <c r="A813" s="159"/>
      <c r="C813" s="160"/>
      <c r="E813" s="159"/>
      <c r="F813" s="159"/>
      <c r="G813" s="159"/>
      <c r="H813" s="161"/>
      <c r="I813" s="161"/>
      <c r="J813" s="159"/>
      <c r="K813" s="153"/>
    </row>
    <row r="814" spans="1:11" ht="15.75" hidden="1" customHeight="1" x14ac:dyDescent="0.25">
      <c r="A814" s="159"/>
      <c r="C814" s="160"/>
      <c r="E814" s="159"/>
      <c r="F814" s="159"/>
      <c r="G814" s="159"/>
      <c r="H814" s="161"/>
      <c r="I814" s="161"/>
      <c r="J814" s="159"/>
      <c r="K814" s="153"/>
    </row>
    <row r="815" spans="1:11" ht="15.75" hidden="1" customHeight="1" x14ac:dyDescent="0.25">
      <c r="A815" s="159"/>
      <c r="C815" s="160"/>
      <c r="E815" s="159"/>
      <c r="F815" s="159"/>
      <c r="G815" s="159"/>
      <c r="H815" s="161"/>
      <c r="I815" s="161"/>
      <c r="J815" s="159"/>
      <c r="K815" s="153"/>
    </row>
    <row r="816" spans="1:11" ht="15.75" hidden="1" customHeight="1" x14ac:dyDescent="0.25">
      <c r="A816" s="159"/>
      <c r="C816" s="160"/>
      <c r="E816" s="159"/>
      <c r="F816" s="159"/>
      <c r="G816" s="159"/>
      <c r="H816" s="161"/>
      <c r="I816" s="161"/>
      <c r="J816" s="159"/>
      <c r="K816" s="153"/>
    </row>
    <row r="817" spans="1:11" ht="15.75" hidden="1" customHeight="1" x14ac:dyDescent="0.25">
      <c r="A817" s="159"/>
      <c r="C817" s="160"/>
      <c r="E817" s="159"/>
      <c r="F817" s="159"/>
      <c r="G817" s="159"/>
      <c r="H817" s="161"/>
      <c r="I817" s="161"/>
      <c r="J817" s="159"/>
      <c r="K817" s="153"/>
    </row>
    <row r="818" spans="1:11" ht="15.75" hidden="1" customHeight="1" x14ac:dyDescent="0.25">
      <c r="A818" s="159"/>
      <c r="C818" s="160"/>
      <c r="E818" s="159"/>
      <c r="F818" s="159"/>
      <c r="G818" s="159"/>
      <c r="H818" s="161"/>
      <c r="I818" s="161"/>
      <c r="J818" s="159"/>
      <c r="K818" s="153"/>
    </row>
    <row r="819" spans="1:11" ht="15.75" hidden="1" customHeight="1" x14ac:dyDescent="0.25">
      <c r="A819" s="159"/>
      <c r="C819" s="160"/>
      <c r="E819" s="159"/>
      <c r="F819" s="159"/>
      <c r="G819" s="159"/>
      <c r="H819" s="161"/>
      <c r="I819" s="161"/>
      <c r="J819" s="159"/>
      <c r="K819" s="153"/>
    </row>
    <row r="820" spans="1:11" ht="15.75" hidden="1" customHeight="1" x14ac:dyDescent="0.25">
      <c r="A820" s="159"/>
      <c r="C820" s="160"/>
      <c r="E820" s="159"/>
      <c r="F820" s="159"/>
      <c r="G820" s="159"/>
      <c r="H820" s="161"/>
      <c r="I820" s="161"/>
      <c r="J820" s="159"/>
      <c r="K820" s="153"/>
    </row>
    <row r="821" spans="1:11" ht="15.75" hidden="1" customHeight="1" x14ac:dyDescent="0.25">
      <c r="A821" s="159"/>
      <c r="C821" s="160"/>
      <c r="E821" s="159"/>
      <c r="F821" s="159"/>
      <c r="G821" s="159"/>
      <c r="H821" s="161"/>
      <c r="I821" s="161"/>
      <c r="J821" s="159"/>
      <c r="K821" s="153"/>
    </row>
    <row r="822" spans="1:11" ht="15.75" hidden="1" customHeight="1" x14ac:dyDescent="0.25">
      <c r="A822" s="159"/>
      <c r="C822" s="160"/>
      <c r="E822" s="159"/>
      <c r="F822" s="159"/>
      <c r="G822" s="159"/>
      <c r="H822" s="161"/>
      <c r="I822" s="161"/>
      <c r="J822" s="159"/>
      <c r="K822" s="153"/>
    </row>
    <row r="823" spans="1:11" ht="15.75" hidden="1" customHeight="1" x14ac:dyDescent="0.25">
      <c r="A823" s="159"/>
      <c r="C823" s="160"/>
      <c r="E823" s="159"/>
      <c r="F823" s="159"/>
      <c r="G823" s="159"/>
      <c r="H823" s="161"/>
      <c r="I823" s="161"/>
      <c r="J823" s="159"/>
      <c r="K823" s="153"/>
    </row>
    <row r="824" spans="1:11" ht="15.75" hidden="1" customHeight="1" x14ac:dyDescent="0.25">
      <c r="A824" s="159"/>
      <c r="C824" s="160"/>
      <c r="E824" s="159"/>
      <c r="F824" s="159"/>
      <c r="G824" s="159"/>
      <c r="H824" s="161"/>
      <c r="I824" s="161"/>
      <c r="J824" s="159"/>
      <c r="K824" s="153"/>
    </row>
    <row r="825" spans="1:11" ht="15.75" hidden="1" customHeight="1" x14ac:dyDescent="0.25">
      <c r="A825" s="159"/>
      <c r="C825" s="160"/>
      <c r="E825" s="159"/>
      <c r="F825" s="159"/>
      <c r="G825" s="159"/>
      <c r="H825" s="161"/>
      <c r="I825" s="161"/>
      <c r="J825" s="159"/>
      <c r="K825" s="153"/>
    </row>
    <row r="826" spans="1:11" ht="15.75" hidden="1" customHeight="1" x14ac:dyDescent="0.25">
      <c r="A826" s="159"/>
      <c r="C826" s="160"/>
      <c r="E826" s="159"/>
      <c r="F826" s="159"/>
      <c r="G826" s="159"/>
      <c r="H826" s="161"/>
      <c r="I826" s="161"/>
      <c r="J826" s="159"/>
      <c r="K826" s="153"/>
    </row>
    <row r="827" spans="1:11" ht="15.75" hidden="1" customHeight="1" x14ac:dyDescent="0.25">
      <c r="A827" s="159"/>
      <c r="C827" s="160"/>
      <c r="E827" s="159"/>
      <c r="F827" s="159"/>
      <c r="G827" s="159"/>
      <c r="H827" s="161"/>
      <c r="I827" s="161"/>
      <c r="J827" s="159"/>
      <c r="K827" s="153"/>
    </row>
    <row r="828" spans="1:11" ht="15.75" hidden="1" customHeight="1" x14ac:dyDescent="0.25">
      <c r="A828" s="159"/>
      <c r="C828" s="160"/>
      <c r="E828" s="159"/>
      <c r="F828" s="159"/>
      <c r="G828" s="159"/>
      <c r="H828" s="161"/>
      <c r="I828" s="161"/>
      <c r="J828" s="159"/>
      <c r="K828" s="153"/>
    </row>
    <row r="829" spans="1:11" ht="15.75" hidden="1" customHeight="1" x14ac:dyDescent="0.25">
      <c r="A829" s="159"/>
      <c r="C829" s="160"/>
      <c r="E829" s="159"/>
      <c r="F829" s="159"/>
      <c r="G829" s="159"/>
      <c r="H829" s="161"/>
      <c r="I829" s="161"/>
      <c r="J829" s="159"/>
      <c r="K829" s="153"/>
    </row>
    <row r="830" spans="1:11" ht="15.75" hidden="1" customHeight="1" x14ac:dyDescent="0.25">
      <c r="A830" s="159"/>
      <c r="C830" s="160"/>
      <c r="E830" s="159"/>
      <c r="F830" s="159"/>
      <c r="G830" s="159"/>
      <c r="H830" s="161"/>
      <c r="I830" s="161"/>
      <c r="J830" s="159"/>
      <c r="K830" s="153"/>
    </row>
    <row r="831" spans="1:11" ht="15.75" hidden="1" customHeight="1" x14ac:dyDescent="0.25">
      <c r="A831" s="159"/>
      <c r="C831" s="160"/>
      <c r="E831" s="159"/>
      <c r="F831" s="159"/>
      <c r="G831" s="159"/>
      <c r="H831" s="161"/>
      <c r="I831" s="161"/>
      <c r="J831" s="159"/>
      <c r="K831" s="153"/>
    </row>
    <row r="832" spans="1:11" ht="15.75" hidden="1" customHeight="1" x14ac:dyDescent="0.25">
      <c r="A832" s="159"/>
      <c r="C832" s="160"/>
      <c r="E832" s="159"/>
      <c r="F832" s="159"/>
      <c r="G832" s="159"/>
      <c r="H832" s="161"/>
      <c r="I832" s="161"/>
      <c r="J832" s="159"/>
      <c r="K832" s="153"/>
    </row>
    <row r="833" spans="1:11" ht="15.75" hidden="1" customHeight="1" x14ac:dyDescent="0.25">
      <c r="A833" s="159"/>
      <c r="C833" s="160"/>
      <c r="E833" s="159"/>
      <c r="F833" s="159"/>
      <c r="G833" s="159"/>
      <c r="H833" s="161"/>
      <c r="I833" s="161"/>
      <c r="J833" s="159"/>
      <c r="K833" s="153"/>
    </row>
    <row r="834" spans="1:11" ht="15.75" hidden="1" customHeight="1" x14ac:dyDescent="0.25">
      <c r="A834" s="159"/>
      <c r="C834" s="160"/>
      <c r="E834" s="159"/>
      <c r="F834" s="159"/>
      <c r="G834" s="159"/>
      <c r="H834" s="161"/>
      <c r="I834" s="161"/>
      <c r="J834" s="159"/>
      <c r="K834" s="153"/>
    </row>
    <row r="835" spans="1:11" ht="15.75" hidden="1" customHeight="1" x14ac:dyDescent="0.25">
      <c r="A835" s="159"/>
      <c r="C835" s="160"/>
      <c r="E835" s="159"/>
      <c r="F835" s="159"/>
      <c r="G835" s="159"/>
      <c r="H835" s="161"/>
      <c r="I835" s="161"/>
      <c r="J835" s="159"/>
      <c r="K835" s="153"/>
    </row>
    <row r="836" spans="1:11" ht="15.75" hidden="1" customHeight="1" x14ac:dyDescent="0.25">
      <c r="A836" s="159"/>
      <c r="C836" s="160"/>
      <c r="E836" s="159"/>
      <c r="F836" s="159"/>
      <c r="G836" s="159"/>
      <c r="H836" s="161"/>
      <c r="I836" s="161"/>
      <c r="J836" s="159"/>
      <c r="K836" s="153"/>
    </row>
    <row r="837" spans="1:11" ht="15.75" hidden="1" customHeight="1" x14ac:dyDescent="0.25">
      <c r="A837" s="159"/>
      <c r="C837" s="160"/>
      <c r="E837" s="159"/>
      <c r="F837" s="159"/>
      <c r="G837" s="159"/>
      <c r="H837" s="161"/>
      <c r="I837" s="161"/>
      <c r="J837" s="159"/>
      <c r="K837" s="153"/>
    </row>
    <row r="838" spans="1:11" ht="15.75" hidden="1" customHeight="1" x14ac:dyDescent="0.25">
      <c r="A838" s="159"/>
      <c r="C838" s="160"/>
      <c r="E838" s="159"/>
      <c r="F838" s="159"/>
      <c r="G838" s="159"/>
      <c r="H838" s="161"/>
      <c r="I838" s="161"/>
      <c r="J838" s="159"/>
      <c r="K838" s="153"/>
    </row>
    <row r="839" spans="1:11" ht="15.75" hidden="1" customHeight="1" x14ac:dyDescent="0.25">
      <c r="A839" s="159"/>
      <c r="C839" s="160"/>
      <c r="E839" s="159"/>
      <c r="F839" s="159"/>
      <c r="G839" s="159"/>
      <c r="H839" s="161"/>
      <c r="I839" s="161"/>
      <c r="J839" s="159"/>
      <c r="K839" s="153"/>
    </row>
    <row r="840" spans="1:11" ht="15.75" hidden="1" customHeight="1" x14ac:dyDescent="0.25">
      <c r="A840" s="159"/>
      <c r="C840" s="160"/>
      <c r="E840" s="159"/>
      <c r="F840" s="159"/>
      <c r="G840" s="159"/>
      <c r="H840" s="161"/>
      <c r="I840" s="161"/>
      <c r="J840" s="159"/>
      <c r="K840" s="153"/>
    </row>
    <row r="841" spans="1:11" ht="15.75" hidden="1" customHeight="1" x14ac:dyDescent="0.25">
      <c r="A841" s="159"/>
      <c r="C841" s="160"/>
      <c r="E841" s="159"/>
      <c r="F841" s="159"/>
      <c r="G841" s="159"/>
      <c r="H841" s="161"/>
      <c r="I841" s="161"/>
      <c r="J841" s="159"/>
      <c r="K841" s="153"/>
    </row>
    <row r="842" spans="1:11" ht="15.75" hidden="1" customHeight="1" x14ac:dyDescent="0.25">
      <c r="A842" s="159"/>
      <c r="C842" s="160"/>
      <c r="E842" s="159"/>
      <c r="F842" s="159"/>
      <c r="G842" s="159"/>
      <c r="H842" s="161"/>
      <c r="I842" s="161"/>
      <c r="J842" s="159"/>
      <c r="K842" s="153"/>
    </row>
    <row r="843" spans="1:11" ht="15.75" hidden="1" customHeight="1" x14ac:dyDescent="0.25">
      <c r="A843" s="159"/>
      <c r="C843" s="160"/>
      <c r="E843" s="159"/>
      <c r="F843" s="159"/>
      <c r="G843" s="159"/>
      <c r="H843" s="161"/>
      <c r="I843" s="161"/>
      <c r="J843" s="159"/>
      <c r="K843" s="153"/>
    </row>
    <row r="844" spans="1:11" ht="15.75" hidden="1" customHeight="1" x14ac:dyDescent="0.25">
      <c r="A844" s="159"/>
      <c r="C844" s="160"/>
      <c r="E844" s="159"/>
      <c r="F844" s="159"/>
      <c r="G844" s="159"/>
      <c r="H844" s="161"/>
      <c r="I844" s="161"/>
      <c r="J844" s="159"/>
      <c r="K844" s="153"/>
    </row>
    <row r="845" spans="1:11" ht="15.75" hidden="1" customHeight="1" x14ac:dyDescent="0.25">
      <c r="A845" s="159"/>
      <c r="C845" s="160"/>
      <c r="E845" s="159"/>
      <c r="F845" s="159"/>
      <c r="G845" s="159"/>
      <c r="H845" s="161"/>
      <c r="I845" s="161"/>
      <c r="J845" s="159"/>
      <c r="K845" s="153"/>
    </row>
    <row r="846" spans="1:11" ht="15.75" hidden="1" customHeight="1" x14ac:dyDescent="0.25">
      <c r="A846" s="159"/>
      <c r="C846" s="160"/>
      <c r="E846" s="159"/>
      <c r="F846" s="159"/>
      <c r="G846" s="159"/>
      <c r="H846" s="161"/>
      <c r="I846" s="161"/>
      <c r="J846" s="159"/>
      <c r="K846" s="153"/>
    </row>
    <row r="847" spans="1:11" ht="15.75" hidden="1" customHeight="1" x14ac:dyDescent="0.25">
      <c r="A847" s="159"/>
      <c r="C847" s="160"/>
      <c r="E847" s="159"/>
      <c r="F847" s="159"/>
      <c r="G847" s="159"/>
      <c r="H847" s="161"/>
      <c r="I847" s="161"/>
      <c r="J847" s="159"/>
      <c r="K847" s="153"/>
    </row>
    <row r="848" spans="1:11" ht="15.75" hidden="1" customHeight="1" x14ac:dyDescent="0.25">
      <c r="A848" s="159"/>
      <c r="C848" s="160"/>
      <c r="E848" s="159"/>
      <c r="F848" s="159"/>
      <c r="G848" s="159"/>
      <c r="H848" s="161"/>
      <c r="I848" s="161"/>
      <c r="J848" s="159"/>
      <c r="K848" s="153"/>
    </row>
    <row r="849" spans="1:11" ht="15.75" hidden="1" customHeight="1" x14ac:dyDescent="0.25">
      <c r="A849" s="159"/>
      <c r="C849" s="160"/>
      <c r="E849" s="159"/>
      <c r="F849" s="159"/>
      <c r="G849" s="159"/>
      <c r="H849" s="161"/>
      <c r="I849" s="161"/>
      <c r="J849" s="159"/>
      <c r="K849" s="153"/>
    </row>
    <row r="850" spans="1:11" ht="15.75" hidden="1" customHeight="1" x14ac:dyDescent="0.25">
      <c r="A850" s="159"/>
      <c r="C850" s="160"/>
      <c r="E850" s="159"/>
      <c r="F850" s="159"/>
      <c r="G850" s="159"/>
      <c r="H850" s="161"/>
      <c r="I850" s="161"/>
      <c r="J850" s="159"/>
      <c r="K850" s="153"/>
    </row>
    <row r="851" spans="1:11" ht="15.75" hidden="1" customHeight="1" x14ac:dyDescent="0.25">
      <c r="A851" s="159"/>
      <c r="C851" s="160"/>
      <c r="E851" s="159"/>
      <c r="F851" s="159"/>
      <c r="G851" s="159"/>
      <c r="H851" s="161"/>
      <c r="I851" s="161"/>
      <c r="J851" s="159"/>
      <c r="K851" s="153"/>
    </row>
    <row r="852" spans="1:11" ht="15.75" hidden="1" customHeight="1" x14ac:dyDescent="0.25">
      <c r="A852" s="159"/>
      <c r="C852" s="160"/>
      <c r="E852" s="159"/>
      <c r="F852" s="159"/>
      <c r="G852" s="159"/>
      <c r="H852" s="161"/>
      <c r="I852" s="161"/>
      <c r="J852" s="159"/>
      <c r="K852" s="153"/>
    </row>
    <row r="853" spans="1:11" ht="15.75" hidden="1" customHeight="1" x14ac:dyDescent="0.25">
      <c r="A853" s="159"/>
      <c r="C853" s="160"/>
      <c r="E853" s="159"/>
      <c r="F853" s="159"/>
      <c r="G853" s="159"/>
      <c r="H853" s="161"/>
      <c r="I853" s="161"/>
      <c r="J853" s="159"/>
      <c r="K853" s="153"/>
    </row>
    <row r="854" spans="1:11" ht="15.75" hidden="1" customHeight="1" x14ac:dyDescent="0.25">
      <c r="A854" s="159"/>
      <c r="C854" s="160"/>
      <c r="E854" s="159"/>
      <c r="F854" s="159"/>
      <c r="G854" s="159"/>
      <c r="H854" s="161"/>
      <c r="I854" s="161"/>
      <c r="J854" s="159"/>
      <c r="K854" s="153"/>
    </row>
    <row r="855" spans="1:11" ht="15.75" hidden="1" customHeight="1" x14ac:dyDescent="0.25">
      <c r="A855" s="159"/>
      <c r="C855" s="160"/>
      <c r="E855" s="159"/>
      <c r="F855" s="159"/>
      <c r="G855" s="159"/>
      <c r="H855" s="161"/>
      <c r="I855" s="161"/>
      <c r="J855" s="159"/>
      <c r="K855" s="153"/>
    </row>
    <row r="856" spans="1:11" ht="15.75" hidden="1" customHeight="1" x14ac:dyDescent="0.25">
      <c r="A856" s="159"/>
      <c r="C856" s="160"/>
      <c r="E856" s="159"/>
      <c r="F856" s="159"/>
      <c r="G856" s="159"/>
      <c r="H856" s="161"/>
      <c r="I856" s="161"/>
      <c r="J856" s="159"/>
      <c r="K856" s="153"/>
    </row>
    <row r="857" spans="1:11" ht="15.75" hidden="1" customHeight="1" x14ac:dyDescent="0.25">
      <c r="A857" s="159"/>
      <c r="C857" s="160"/>
      <c r="E857" s="159"/>
      <c r="F857" s="159"/>
      <c r="G857" s="159"/>
      <c r="H857" s="161"/>
      <c r="I857" s="161"/>
      <c r="J857" s="159"/>
      <c r="K857" s="153"/>
    </row>
    <row r="858" spans="1:11" ht="15.75" hidden="1" customHeight="1" x14ac:dyDescent="0.25">
      <c r="A858" s="159"/>
      <c r="C858" s="160"/>
      <c r="E858" s="159"/>
      <c r="F858" s="159"/>
      <c r="G858" s="159"/>
      <c r="H858" s="161"/>
      <c r="I858" s="161"/>
      <c r="J858" s="159"/>
      <c r="K858" s="153"/>
    </row>
    <row r="859" spans="1:11" ht="15.75" hidden="1" customHeight="1" x14ac:dyDescent="0.25">
      <c r="A859" s="159"/>
      <c r="C859" s="160"/>
      <c r="E859" s="159"/>
      <c r="F859" s="159"/>
      <c r="G859" s="159"/>
      <c r="H859" s="161"/>
      <c r="I859" s="161"/>
      <c r="J859" s="159"/>
      <c r="K859" s="153"/>
    </row>
    <row r="860" spans="1:11" ht="15.75" hidden="1" customHeight="1" x14ac:dyDescent="0.25">
      <c r="A860" s="159"/>
      <c r="C860" s="160"/>
      <c r="E860" s="159"/>
      <c r="F860" s="159"/>
      <c r="G860" s="159"/>
      <c r="H860" s="161"/>
      <c r="I860" s="161"/>
      <c r="J860" s="159"/>
      <c r="K860" s="153"/>
    </row>
    <row r="861" spans="1:11" ht="15.75" hidden="1" customHeight="1" x14ac:dyDescent="0.25">
      <c r="A861" s="159"/>
      <c r="C861" s="160"/>
      <c r="E861" s="159"/>
      <c r="F861" s="159"/>
      <c r="G861" s="159"/>
      <c r="H861" s="161"/>
      <c r="I861" s="161"/>
      <c r="J861" s="159"/>
      <c r="K861" s="153"/>
    </row>
    <row r="862" spans="1:11" ht="15.75" hidden="1" customHeight="1" x14ac:dyDescent="0.25">
      <c r="A862" s="159"/>
      <c r="C862" s="160"/>
      <c r="E862" s="159"/>
      <c r="F862" s="159"/>
      <c r="G862" s="159"/>
      <c r="H862" s="161"/>
      <c r="I862" s="161"/>
      <c r="J862" s="159"/>
      <c r="K862" s="153"/>
    </row>
    <row r="863" spans="1:11" ht="15.75" hidden="1" customHeight="1" x14ac:dyDescent="0.25">
      <c r="A863" s="159"/>
      <c r="C863" s="160"/>
      <c r="E863" s="159"/>
      <c r="F863" s="159"/>
      <c r="G863" s="159"/>
      <c r="H863" s="161"/>
      <c r="I863" s="161"/>
      <c r="J863" s="159"/>
      <c r="K863" s="153"/>
    </row>
    <row r="864" spans="1:11" ht="15.75" hidden="1" customHeight="1" x14ac:dyDescent="0.25">
      <c r="A864" s="159"/>
      <c r="C864" s="160"/>
      <c r="E864" s="159"/>
      <c r="F864" s="159"/>
      <c r="G864" s="159"/>
      <c r="H864" s="161"/>
      <c r="I864" s="161"/>
      <c r="J864" s="159"/>
      <c r="K864" s="153"/>
    </row>
    <row r="865" spans="1:11" ht="15.75" hidden="1" customHeight="1" x14ac:dyDescent="0.25">
      <c r="A865" s="159"/>
      <c r="C865" s="160"/>
      <c r="E865" s="159"/>
      <c r="F865" s="159"/>
      <c r="G865" s="159"/>
      <c r="H865" s="161"/>
      <c r="I865" s="161"/>
      <c r="J865" s="159"/>
      <c r="K865" s="153"/>
    </row>
    <row r="866" spans="1:11" ht="15.75" hidden="1" customHeight="1" x14ac:dyDescent="0.25">
      <c r="A866" s="159"/>
      <c r="C866" s="160"/>
      <c r="E866" s="159"/>
      <c r="F866" s="159"/>
      <c r="G866" s="159"/>
      <c r="H866" s="161"/>
      <c r="I866" s="161"/>
      <c r="J866" s="159"/>
      <c r="K866" s="153"/>
    </row>
    <row r="867" spans="1:11" ht="15.75" hidden="1" customHeight="1" x14ac:dyDescent="0.25">
      <c r="A867" s="159"/>
      <c r="C867" s="160"/>
      <c r="E867" s="159"/>
      <c r="F867" s="159"/>
      <c r="G867" s="159"/>
      <c r="H867" s="161"/>
      <c r="I867" s="161"/>
      <c r="J867" s="159"/>
      <c r="K867" s="153"/>
    </row>
    <row r="868" spans="1:11" ht="15.75" hidden="1" customHeight="1" x14ac:dyDescent="0.25">
      <c r="A868" s="159"/>
      <c r="C868" s="160"/>
      <c r="E868" s="159"/>
      <c r="F868" s="159"/>
      <c r="G868" s="159"/>
      <c r="H868" s="161"/>
      <c r="I868" s="161"/>
      <c r="J868" s="159"/>
      <c r="K868" s="153"/>
    </row>
    <row r="869" spans="1:11" ht="15.75" hidden="1" customHeight="1" x14ac:dyDescent="0.25">
      <c r="A869" s="159"/>
      <c r="C869" s="160"/>
      <c r="E869" s="159"/>
      <c r="F869" s="159"/>
      <c r="G869" s="159"/>
      <c r="H869" s="161"/>
      <c r="I869" s="161"/>
      <c r="J869" s="159"/>
      <c r="K869" s="153"/>
    </row>
    <row r="870" spans="1:11" ht="15.75" hidden="1" customHeight="1" x14ac:dyDescent="0.25">
      <c r="A870" s="159"/>
      <c r="C870" s="160"/>
      <c r="E870" s="159"/>
      <c r="F870" s="159"/>
      <c r="G870" s="159"/>
      <c r="H870" s="161"/>
      <c r="I870" s="161"/>
      <c r="J870" s="159"/>
      <c r="K870" s="153"/>
    </row>
    <row r="871" spans="1:11" ht="15.75" hidden="1" customHeight="1" x14ac:dyDescent="0.25">
      <c r="A871" s="159"/>
      <c r="C871" s="160"/>
      <c r="E871" s="159"/>
      <c r="F871" s="159"/>
      <c r="G871" s="159"/>
      <c r="H871" s="161"/>
      <c r="I871" s="161"/>
      <c r="J871" s="159"/>
      <c r="K871" s="153"/>
    </row>
    <row r="872" spans="1:11" ht="15.75" hidden="1" customHeight="1" x14ac:dyDescent="0.25">
      <c r="A872" s="159"/>
      <c r="C872" s="160"/>
      <c r="E872" s="159"/>
      <c r="F872" s="159"/>
      <c r="G872" s="159"/>
      <c r="H872" s="161"/>
      <c r="I872" s="161"/>
      <c r="J872" s="159"/>
      <c r="K872" s="153"/>
    </row>
    <row r="873" spans="1:11" ht="15.75" hidden="1" customHeight="1" x14ac:dyDescent="0.25">
      <c r="A873" s="159"/>
      <c r="C873" s="160"/>
      <c r="E873" s="159"/>
      <c r="F873" s="159"/>
      <c r="G873" s="159"/>
      <c r="H873" s="161"/>
      <c r="I873" s="161"/>
      <c r="J873" s="159"/>
      <c r="K873" s="153"/>
    </row>
    <row r="874" spans="1:11" ht="15.75" hidden="1" customHeight="1" x14ac:dyDescent="0.25">
      <c r="A874" s="159"/>
      <c r="C874" s="160"/>
      <c r="E874" s="159"/>
      <c r="F874" s="159"/>
      <c r="G874" s="159"/>
      <c r="H874" s="161"/>
      <c r="I874" s="161"/>
      <c r="J874" s="159"/>
      <c r="K874" s="153"/>
    </row>
    <row r="875" spans="1:11" ht="15.75" hidden="1" customHeight="1" x14ac:dyDescent="0.25">
      <c r="A875" s="159"/>
      <c r="C875" s="160"/>
      <c r="E875" s="159"/>
      <c r="F875" s="159"/>
      <c r="G875" s="159"/>
      <c r="H875" s="161"/>
      <c r="I875" s="161"/>
      <c r="J875" s="159"/>
      <c r="K875" s="153"/>
    </row>
    <row r="876" spans="1:11" ht="15.75" hidden="1" customHeight="1" x14ac:dyDescent="0.25">
      <c r="A876" s="159"/>
      <c r="C876" s="160"/>
      <c r="E876" s="159"/>
      <c r="F876" s="159"/>
      <c r="G876" s="159"/>
      <c r="H876" s="161"/>
      <c r="I876" s="161"/>
      <c r="J876" s="159"/>
      <c r="K876" s="153"/>
    </row>
    <row r="877" spans="1:11" ht="15.75" hidden="1" customHeight="1" x14ac:dyDescent="0.25">
      <c r="A877" s="159"/>
      <c r="C877" s="160"/>
      <c r="E877" s="159"/>
      <c r="F877" s="159"/>
      <c r="G877" s="159"/>
      <c r="H877" s="161"/>
      <c r="I877" s="161"/>
      <c r="J877" s="159"/>
      <c r="K877" s="153"/>
    </row>
    <row r="878" spans="1:11" ht="15.75" hidden="1" customHeight="1" x14ac:dyDescent="0.25">
      <c r="A878" s="159"/>
      <c r="C878" s="160"/>
      <c r="E878" s="159"/>
      <c r="F878" s="159"/>
      <c r="G878" s="159"/>
      <c r="H878" s="161"/>
      <c r="I878" s="161"/>
      <c r="J878" s="159"/>
      <c r="K878" s="153"/>
    </row>
    <row r="879" spans="1:11" ht="15.75" hidden="1" customHeight="1" x14ac:dyDescent="0.25">
      <c r="A879" s="159"/>
      <c r="C879" s="160"/>
      <c r="E879" s="159"/>
      <c r="F879" s="159"/>
      <c r="G879" s="159"/>
      <c r="H879" s="161"/>
      <c r="I879" s="161"/>
      <c r="J879" s="159"/>
      <c r="K879" s="153"/>
    </row>
    <row r="880" spans="1:11" ht="15.75" hidden="1" customHeight="1" x14ac:dyDescent="0.25">
      <c r="A880" s="159"/>
      <c r="C880" s="160"/>
      <c r="E880" s="159"/>
      <c r="F880" s="159"/>
      <c r="G880" s="159"/>
      <c r="H880" s="161"/>
      <c r="I880" s="161"/>
      <c r="J880" s="159"/>
      <c r="K880" s="153"/>
    </row>
    <row r="881" spans="1:11" ht="15.75" hidden="1" customHeight="1" x14ac:dyDescent="0.25">
      <c r="A881" s="159"/>
      <c r="C881" s="160"/>
      <c r="E881" s="159"/>
      <c r="F881" s="159"/>
      <c r="G881" s="159"/>
      <c r="H881" s="161"/>
      <c r="I881" s="161"/>
      <c r="J881" s="159"/>
      <c r="K881" s="153"/>
    </row>
    <row r="882" spans="1:11" ht="15.75" hidden="1" customHeight="1" x14ac:dyDescent="0.25">
      <c r="A882" s="159"/>
      <c r="C882" s="160"/>
      <c r="E882" s="159"/>
      <c r="F882" s="159"/>
      <c r="G882" s="159"/>
      <c r="H882" s="161"/>
      <c r="I882" s="161"/>
      <c r="J882" s="159"/>
      <c r="K882" s="153"/>
    </row>
    <row r="883" spans="1:11" ht="15.75" hidden="1" customHeight="1" x14ac:dyDescent="0.25">
      <c r="A883" s="159"/>
      <c r="C883" s="160"/>
      <c r="E883" s="159"/>
      <c r="F883" s="159"/>
      <c r="G883" s="159"/>
      <c r="H883" s="161"/>
      <c r="I883" s="161"/>
      <c r="J883" s="159"/>
      <c r="K883" s="153"/>
    </row>
    <row r="884" spans="1:11" ht="15.75" hidden="1" customHeight="1" x14ac:dyDescent="0.25">
      <c r="A884" s="159"/>
      <c r="C884" s="160"/>
      <c r="E884" s="159"/>
      <c r="F884" s="159"/>
      <c r="G884" s="159"/>
      <c r="H884" s="161"/>
      <c r="I884" s="161"/>
      <c r="J884" s="159"/>
      <c r="K884" s="153"/>
    </row>
    <row r="885" spans="1:11" ht="15.75" hidden="1" customHeight="1" x14ac:dyDescent="0.25">
      <c r="A885" s="159"/>
      <c r="C885" s="160"/>
      <c r="E885" s="159"/>
      <c r="F885" s="159"/>
      <c r="G885" s="159"/>
      <c r="H885" s="161"/>
      <c r="I885" s="161"/>
      <c r="J885" s="159"/>
      <c r="K885" s="153"/>
    </row>
    <row r="886" spans="1:11" ht="15.75" hidden="1" customHeight="1" x14ac:dyDescent="0.25">
      <c r="A886" s="159"/>
      <c r="C886" s="160"/>
      <c r="E886" s="159"/>
      <c r="F886" s="159"/>
      <c r="G886" s="159"/>
      <c r="H886" s="161"/>
      <c r="I886" s="161"/>
      <c r="J886" s="159"/>
      <c r="K886" s="153"/>
    </row>
    <row r="887" spans="1:11" ht="15.75" hidden="1" customHeight="1" x14ac:dyDescent="0.25">
      <c r="A887" s="159"/>
      <c r="C887" s="160"/>
      <c r="E887" s="159"/>
      <c r="F887" s="159"/>
      <c r="G887" s="159"/>
      <c r="H887" s="161"/>
      <c r="I887" s="161"/>
      <c r="J887" s="159"/>
      <c r="K887" s="153"/>
    </row>
    <row r="888" spans="1:11" ht="15.75" hidden="1" customHeight="1" x14ac:dyDescent="0.25">
      <c r="A888" s="159"/>
      <c r="C888" s="160"/>
      <c r="E888" s="159"/>
      <c r="F888" s="159"/>
      <c r="G888" s="159"/>
      <c r="H888" s="161"/>
      <c r="I888" s="161"/>
      <c r="J888" s="159"/>
      <c r="K888" s="153"/>
    </row>
    <row r="889" spans="1:11" ht="15.75" hidden="1" customHeight="1" x14ac:dyDescent="0.25">
      <c r="A889" s="159"/>
      <c r="C889" s="160"/>
      <c r="E889" s="159"/>
      <c r="F889" s="159"/>
      <c r="G889" s="159"/>
      <c r="H889" s="161"/>
      <c r="I889" s="161"/>
      <c r="J889" s="159"/>
      <c r="K889" s="153"/>
    </row>
    <row r="890" spans="1:11" ht="15.75" hidden="1" customHeight="1" x14ac:dyDescent="0.25">
      <c r="A890" s="159"/>
      <c r="C890" s="160"/>
      <c r="E890" s="159"/>
      <c r="F890" s="159"/>
      <c r="G890" s="159"/>
      <c r="H890" s="161"/>
      <c r="I890" s="161"/>
      <c r="J890" s="159"/>
      <c r="K890" s="153"/>
    </row>
    <row r="891" spans="1:11" ht="15.75" hidden="1" customHeight="1" x14ac:dyDescent="0.25">
      <c r="A891" s="159"/>
      <c r="C891" s="160"/>
      <c r="E891" s="159"/>
      <c r="F891" s="159"/>
      <c r="G891" s="159"/>
      <c r="H891" s="161"/>
      <c r="I891" s="161"/>
      <c r="J891" s="159"/>
      <c r="K891" s="153"/>
    </row>
    <row r="892" spans="1:11" ht="15.75" hidden="1" customHeight="1" x14ac:dyDescent="0.25">
      <c r="A892" s="159"/>
      <c r="C892" s="160"/>
      <c r="E892" s="159"/>
      <c r="F892" s="159"/>
      <c r="G892" s="159"/>
      <c r="H892" s="161"/>
      <c r="I892" s="161"/>
      <c r="J892" s="159"/>
      <c r="K892" s="153"/>
    </row>
    <row r="893" spans="1:11" ht="15.75" hidden="1" customHeight="1" x14ac:dyDescent="0.25">
      <c r="A893" s="159"/>
      <c r="C893" s="160"/>
      <c r="E893" s="159"/>
      <c r="F893" s="159"/>
      <c r="G893" s="159"/>
      <c r="H893" s="161"/>
      <c r="I893" s="161"/>
      <c r="J893" s="159"/>
      <c r="K893" s="153"/>
    </row>
    <row r="894" spans="1:11" ht="15.75" hidden="1" customHeight="1" x14ac:dyDescent="0.25">
      <c r="A894" s="159"/>
      <c r="C894" s="160"/>
      <c r="E894" s="159"/>
      <c r="F894" s="159"/>
      <c r="G894" s="159"/>
      <c r="H894" s="161"/>
      <c r="I894" s="161"/>
      <c r="J894" s="159"/>
      <c r="K894" s="153"/>
    </row>
    <row r="895" spans="1:11" ht="15.75" hidden="1" customHeight="1" x14ac:dyDescent="0.25">
      <c r="A895" s="159"/>
      <c r="C895" s="160"/>
      <c r="E895" s="159"/>
      <c r="F895" s="159"/>
      <c r="G895" s="159"/>
      <c r="H895" s="161"/>
      <c r="I895" s="161"/>
      <c r="J895" s="159"/>
      <c r="K895" s="153"/>
    </row>
    <row r="896" spans="1:11" ht="15.75" hidden="1" customHeight="1" x14ac:dyDescent="0.25">
      <c r="A896" s="159"/>
      <c r="C896" s="160"/>
      <c r="E896" s="159"/>
      <c r="F896" s="159"/>
      <c r="G896" s="159"/>
      <c r="H896" s="161"/>
      <c r="I896" s="161"/>
      <c r="J896" s="159"/>
      <c r="K896" s="153"/>
    </row>
    <row r="897" spans="1:11" ht="15.75" hidden="1" customHeight="1" x14ac:dyDescent="0.25">
      <c r="A897" s="159"/>
      <c r="C897" s="160"/>
      <c r="E897" s="159"/>
      <c r="F897" s="159"/>
      <c r="G897" s="159"/>
      <c r="H897" s="161"/>
      <c r="I897" s="161"/>
      <c r="J897" s="159"/>
      <c r="K897" s="153"/>
    </row>
    <row r="898" spans="1:11" ht="15.75" hidden="1" customHeight="1" x14ac:dyDescent="0.25">
      <c r="A898" s="159"/>
      <c r="C898" s="160"/>
      <c r="E898" s="159"/>
      <c r="F898" s="159"/>
      <c r="G898" s="159"/>
      <c r="H898" s="161"/>
      <c r="I898" s="161"/>
      <c r="J898" s="159"/>
      <c r="K898" s="153"/>
    </row>
    <row r="899" spans="1:11" ht="15.75" hidden="1" customHeight="1" x14ac:dyDescent="0.25">
      <c r="A899" s="159"/>
      <c r="C899" s="160"/>
      <c r="E899" s="159"/>
      <c r="F899" s="159"/>
      <c r="G899" s="159"/>
      <c r="H899" s="161"/>
      <c r="I899" s="161"/>
      <c r="J899" s="159"/>
      <c r="K899" s="153"/>
    </row>
    <row r="900" spans="1:11" ht="15.75" hidden="1" customHeight="1" x14ac:dyDescent="0.25">
      <c r="A900" s="159"/>
      <c r="C900" s="160"/>
      <c r="E900" s="159"/>
      <c r="F900" s="159"/>
      <c r="G900" s="159"/>
      <c r="H900" s="161"/>
      <c r="I900" s="161"/>
      <c r="J900" s="159"/>
      <c r="K900" s="153"/>
    </row>
    <row r="901" spans="1:11" ht="15.75" hidden="1" customHeight="1" x14ac:dyDescent="0.25">
      <c r="A901" s="159"/>
      <c r="C901" s="160"/>
      <c r="E901" s="159"/>
      <c r="F901" s="159"/>
      <c r="G901" s="159"/>
      <c r="H901" s="161"/>
      <c r="I901" s="161"/>
      <c r="J901" s="159"/>
      <c r="K901" s="153"/>
    </row>
    <row r="902" spans="1:11" ht="15.75" hidden="1" customHeight="1" x14ac:dyDescent="0.25">
      <c r="A902" s="159"/>
      <c r="C902" s="160"/>
      <c r="E902" s="159"/>
      <c r="F902" s="159"/>
      <c r="G902" s="159"/>
      <c r="H902" s="161"/>
      <c r="I902" s="161"/>
      <c r="J902" s="159"/>
      <c r="K902" s="153"/>
    </row>
    <row r="903" spans="1:11" ht="15.75" hidden="1" customHeight="1" x14ac:dyDescent="0.25">
      <c r="A903" s="159"/>
      <c r="C903" s="160"/>
      <c r="E903" s="159"/>
      <c r="F903" s="159"/>
      <c r="G903" s="159"/>
      <c r="H903" s="161"/>
      <c r="I903" s="161"/>
      <c r="J903" s="159"/>
      <c r="K903" s="153"/>
    </row>
    <row r="904" spans="1:11" ht="15.75" hidden="1" customHeight="1" x14ac:dyDescent="0.25">
      <c r="A904" s="159"/>
      <c r="C904" s="160"/>
      <c r="E904" s="159"/>
      <c r="F904" s="159"/>
      <c r="G904" s="159"/>
      <c r="H904" s="161"/>
      <c r="I904" s="161"/>
      <c r="J904" s="159"/>
      <c r="K904" s="153"/>
    </row>
    <row r="905" spans="1:11" ht="15.75" hidden="1" customHeight="1" x14ac:dyDescent="0.25">
      <c r="A905" s="159"/>
      <c r="C905" s="160"/>
      <c r="E905" s="159"/>
      <c r="F905" s="159"/>
      <c r="G905" s="159"/>
      <c r="H905" s="161"/>
      <c r="I905" s="161"/>
      <c r="J905" s="159"/>
      <c r="K905" s="153"/>
    </row>
    <row r="906" spans="1:11" ht="15.75" hidden="1" customHeight="1" x14ac:dyDescent="0.25">
      <c r="A906" s="159"/>
      <c r="C906" s="160"/>
      <c r="E906" s="159"/>
      <c r="F906" s="159"/>
      <c r="G906" s="159"/>
      <c r="H906" s="161"/>
      <c r="I906" s="161"/>
      <c r="J906" s="159"/>
      <c r="K906" s="153"/>
    </row>
    <row r="907" spans="1:11" ht="15.75" hidden="1" customHeight="1" x14ac:dyDescent="0.25">
      <c r="A907" s="159"/>
      <c r="C907" s="160"/>
      <c r="E907" s="159"/>
      <c r="F907" s="159"/>
      <c r="G907" s="159"/>
      <c r="H907" s="161"/>
      <c r="I907" s="161"/>
      <c r="J907" s="159"/>
      <c r="K907" s="153"/>
    </row>
    <row r="908" spans="1:11" ht="15.75" hidden="1" customHeight="1" x14ac:dyDescent="0.25">
      <c r="A908" s="159"/>
      <c r="C908" s="160"/>
      <c r="E908" s="159"/>
      <c r="F908" s="159"/>
      <c r="G908" s="159"/>
      <c r="H908" s="161"/>
      <c r="I908" s="161"/>
      <c r="J908" s="159"/>
      <c r="K908" s="153"/>
    </row>
    <row r="909" spans="1:11" ht="15.75" hidden="1" customHeight="1" x14ac:dyDescent="0.25">
      <c r="A909" s="159"/>
      <c r="C909" s="160"/>
      <c r="E909" s="159"/>
      <c r="F909" s="159"/>
      <c r="G909" s="159"/>
      <c r="H909" s="161"/>
      <c r="I909" s="161"/>
      <c r="J909" s="159"/>
      <c r="K909" s="153"/>
    </row>
    <row r="910" spans="1:11" ht="15.75" hidden="1" customHeight="1" x14ac:dyDescent="0.25">
      <c r="A910" s="159"/>
      <c r="C910" s="160"/>
      <c r="E910" s="159"/>
      <c r="F910" s="159"/>
      <c r="G910" s="159"/>
      <c r="H910" s="161"/>
      <c r="I910" s="161"/>
      <c r="J910" s="159"/>
      <c r="K910" s="153"/>
    </row>
    <row r="911" spans="1:11" ht="15.75" hidden="1" customHeight="1" x14ac:dyDescent="0.25">
      <c r="A911" s="159"/>
      <c r="C911" s="160"/>
      <c r="E911" s="159"/>
      <c r="F911" s="159"/>
      <c r="G911" s="159"/>
      <c r="H911" s="161"/>
      <c r="I911" s="161"/>
      <c r="J911" s="159"/>
      <c r="K911" s="153"/>
    </row>
    <row r="912" spans="1:11" ht="15.75" hidden="1" customHeight="1" x14ac:dyDescent="0.25">
      <c r="A912" s="159"/>
      <c r="C912" s="160"/>
      <c r="E912" s="159"/>
      <c r="F912" s="159"/>
      <c r="G912" s="159"/>
      <c r="H912" s="161"/>
      <c r="I912" s="161"/>
      <c r="J912" s="159"/>
      <c r="K912" s="153"/>
    </row>
    <row r="913" spans="1:11" ht="15.75" hidden="1" customHeight="1" x14ac:dyDescent="0.25">
      <c r="A913" s="159"/>
      <c r="C913" s="160"/>
      <c r="E913" s="159"/>
      <c r="F913" s="159"/>
      <c r="G913" s="159"/>
      <c r="H913" s="161"/>
      <c r="I913" s="161"/>
      <c r="J913" s="159"/>
      <c r="K913" s="153"/>
    </row>
    <row r="914" spans="1:11" ht="15.75" hidden="1" customHeight="1" x14ac:dyDescent="0.25">
      <c r="A914" s="159"/>
      <c r="C914" s="160"/>
      <c r="E914" s="159"/>
      <c r="F914" s="159"/>
      <c r="G914" s="159"/>
      <c r="H914" s="161"/>
      <c r="I914" s="161"/>
      <c r="J914" s="159"/>
      <c r="K914" s="153"/>
    </row>
    <row r="915" spans="1:11" ht="15.75" hidden="1" customHeight="1" x14ac:dyDescent="0.25">
      <c r="A915" s="159"/>
      <c r="C915" s="160"/>
      <c r="E915" s="159"/>
      <c r="F915" s="159"/>
      <c r="G915" s="159"/>
      <c r="H915" s="161"/>
      <c r="I915" s="161"/>
      <c r="J915" s="159"/>
      <c r="K915" s="153"/>
    </row>
    <row r="916" spans="1:11" ht="15.75" hidden="1" customHeight="1" x14ac:dyDescent="0.25">
      <c r="A916" s="159"/>
      <c r="C916" s="160"/>
      <c r="E916" s="159"/>
      <c r="F916" s="159"/>
      <c r="G916" s="159"/>
      <c r="H916" s="161"/>
      <c r="I916" s="161"/>
      <c r="J916" s="159"/>
      <c r="K916" s="153"/>
    </row>
    <row r="917" spans="1:11" ht="15.75" hidden="1" customHeight="1" x14ac:dyDescent="0.25">
      <c r="A917" s="159"/>
      <c r="C917" s="160"/>
      <c r="E917" s="159"/>
      <c r="F917" s="159"/>
      <c r="G917" s="159"/>
      <c r="H917" s="161"/>
      <c r="I917" s="161"/>
      <c r="J917" s="159"/>
      <c r="K917" s="153"/>
    </row>
    <row r="918" spans="1:11" ht="15.75" hidden="1" customHeight="1" x14ac:dyDescent="0.25">
      <c r="A918" s="159"/>
      <c r="C918" s="160"/>
      <c r="E918" s="159"/>
      <c r="F918" s="159"/>
      <c r="G918" s="159"/>
      <c r="H918" s="161"/>
      <c r="I918" s="161"/>
      <c r="J918" s="159"/>
      <c r="K918" s="153"/>
    </row>
    <row r="919" spans="1:11" ht="15.75" hidden="1" customHeight="1" x14ac:dyDescent="0.25">
      <c r="A919" s="159"/>
      <c r="C919" s="160"/>
      <c r="E919" s="159"/>
      <c r="F919" s="159"/>
      <c r="G919" s="159"/>
      <c r="H919" s="161"/>
      <c r="I919" s="161"/>
      <c r="J919" s="159"/>
      <c r="K919" s="153"/>
    </row>
    <row r="920" spans="1:11" ht="15.75" hidden="1" customHeight="1" x14ac:dyDescent="0.25">
      <c r="A920" s="159"/>
      <c r="C920" s="160"/>
      <c r="E920" s="159"/>
      <c r="F920" s="159"/>
      <c r="G920" s="159"/>
      <c r="H920" s="161"/>
      <c r="I920" s="161"/>
      <c r="J920" s="159"/>
      <c r="K920" s="153"/>
    </row>
    <row r="921" spans="1:11" ht="15.75" hidden="1" customHeight="1" x14ac:dyDescent="0.25">
      <c r="A921" s="159"/>
      <c r="C921" s="160"/>
      <c r="E921" s="159"/>
      <c r="F921" s="159"/>
      <c r="G921" s="159"/>
      <c r="H921" s="161"/>
      <c r="I921" s="161"/>
      <c r="J921" s="159"/>
      <c r="K921" s="153"/>
    </row>
    <row r="922" spans="1:11" ht="15.75" hidden="1" customHeight="1" x14ac:dyDescent="0.25">
      <c r="A922" s="159"/>
      <c r="C922" s="160"/>
      <c r="E922" s="159"/>
      <c r="F922" s="159"/>
      <c r="G922" s="159"/>
      <c r="H922" s="161"/>
      <c r="I922" s="161"/>
      <c r="J922" s="159"/>
      <c r="K922" s="153"/>
    </row>
    <row r="923" spans="1:11" ht="15.75" hidden="1" customHeight="1" x14ac:dyDescent="0.25">
      <c r="A923" s="159"/>
      <c r="C923" s="160"/>
      <c r="E923" s="159"/>
      <c r="F923" s="159"/>
      <c r="G923" s="159"/>
      <c r="H923" s="161"/>
      <c r="I923" s="161"/>
      <c r="J923" s="159"/>
      <c r="K923" s="153"/>
    </row>
    <row r="924" spans="1:11" ht="15.75" hidden="1" customHeight="1" x14ac:dyDescent="0.25">
      <c r="A924" s="159"/>
      <c r="C924" s="160"/>
      <c r="E924" s="159"/>
      <c r="F924" s="159"/>
      <c r="G924" s="159"/>
      <c r="H924" s="161"/>
      <c r="I924" s="161"/>
      <c r="J924" s="159"/>
      <c r="K924" s="153"/>
    </row>
    <row r="925" spans="1:11" ht="15.75" hidden="1" customHeight="1" x14ac:dyDescent="0.25">
      <c r="A925" s="159"/>
      <c r="C925" s="160"/>
      <c r="E925" s="159"/>
      <c r="F925" s="159"/>
      <c r="G925" s="159"/>
      <c r="H925" s="161"/>
      <c r="I925" s="161"/>
      <c r="J925" s="159"/>
      <c r="K925" s="153"/>
    </row>
    <row r="926" spans="1:11" ht="15.75" hidden="1" customHeight="1" x14ac:dyDescent="0.25">
      <c r="A926" s="159"/>
      <c r="C926" s="160"/>
      <c r="E926" s="159"/>
      <c r="F926" s="159"/>
      <c r="G926" s="159"/>
      <c r="H926" s="161"/>
      <c r="I926" s="161"/>
      <c r="J926" s="159"/>
      <c r="K926" s="153"/>
    </row>
    <row r="927" spans="1:11" ht="15.75" hidden="1" customHeight="1" x14ac:dyDescent="0.25">
      <c r="A927" s="159"/>
      <c r="C927" s="160"/>
      <c r="E927" s="159"/>
      <c r="F927" s="159"/>
      <c r="G927" s="159"/>
      <c r="H927" s="161"/>
      <c r="I927" s="161"/>
      <c r="J927" s="159"/>
      <c r="K927" s="153"/>
    </row>
    <row r="928" spans="1:11" ht="15.75" hidden="1" customHeight="1" x14ac:dyDescent="0.25">
      <c r="A928" s="159"/>
      <c r="C928" s="160"/>
      <c r="E928" s="159"/>
      <c r="F928" s="159"/>
      <c r="G928" s="159"/>
      <c r="H928" s="161"/>
      <c r="I928" s="161"/>
      <c r="J928" s="159"/>
      <c r="K928" s="153"/>
    </row>
    <row r="929" spans="1:11" ht="15.75" hidden="1" customHeight="1" x14ac:dyDescent="0.25">
      <c r="A929" s="159"/>
      <c r="C929" s="160"/>
      <c r="E929" s="159"/>
      <c r="F929" s="159"/>
      <c r="G929" s="159"/>
      <c r="H929" s="161"/>
      <c r="I929" s="161"/>
      <c r="J929" s="159"/>
      <c r="K929" s="153"/>
    </row>
    <row r="930" spans="1:11" ht="15.75" hidden="1" customHeight="1" x14ac:dyDescent="0.25">
      <c r="A930" s="159"/>
      <c r="C930" s="160"/>
      <c r="E930" s="159"/>
      <c r="F930" s="159"/>
      <c r="G930" s="159"/>
      <c r="H930" s="161"/>
      <c r="I930" s="161"/>
      <c r="J930" s="159"/>
      <c r="K930" s="153"/>
    </row>
    <row r="931" spans="1:11" ht="15.75" hidden="1" customHeight="1" x14ac:dyDescent="0.25">
      <c r="A931" s="159"/>
      <c r="C931" s="160"/>
      <c r="E931" s="159"/>
      <c r="F931" s="159"/>
      <c r="G931" s="159"/>
      <c r="H931" s="161"/>
      <c r="I931" s="161"/>
      <c r="J931" s="159"/>
      <c r="K931" s="153"/>
    </row>
    <row r="932" spans="1:11" ht="15.75" hidden="1" customHeight="1" x14ac:dyDescent="0.25">
      <c r="A932" s="159"/>
      <c r="C932" s="160"/>
      <c r="E932" s="159"/>
      <c r="F932" s="159"/>
      <c r="G932" s="159"/>
      <c r="H932" s="161"/>
      <c r="I932" s="161"/>
      <c r="J932" s="159"/>
      <c r="K932" s="153"/>
    </row>
    <row r="933" spans="1:11" ht="15.75" hidden="1" customHeight="1" x14ac:dyDescent="0.25">
      <c r="A933" s="159"/>
      <c r="C933" s="160"/>
      <c r="E933" s="159"/>
      <c r="F933" s="159"/>
      <c r="G933" s="159"/>
      <c r="H933" s="161"/>
      <c r="I933" s="161"/>
      <c r="J933" s="159"/>
      <c r="K933" s="153"/>
    </row>
    <row r="934" spans="1:11" ht="15.75" hidden="1" customHeight="1" x14ac:dyDescent="0.25">
      <c r="A934" s="159"/>
      <c r="C934" s="160"/>
      <c r="E934" s="159"/>
      <c r="F934" s="159"/>
      <c r="G934" s="159"/>
      <c r="H934" s="161"/>
      <c r="I934" s="161"/>
      <c r="J934" s="159"/>
      <c r="K934" s="153"/>
    </row>
    <row r="935" spans="1:11" ht="15.75" hidden="1" customHeight="1" x14ac:dyDescent="0.25">
      <c r="A935" s="159"/>
      <c r="C935" s="160"/>
      <c r="E935" s="159"/>
      <c r="F935" s="159"/>
      <c r="G935" s="159"/>
      <c r="H935" s="161"/>
      <c r="I935" s="161"/>
      <c r="J935" s="159"/>
      <c r="K935" s="153"/>
    </row>
    <row r="936" spans="1:11" ht="15.75" hidden="1" customHeight="1" x14ac:dyDescent="0.25">
      <c r="A936" s="159"/>
      <c r="C936" s="160"/>
      <c r="E936" s="159"/>
      <c r="F936" s="159"/>
      <c r="G936" s="159"/>
      <c r="H936" s="161"/>
      <c r="I936" s="161"/>
      <c r="J936" s="159"/>
      <c r="K936" s="153"/>
    </row>
    <row r="937" spans="1:11" ht="15.75" hidden="1" customHeight="1" x14ac:dyDescent="0.25">
      <c r="A937" s="159"/>
      <c r="C937" s="160"/>
      <c r="E937" s="159"/>
      <c r="F937" s="159"/>
      <c r="G937" s="159"/>
      <c r="H937" s="161"/>
      <c r="I937" s="161"/>
      <c r="J937" s="159"/>
      <c r="K937" s="153"/>
    </row>
    <row r="938" spans="1:11" ht="15.75" hidden="1" customHeight="1" x14ac:dyDescent="0.25">
      <c r="A938" s="159"/>
      <c r="C938" s="160"/>
      <c r="E938" s="159"/>
      <c r="F938" s="159"/>
      <c r="G938" s="159"/>
      <c r="H938" s="161"/>
      <c r="I938" s="161"/>
      <c r="J938" s="159"/>
      <c r="K938" s="153"/>
    </row>
    <row r="939" spans="1:11" ht="15.75" hidden="1" customHeight="1" x14ac:dyDescent="0.25">
      <c r="A939" s="159"/>
      <c r="C939" s="160"/>
      <c r="E939" s="159"/>
      <c r="F939" s="159"/>
      <c r="G939" s="159"/>
      <c r="H939" s="161"/>
      <c r="I939" s="161"/>
      <c r="J939" s="159"/>
      <c r="K939" s="153"/>
    </row>
    <row r="940" spans="1:11" ht="15.75" hidden="1" customHeight="1" x14ac:dyDescent="0.25">
      <c r="A940" s="159"/>
      <c r="C940" s="160"/>
      <c r="E940" s="159"/>
      <c r="F940" s="159"/>
      <c r="G940" s="159"/>
      <c r="H940" s="161"/>
      <c r="I940" s="161"/>
      <c r="J940" s="159"/>
      <c r="K940" s="153"/>
    </row>
    <row r="941" spans="1:11" ht="15.75" hidden="1" customHeight="1" x14ac:dyDescent="0.25">
      <c r="A941" s="159"/>
      <c r="C941" s="160"/>
      <c r="E941" s="159"/>
      <c r="F941" s="159"/>
      <c r="G941" s="159"/>
      <c r="H941" s="161"/>
      <c r="I941" s="161"/>
      <c r="J941" s="159"/>
      <c r="K941" s="153"/>
    </row>
    <row r="942" spans="1:11" ht="15.75" hidden="1" customHeight="1" x14ac:dyDescent="0.25">
      <c r="A942" s="159"/>
      <c r="C942" s="160"/>
      <c r="E942" s="159"/>
      <c r="F942" s="159"/>
      <c r="G942" s="159"/>
      <c r="H942" s="161"/>
      <c r="I942" s="161"/>
      <c r="J942" s="159"/>
      <c r="K942" s="153"/>
    </row>
    <row r="943" spans="1:11" ht="15.75" hidden="1" customHeight="1" x14ac:dyDescent="0.25">
      <c r="A943" s="159"/>
      <c r="C943" s="160"/>
      <c r="E943" s="159"/>
      <c r="F943" s="159"/>
      <c r="G943" s="159"/>
      <c r="H943" s="161"/>
      <c r="I943" s="161"/>
      <c r="J943" s="159"/>
      <c r="K943" s="153"/>
    </row>
    <row r="944" spans="1:11" ht="15.75" hidden="1" customHeight="1" x14ac:dyDescent="0.25">
      <c r="A944" s="159"/>
      <c r="C944" s="160"/>
      <c r="E944" s="159"/>
      <c r="F944" s="159"/>
      <c r="G944" s="159"/>
      <c r="H944" s="161"/>
      <c r="I944" s="161"/>
      <c r="J944" s="159"/>
      <c r="K944" s="153"/>
    </row>
    <row r="945" spans="1:11" ht="15.75" hidden="1" customHeight="1" x14ac:dyDescent="0.25">
      <c r="A945" s="159"/>
      <c r="C945" s="160"/>
      <c r="E945" s="159"/>
      <c r="F945" s="159"/>
      <c r="G945" s="159"/>
      <c r="H945" s="161"/>
      <c r="I945" s="161"/>
      <c r="J945" s="159"/>
      <c r="K945" s="153"/>
    </row>
    <row r="946" spans="1:11" ht="15.75" hidden="1" customHeight="1" x14ac:dyDescent="0.25">
      <c r="A946" s="159"/>
      <c r="C946" s="160"/>
      <c r="E946" s="159"/>
      <c r="F946" s="159"/>
      <c r="G946" s="159"/>
      <c r="H946" s="161"/>
      <c r="I946" s="161"/>
      <c r="J946" s="159"/>
      <c r="K946" s="153"/>
    </row>
    <row r="947" spans="1:11" ht="15.75" hidden="1" customHeight="1" x14ac:dyDescent="0.25">
      <c r="A947" s="159"/>
      <c r="C947" s="160"/>
      <c r="E947" s="159"/>
      <c r="F947" s="159"/>
      <c r="G947" s="159"/>
      <c r="H947" s="161"/>
      <c r="I947" s="161"/>
      <c r="J947" s="159"/>
      <c r="K947" s="153"/>
    </row>
    <row r="948" spans="1:11" ht="15.75" hidden="1" customHeight="1" x14ac:dyDescent="0.25">
      <c r="A948" s="159"/>
      <c r="C948" s="160"/>
      <c r="E948" s="159"/>
      <c r="F948" s="159"/>
      <c r="G948" s="159"/>
      <c r="H948" s="161"/>
      <c r="I948" s="161"/>
      <c r="J948" s="159"/>
      <c r="K948" s="153"/>
    </row>
    <row r="949" spans="1:11" ht="15.75" hidden="1" customHeight="1" x14ac:dyDescent="0.25">
      <c r="A949" s="159"/>
      <c r="C949" s="160"/>
      <c r="E949" s="159"/>
      <c r="F949" s="159"/>
      <c r="G949" s="159"/>
      <c r="H949" s="161"/>
      <c r="I949" s="161"/>
      <c r="J949" s="159"/>
      <c r="K949" s="153"/>
    </row>
    <row r="950" spans="1:11" ht="15.75" hidden="1" customHeight="1" x14ac:dyDescent="0.25">
      <c r="A950" s="159"/>
      <c r="C950" s="160"/>
      <c r="E950" s="159"/>
      <c r="F950" s="159"/>
      <c r="G950" s="159"/>
      <c r="H950" s="161"/>
      <c r="I950" s="161"/>
      <c r="J950" s="159"/>
      <c r="K950" s="153"/>
    </row>
    <row r="951" spans="1:11" ht="15.75" hidden="1" customHeight="1" x14ac:dyDescent="0.25">
      <c r="A951" s="159"/>
      <c r="C951" s="160"/>
      <c r="E951" s="159"/>
      <c r="F951" s="159"/>
      <c r="G951" s="159"/>
      <c r="H951" s="161"/>
      <c r="I951" s="161"/>
      <c r="J951" s="159"/>
      <c r="K951" s="153"/>
    </row>
    <row r="952" spans="1:11" ht="15.75" hidden="1" customHeight="1" x14ac:dyDescent="0.25">
      <c r="A952" s="159"/>
      <c r="C952" s="160"/>
      <c r="E952" s="159"/>
      <c r="F952" s="159"/>
      <c r="G952" s="159"/>
      <c r="H952" s="161"/>
      <c r="I952" s="161"/>
      <c r="J952" s="159"/>
      <c r="K952" s="153"/>
    </row>
    <row r="953" spans="1:11" ht="15.75" hidden="1" customHeight="1" x14ac:dyDescent="0.25">
      <c r="A953" s="159"/>
      <c r="C953" s="160"/>
      <c r="E953" s="159"/>
      <c r="F953" s="159"/>
      <c r="G953" s="159"/>
      <c r="H953" s="161"/>
      <c r="I953" s="161"/>
      <c r="J953" s="159"/>
      <c r="K953" s="153"/>
    </row>
    <row r="954" spans="1:11" ht="15.75" hidden="1" customHeight="1" x14ac:dyDescent="0.25">
      <c r="A954" s="159"/>
      <c r="C954" s="160"/>
      <c r="E954" s="159"/>
      <c r="F954" s="159"/>
      <c r="G954" s="159"/>
      <c r="H954" s="161"/>
      <c r="I954" s="161"/>
      <c r="J954" s="159"/>
      <c r="K954" s="153"/>
    </row>
    <row r="955" spans="1:11" ht="15.75" hidden="1" customHeight="1" x14ac:dyDescent="0.25">
      <c r="A955" s="159"/>
      <c r="C955" s="160"/>
      <c r="E955" s="159"/>
      <c r="F955" s="159"/>
      <c r="G955" s="159"/>
      <c r="H955" s="161"/>
      <c r="I955" s="161"/>
      <c r="J955" s="159"/>
      <c r="K955" s="153"/>
    </row>
    <row r="956" spans="1:11" ht="15.75" hidden="1" customHeight="1" x14ac:dyDescent="0.25">
      <c r="A956" s="159"/>
      <c r="C956" s="160"/>
      <c r="E956" s="159"/>
      <c r="F956" s="159"/>
      <c r="G956" s="159"/>
      <c r="H956" s="161"/>
      <c r="I956" s="161"/>
      <c r="J956" s="159"/>
      <c r="K956" s="153"/>
    </row>
    <row r="957" spans="1:11" ht="15.75" hidden="1" customHeight="1" x14ac:dyDescent="0.25">
      <c r="A957" s="159"/>
      <c r="C957" s="160"/>
      <c r="E957" s="159"/>
      <c r="F957" s="159"/>
      <c r="G957" s="159"/>
      <c r="H957" s="161"/>
      <c r="I957" s="161"/>
      <c r="J957" s="159"/>
      <c r="K957" s="153"/>
    </row>
    <row r="958" spans="1:11" ht="15.75" hidden="1" customHeight="1" x14ac:dyDescent="0.25">
      <c r="A958" s="159"/>
      <c r="C958" s="160"/>
      <c r="E958" s="159"/>
      <c r="F958" s="159"/>
      <c r="G958" s="159"/>
      <c r="H958" s="161"/>
      <c r="I958" s="161"/>
      <c r="J958" s="159"/>
      <c r="K958" s="153"/>
    </row>
    <row r="959" spans="1:11" ht="15.75" hidden="1" customHeight="1" x14ac:dyDescent="0.25">
      <c r="A959" s="159"/>
      <c r="C959" s="160"/>
      <c r="E959" s="159"/>
      <c r="F959" s="159"/>
      <c r="G959" s="159"/>
      <c r="H959" s="161"/>
      <c r="I959" s="161"/>
      <c r="J959" s="159"/>
      <c r="K959" s="153"/>
    </row>
    <row r="960" spans="1:11" ht="15.75" hidden="1" customHeight="1" x14ac:dyDescent="0.25">
      <c r="A960" s="159"/>
      <c r="C960" s="160"/>
      <c r="E960" s="159"/>
      <c r="F960" s="159"/>
      <c r="G960" s="159"/>
      <c r="H960" s="161"/>
      <c r="I960" s="161"/>
      <c r="J960" s="159"/>
      <c r="K960" s="153"/>
    </row>
    <row r="961" spans="1:11" ht="15.75" hidden="1" customHeight="1" x14ac:dyDescent="0.25">
      <c r="A961" s="159"/>
      <c r="C961" s="160"/>
      <c r="E961" s="159"/>
      <c r="F961" s="159"/>
      <c r="G961" s="159"/>
      <c r="H961" s="161"/>
      <c r="I961" s="161"/>
      <c r="J961" s="159"/>
      <c r="K961" s="153"/>
    </row>
    <row r="962" spans="1:11" ht="15.75" hidden="1" customHeight="1" x14ac:dyDescent="0.25">
      <c r="A962" s="159"/>
      <c r="C962" s="160"/>
      <c r="E962" s="159"/>
      <c r="F962" s="159"/>
      <c r="G962" s="159"/>
      <c r="H962" s="161"/>
      <c r="I962" s="161"/>
      <c r="J962" s="159"/>
      <c r="K962" s="153"/>
    </row>
    <row r="963" spans="1:11" ht="15.75" hidden="1" customHeight="1" x14ac:dyDescent="0.25">
      <c r="A963" s="159"/>
      <c r="C963" s="160"/>
      <c r="E963" s="159"/>
      <c r="F963" s="159"/>
      <c r="G963" s="159"/>
      <c r="H963" s="161"/>
      <c r="I963" s="161"/>
      <c r="J963" s="159"/>
      <c r="K963" s="153"/>
    </row>
    <row r="964" spans="1:11" ht="15.75" hidden="1" customHeight="1" x14ac:dyDescent="0.25">
      <c r="A964" s="159"/>
      <c r="C964" s="160"/>
      <c r="E964" s="159"/>
      <c r="F964" s="159"/>
      <c r="G964" s="159"/>
      <c r="H964" s="161"/>
      <c r="I964" s="161"/>
      <c r="J964" s="159"/>
      <c r="K964" s="153"/>
    </row>
    <row r="965" spans="1:11" ht="15.75" hidden="1" customHeight="1" x14ac:dyDescent="0.25">
      <c r="A965" s="159"/>
      <c r="C965" s="160"/>
      <c r="E965" s="159"/>
      <c r="F965" s="159"/>
      <c r="G965" s="159"/>
      <c r="H965" s="161"/>
      <c r="I965" s="161"/>
      <c r="J965" s="159"/>
      <c r="K965" s="153"/>
    </row>
    <row r="966" spans="1:11" ht="15.75" hidden="1" customHeight="1" x14ac:dyDescent="0.25">
      <c r="A966" s="159"/>
      <c r="C966" s="160"/>
      <c r="E966" s="159"/>
      <c r="F966" s="159"/>
      <c r="G966" s="159"/>
      <c r="H966" s="161"/>
      <c r="I966" s="161"/>
      <c r="J966" s="159"/>
      <c r="K966" s="153"/>
    </row>
    <row r="967" spans="1:11" ht="15.75" hidden="1" customHeight="1" x14ac:dyDescent="0.25">
      <c r="A967" s="159"/>
      <c r="C967" s="160"/>
      <c r="E967" s="159"/>
      <c r="F967" s="159"/>
      <c r="G967" s="159"/>
      <c r="H967" s="161"/>
      <c r="I967" s="161"/>
      <c r="J967" s="159"/>
      <c r="K967" s="153"/>
    </row>
    <row r="968" spans="1:11" ht="15.75" hidden="1" customHeight="1" x14ac:dyDescent="0.25">
      <c r="A968" s="159"/>
      <c r="C968" s="160"/>
      <c r="E968" s="159"/>
      <c r="F968" s="159"/>
      <c r="G968" s="159"/>
      <c r="H968" s="161"/>
      <c r="I968" s="161"/>
      <c r="J968" s="159"/>
      <c r="K968" s="153"/>
    </row>
    <row r="969" spans="1:11" ht="15.75" hidden="1" customHeight="1" x14ac:dyDescent="0.25">
      <c r="A969" s="159"/>
      <c r="C969" s="160"/>
      <c r="E969" s="159"/>
      <c r="F969" s="159"/>
      <c r="G969" s="159"/>
      <c r="H969" s="161"/>
      <c r="I969" s="161"/>
      <c r="J969" s="159"/>
      <c r="K969" s="153"/>
    </row>
    <row r="970" spans="1:11" ht="15.75" hidden="1" customHeight="1" x14ac:dyDescent="0.25">
      <c r="A970" s="159"/>
      <c r="C970" s="160"/>
      <c r="E970" s="159"/>
      <c r="F970" s="159"/>
      <c r="G970" s="159"/>
      <c r="H970" s="161"/>
      <c r="I970" s="161"/>
      <c r="J970" s="159"/>
      <c r="K970" s="153"/>
    </row>
    <row r="971" spans="1:11" ht="15.75" hidden="1" customHeight="1" x14ac:dyDescent="0.25">
      <c r="A971" s="159"/>
      <c r="C971" s="160"/>
      <c r="E971" s="159"/>
      <c r="F971" s="159"/>
      <c r="G971" s="159"/>
      <c r="H971" s="161"/>
      <c r="I971" s="161"/>
      <c r="J971" s="159"/>
      <c r="K971" s="153"/>
    </row>
    <row r="972" spans="1:11" ht="15.75" hidden="1" customHeight="1" x14ac:dyDescent="0.25">
      <c r="A972" s="159"/>
      <c r="C972" s="160"/>
      <c r="E972" s="159"/>
      <c r="F972" s="159"/>
      <c r="G972" s="159"/>
      <c r="H972" s="161"/>
      <c r="I972" s="161"/>
      <c r="J972" s="159"/>
      <c r="K972" s="153"/>
    </row>
    <row r="973" spans="1:11" ht="15.75" hidden="1" customHeight="1" x14ac:dyDescent="0.25">
      <c r="A973" s="159"/>
      <c r="C973" s="160"/>
      <c r="E973" s="159"/>
      <c r="F973" s="159"/>
      <c r="G973" s="159"/>
      <c r="H973" s="161"/>
      <c r="I973" s="161"/>
      <c r="J973" s="159"/>
      <c r="K973" s="153"/>
    </row>
    <row r="974" spans="1:11" ht="15.75" hidden="1" customHeight="1" x14ac:dyDescent="0.25">
      <c r="A974" s="159"/>
      <c r="C974" s="160"/>
      <c r="E974" s="159"/>
      <c r="F974" s="159"/>
      <c r="G974" s="159"/>
      <c r="H974" s="161"/>
      <c r="I974" s="161"/>
      <c r="J974" s="159"/>
      <c r="K974" s="153"/>
    </row>
    <row r="975" spans="1:11" ht="15.75" hidden="1" customHeight="1" x14ac:dyDescent="0.25">
      <c r="A975" s="159"/>
      <c r="C975" s="160"/>
      <c r="E975" s="159"/>
      <c r="F975" s="159"/>
      <c r="G975" s="159"/>
      <c r="H975" s="161"/>
      <c r="I975" s="161"/>
      <c r="J975" s="159"/>
      <c r="K975" s="153"/>
    </row>
    <row r="976" spans="1:11" ht="15.75" hidden="1" customHeight="1" x14ac:dyDescent="0.25">
      <c r="A976" s="159"/>
      <c r="C976" s="160"/>
      <c r="E976" s="159"/>
      <c r="F976" s="159"/>
      <c r="G976" s="159"/>
      <c r="H976" s="161"/>
      <c r="I976" s="161"/>
      <c r="J976" s="159"/>
      <c r="K976" s="153"/>
    </row>
    <row r="977" spans="1:11" ht="15.75" hidden="1" customHeight="1" x14ac:dyDescent="0.25">
      <c r="A977" s="159"/>
      <c r="C977" s="160"/>
      <c r="E977" s="159"/>
      <c r="F977" s="159"/>
      <c r="G977" s="159"/>
      <c r="H977" s="161"/>
      <c r="I977" s="161"/>
      <c r="J977" s="159"/>
      <c r="K977" s="153"/>
    </row>
    <row r="978" spans="1:11" ht="15.75" hidden="1" customHeight="1" x14ac:dyDescent="0.25">
      <c r="A978" s="159"/>
      <c r="C978" s="160"/>
      <c r="E978" s="159"/>
      <c r="F978" s="159"/>
      <c r="G978" s="159"/>
      <c r="H978" s="161"/>
      <c r="I978" s="161"/>
      <c r="J978" s="159"/>
      <c r="K978" s="153"/>
    </row>
    <row r="979" spans="1:11" ht="15.75" hidden="1" customHeight="1" x14ac:dyDescent="0.25">
      <c r="A979" s="159"/>
      <c r="C979" s="160"/>
      <c r="E979" s="159"/>
      <c r="F979" s="159"/>
      <c r="G979" s="159"/>
      <c r="H979" s="161"/>
      <c r="I979" s="161"/>
      <c r="J979" s="159"/>
      <c r="K979" s="153"/>
    </row>
    <row r="980" spans="1:11" ht="15.75" hidden="1" customHeight="1" x14ac:dyDescent="0.25">
      <c r="A980" s="159"/>
      <c r="C980" s="160"/>
      <c r="E980" s="159"/>
      <c r="F980" s="159"/>
      <c r="G980" s="159"/>
      <c r="H980" s="161"/>
      <c r="I980" s="161"/>
      <c r="J980" s="159"/>
      <c r="K980" s="153"/>
    </row>
    <row r="981" spans="1:11" ht="15.75" hidden="1" customHeight="1" x14ac:dyDescent="0.25">
      <c r="A981" s="159"/>
      <c r="C981" s="160"/>
      <c r="E981" s="159"/>
      <c r="F981" s="159"/>
      <c r="G981" s="159"/>
      <c r="H981" s="161"/>
      <c r="I981" s="161"/>
      <c r="J981" s="159"/>
      <c r="K981" s="153"/>
    </row>
    <row r="982" spans="1:11" ht="15.75" hidden="1" customHeight="1" x14ac:dyDescent="0.25">
      <c r="A982" s="159"/>
      <c r="C982" s="160"/>
      <c r="E982" s="159"/>
      <c r="F982" s="159"/>
      <c r="G982" s="159"/>
      <c r="H982" s="161"/>
      <c r="I982" s="161"/>
      <c r="J982" s="159"/>
      <c r="K982" s="153"/>
    </row>
    <row r="983" spans="1:11" ht="15.75" hidden="1" customHeight="1" x14ac:dyDescent="0.25">
      <c r="A983" s="159"/>
      <c r="C983" s="160"/>
      <c r="E983" s="159"/>
      <c r="F983" s="159"/>
      <c r="G983" s="159"/>
      <c r="H983" s="161"/>
      <c r="I983" s="161"/>
      <c r="J983" s="159"/>
      <c r="K983" s="153"/>
    </row>
    <row r="984" spans="1:11" ht="15.75" hidden="1" customHeight="1" x14ac:dyDescent="0.25">
      <c r="A984" s="159"/>
      <c r="C984" s="160"/>
      <c r="E984" s="159"/>
      <c r="F984" s="159"/>
      <c r="G984" s="159"/>
      <c r="H984" s="161"/>
      <c r="I984" s="161"/>
      <c r="J984" s="159"/>
      <c r="K984" s="153"/>
    </row>
    <row r="985" spans="1:11" ht="15.75" hidden="1" customHeight="1" x14ac:dyDescent="0.25">
      <c r="A985" s="159"/>
      <c r="C985" s="160"/>
      <c r="E985" s="159"/>
      <c r="F985" s="159"/>
      <c r="G985" s="159"/>
      <c r="H985" s="161"/>
      <c r="I985" s="161"/>
      <c r="J985" s="159"/>
      <c r="K985" s="153"/>
    </row>
    <row r="986" spans="1:11" ht="15.75" hidden="1" customHeight="1" x14ac:dyDescent="0.25">
      <c r="A986" s="159"/>
      <c r="C986" s="160"/>
      <c r="E986" s="159"/>
      <c r="F986" s="159"/>
      <c r="G986" s="159"/>
      <c r="H986" s="161"/>
      <c r="I986" s="161"/>
      <c r="J986" s="159"/>
      <c r="K986" s="153"/>
    </row>
    <row r="987" spans="1:11" ht="15.75" hidden="1" customHeight="1" x14ac:dyDescent="0.25">
      <c r="A987" s="159"/>
      <c r="C987" s="160"/>
      <c r="E987" s="159"/>
      <c r="F987" s="159"/>
      <c r="G987" s="159"/>
      <c r="H987" s="161"/>
      <c r="I987" s="161"/>
      <c r="J987" s="159"/>
      <c r="K987" s="153"/>
    </row>
    <row r="988" spans="1:11" ht="15.75" hidden="1" customHeight="1" x14ac:dyDescent="0.25">
      <c r="A988" s="159"/>
      <c r="C988" s="160"/>
      <c r="E988" s="159"/>
      <c r="F988" s="159"/>
      <c r="G988" s="159"/>
      <c r="H988" s="161"/>
      <c r="I988" s="161"/>
      <c r="J988" s="159"/>
      <c r="K988" s="153"/>
    </row>
    <row r="989" spans="1:11" ht="15.75" hidden="1" customHeight="1" x14ac:dyDescent="0.25">
      <c r="A989" s="159"/>
      <c r="C989" s="160"/>
      <c r="E989" s="159"/>
      <c r="F989" s="159"/>
      <c r="G989" s="159"/>
      <c r="H989" s="161"/>
      <c r="I989" s="161"/>
      <c r="J989" s="159"/>
      <c r="K989" s="153"/>
    </row>
    <row r="990" spans="1:11" ht="15.75" hidden="1" customHeight="1" x14ac:dyDescent="0.25">
      <c r="A990" s="159"/>
      <c r="C990" s="160"/>
      <c r="E990" s="159"/>
      <c r="F990" s="159"/>
      <c r="G990" s="159"/>
      <c r="H990" s="161"/>
      <c r="I990" s="161"/>
      <c r="J990" s="159"/>
      <c r="K990" s="153"/>
    </row>
    <row r="991" spans="1:11" ht="15.75" hidden="1" customHeight="1" x14ac:dyDescent="0.25">
      <c r="A991" s="159"/>
      <c r="C991" s="160"/>
      <c r="E991" s="159"/>
      <c r="F991" s="159"/>
      <c r="G991" s="159"/>
      <c r="H991" s="161"/>
      <c r="I991" s="161"/>
      <c r="J991" s="159"/>
      <c r="K991" s="153"/>
    </row>
    <row r="992" spans="1:11" ht="15.75" hidden="1" customHeight="1" x14ac:dyDescent="0.25">
      <c r="A992" s="159"/>
      <c r="C992" s="160"/>
      <c r="E992" s="159"/>
      <c r="F992" s="159"/>
      <c r="G992" s="159"/>
      <c r="H992" s="161"/>
      <c r="I992" s="161"/>
      <c r="J992" s="159"/>
      <c r="K992" s="153"/>
    </row>
    <row r="993" spans="1:11" ht="15.75" hidden="1" customHeight="1" x14ac:dyDescent="0.25">
      <c r="A993" s="159"/>
      <c r="C993" s="160"/>
      <c r="E993" s="159"/>
      <c r="F993" s="159"/>
      <c r="G993" s="159"/>
      <c r="H993" s="161"/>
      <c r="I993" s="161"/>
      <c r="J993" s="159"/>
      <c r="K993" s="153"/>
    </row>
    <row r="994" spans="1:11" ht="15.75" hidden="1" customHeight="1" x14ac:dyDescent="0.25">
      <c r="A994" s="159"/>
      <c r="C994" s="160"/>
      <c r="E994" s="159"/>
      <c r="F994" s="159"/>
      <c r="G994" s="159"/>
      <c r="H994" s="161"/>
      <c r="I994" s="161"/>
      <c r="J994" s="159"/>
      <c r="K994" s="153"/>
    </row>
    <row r="995" spans="1:11" ht="15.75" hidden="1" customHeight="1" x14ac:dyDescent="0.25">
      <c r="A995" s="159"/>
      <c r="C995" s="160"/>
      <c r="E995" s="159"/>
      <c r="F995" s="159"/>
      <c r="G995" s="159"/>
      <c r="H995" s="161"/>
      <c r="I995" s="161"/>
      <c r="J995" s="159"/>
      <c r="K995" s="153"/>
    </row>
    <row r="996" spans="1:11" ht="15.75" hidden="1" customHeight="1" x14ac:dyDescent="0.25">
      <c r="A996" s="159"/>
      <c r="C996" s="160"/>
      <c r="E996" s="159"/>
      <c r="F996" s="159"/>
      <c r="G996" s="159"/>
      <c r="H996" s="161"/>
      <c r="I996" s="161"/>
      <c r="J996" s="159"/>
      <c r="K996" s="153"/>
    </row>
    <row r="997" spans="1:11" ht="15.75" hidden="1" customHeight="1" x14ac:dyDescent="0.25">
      <c r="A997" s="159"/>
      <c r="C997" s="160"/>
      <c r="E997" s="159"/>
      <c r="F997" s="159"/>
      <c r="G997" s="159"/>
      <c r="H997" s="161"/>
      <c r="I997" s="161"/>
      <c r="J997" s="159"/>
      <c r="K997" s="153"/>
    </row>
    <row r="998" spans="1:11" ht="15.75" hidden="1" customHeight="1" x14ac:dyDescent="0.25">
      <c r="A998" s="159"/>
      <c r="C998" s="160"/>
      <c r="E998" s="159"/>
      <c r="F998" s="159"/>
      <c r="G998" s="159"/>
      <c r="H998" s="161"/>
      <c r="I998" s="161"/>
      <c r="J998" s="159"/>
      <c r="K998" s="153"/>
    </row>
    <row r="999" spans="1:11" ht="15.75" hidden="1" customHeight="1" x14ac:dyDescent="0.25">
      <c r="A999" s="159"/>
      <c r="C999" s="160"/>
      <c r="E999" s="159"/>
      <c r="F999" s="159"/>
      <c r="G999" s="159"/>
      <c r="H999" s="161"/>
      <c r="I999" s="161"/>
      <c r="J999" s="159"/>
      <c r="K999" s="153"/>
    </row>
    <row r="1000" spans="1:11" ht="15.75" hidden="1" customHeight="1" x14ac:dyDescent="0.25">
      <c r="A1000" s="159"/>
      <c r="C1000" s="160"/>
      <c r="E1000" s="159"/>
      <c r="F1000" s="159"/>
      <c r="G1000" s="159"/>
      <c r="H1000" s="161"/>
      <c r="I1000" s="161"/>
      <c r="J1000" s="159"/>
      <c r="K1000" s="153"/>
    </row>
    <row r="1001" spans="1:11" ht="15.75" hidden="1" customHeight="1" x14ac:dyDescent="0.25">
      <c r="A1001" s="159"/>
      <c r="C1001" s="160"/>
      <c r="E1001" s="159"/>
      <c r="F1001" s="159"/>
      <c r="G1001" s="159"/>
      <c r="H1001" s="161"/>
      <c r="I1001" s="161"/>
      <c r="J1001" s="159"/>
      <c r="K1001" s="153"/>
    </row>
    <row r="1002" spans="1:11" ht="15.75" hidden="1" customHeight="1" x14ac:dyDescent="0.25">
      <c r="A1002" s="159"/>
      <c r="C1002" s="160"/>
      <c r="E1002" s="159"/>
      <c r="F1002" s="159"/>
      <c r="G1002" s="159"/>
      <c r="H1002" s="161"/>
      <c r="I1002" s="161"/>
      <c r="J1002" s="159"/>
      <c r="K1002" s="153"/>
    </row>
    <row r="1003" spans="1:11" ht="15.75" hidden="1" customHeight="1" x14ac:dyDescent="0.25">
      <c r="A1003" s="159"/>
      <c r="C1003" s="160"/>
      <c r="E1003" s="159"/>
      <c r="F1003" s="159"/>
      <c r="G1003" s="159"/>
      <c r="H1003" s="161"/>
      <c r="I1003" s="161"/>
      <c r="J1003" s="159"/>
      <c r="K1003" s="153"/>
    </row>
    <row r="1004" spans="1:11" ht="15.75" hidden="1" customHeight="1" x14ac:dyDescent="0.25">
      <c r="A1004" s="159"/>
      <c r="C1004" s="160"/>
      <c r="E1004" s="159"/>
      <c r="F1004" s="159"/>
      <c r="G1004" s="159"/>
      <c r="H1004" s="161"/>
      <c r="I1004" s="161"/>
      <c r="J1004" s="159"/>
      <c r="K1004" s="153"/>
    </row>
    <row r="1005" spans="1:11" ht="15.75" hidden="1" customHeight="1" x14ac:dyDescent="0.25">
      <c r="A1005" s="159"/>
      <c r="C1005" s="160"/>
      <c r="E1005" s="159"/>
      <c r="F1005" s="159"/>
      <c r="G1005" s="159"/>
      <c r="H1005" s="161"/>
      <c r="I1005" s="161"/>
      <c r="J1005" s="159"/>
      <c r="K1005" s="153"/>
    </row>
    <row r="1006" spans="1:11" ht="15.75" hidden="1" customHeight="1" x14ac:dyDescent="0.25">
      <c r="A1006" s="159"/>
      <c r="C1006" s="160"/>
      <c r="E1006" s="159"/>
      <c r="F1006" s="159"/>
      <c r="G1006" s="159"/>
      <c r="H1006" s="161"/>
      <c r="I1006" s="161"/>
      <c r="J1006" s="159"/>
      <c r="K1006" s="153"/>
    </row>
    <row r="1007" spans="1:11" ht="15.75" hidden="1" customHeight="1" x14ac:dyDescent="0.25">
      <c r="A1007" s="159"/>
      <c r="C1007" s="160"/>
      <c r="E1007" s="159"/>
      <c r="F1007" s="159"/>
      <c r="G1007" s="159"/>
      <c r="H1007" s="161"/>
      <c r="I1007" s="161"/>
      <c r="J1007" s="159"/>
      <c r="K1007" s="153"/>
    </row>
    <row r="1008" spans="1:11" ht="15.75" hidden="1" customHeight="1" x14ac:dyDescent="0.25">
      <c r="A1008" s="159"/>
      <c r="C1008" s="160"/>
      <c r="E1008" s="159"/>
      <c r="F1008" s="159"/>
      <c r="G1008" s="159"/>
      <c r="H1008" s="161"/>
      <c r="I1008" s="161"/>
      <c r="J1008" s="159"/>
      <c r="K1008" s="153"/>
    </row>
    <row r="1009" spans="1:11" ht="15.75" hidden="1" customHeight="1" x14ac:dyDescent="0.25">
      <c r="A1009" s="159"/>
      <c r="C1009" s="160"/>
      <c r="E1009" s="159"/>
      <c r="F1009" s="159"/>
      <c r="G1009" s="159"/>
      <c r="H1009" s="161"/>
      <c r="I1009" s="161"/>
      <c r="J1009" s="159"/>
      <c r="K1009" s="153"/>
    </row>
    <row r="1010" spans="1:11" ht="15.75" hidden="1" customHeight="1" x14ac:dyDescent="0.25">
      <c r="A1010" s="159"/>
      <c r="C1010" s="160"/>
      <c r="E1010" s="159"/>
      <c r="F1010" s="159"/>
      <c r="G1010" s="159"/>
      <c r="H1010" s="161"/>
      <c r="I1010" s="161"/>
      <c r="J1010" s="159"/>
      <c r="K1010" s="153"/>
    </row>
    <row r="1011" spans="1:11" ht="15.75" hidden="1" customHeight="1" x14ac:dyDescent="0.25">
      <c r="A1011" s="159"/>
      <c r="C1011" s="160"/>
      <c r="E1011" s="159"/>
      <c r="F1011" s="159"/>
      <c r="G1011" s="159"/>
      <c r="H1011" s="161"/>
      <c r="I1011" s="161"/>
      <c r="J1011" s="159"/>
      <c r="K1011" s="153"/>
    </row>
    <row r="1012" spans="1:11" ht="15.75" hidden="1" customHeight="1" x14ac:dyDescent="0.25">
      <c r="A1012" s="159"/>
      <c r="C1012" s="160"/>
      <c r="E1012" s="159"/>
      <c r="F1012" s="159"/>
      <c r="G1012" s="159"/>
      <c r="H1012" s="161"/>
      <c r="I1012" s="161"/>
      <c r="J1012" s="159"/>
      <c r="K1012" s="153"/>
    </row>
    <row r="1013" spans="1:11" ht="15.75" hidden="1" customHeight="1" x14ac:dyDescent="0.25">
      <c r="A1013" s="159"/>
      <c r="C1013" s="160"/>
      <c r="E1013" s="159"/>
      <c r="F1013" s="159"/>
      <c r="G1013" s="159"/>
      <c r="H1013" s="161"/>
      <c r="I1013" s="161"/>
      <c r="J1013" s="159"/>
      <c r="K1013" s="153"/>
    </row>
    <row r="1014" spans="1:11" ht="15.75" hidden="1" customHeight="1" x14ac:dyDescent="0.25">
      <c r="A1014" s="159"/>
      <c r="C1014" s="160"/>
      <c r="E1014" s="159"/>
      <c r="F1014" s="159"/>
      <c r="G1014" s="159"/>
      <c r="H1014" s="161"/>
      <c r="I1014" s="161"/>
      <c r="J1014" s="159"/>
      <c r="K1014" s="153"/>
    </row>
    <row r="1015" spans="1:11" ht="15.75" hidden="1" customHeight="1" x14ac:dyDescent="0.25">
      <c r="A1015" s="159"/>
      <c r="C1015" s="160"/>
      <c r="E1015" s="159"/>
      <c r="F1015" s="159"/>
      <c r="G1015" s="159"/>
      <c r="H1015" s="161"/>
      <c r="I1015" s="161"/>
      <c r="J1015" s="159"/>
      <c r="K1015" s="153"/>
    </row>
    <row r="1016" spans="1:11" ht="15.75" hidden="1" customHeight="1" x14ac:dyDescent="0.25">
      <c r="A1016" s="159"/>
      <c r="C1016" s="160"/>
      <c r="E1016" s="159"/>
      <c r="F1016" s="159"/>
      <c r="G1016" s="159"/>
      <c r="H1016" s="161"/>
      <c r="I1016" s="161"/>
      <c r="J1016" s="159"/>
      <c r="K1016" s="153"/>
    </row>
    <row r="1017" spans="1:11" ht="15.75" hidden="1" customHeight="1" x14ac:dyDescent="0.25">
      <c r="A1017" s="159"/>
      <c r="C1017" s="160"/>
      <c r="E1017" s="159"/>
      <c r="F1017" s="159"/>
      <c r="G1017" s="159"/>
      <c r="H1017" s="161"/>
      <c r="I1017" s="161"/>
      <c r="J1017" s="159"/>
      <c r="K1017" s="153"/>
    </row>
    <row r="1018" spans="1:11" ht="15.75" hidden="1" customHeight="1" x14ac:dyDescent="0.25">
      <c r="A1018" s="159"/>
      <c r="C1018" s="160"/>
      <c r="E1018" s="159"/>
      <c r="F1018" s="159"/>
      <c r="G1018" s="159"/>
      <c r="H1018" s="161"/>
      <c r="I1018" s="161"/>
      <c r="J1018" s="159"/>
      <c r="K1018" s="153"/>
    </row>
    <row r="1019" spans="1:11" ht="15.75" hidden="1" customHeight="1" x14ac:dyDescent="0.25">
      <c r="A1019" s="159"/>
      <c r="C1019" s="160"/>
      <c r="E1019" s="159"/>
      <c r="F1019" s="159"/>
      <c r="G1019" s="159"/>
      <c r="H1019" s="161"/>
      <c r="I1019" s="161"/>
      <c r="J1019" s="159"/>
      <c r="K1019" s="153"/>
    </row>
    <row r="1020" spans="1:11" ht="15.75" hidden="1" customHeight="1" x14ac:dyDescent="0.25">
      <c r="A1020" s="159"/>
      <c r="C1020" s="160"/>
      <c r="E1020" s="159"/>
      <c r="F1020" s="159"/>
      <c r="G1020" s="159"/>
      <c r="H1020" s="161"/>
      <c r="I1020" s="161"/>
      <c r="J1020" s="159"/>
      <c r="K1020" s="153"/>
    </row>
    <row r="1021" spans="1:11" ht="15.75" hidden="1" customHeight="1" x14ac:dyDescent="0.25">
      <c r="A1021" s="159"/>
      <c r="C1021" s="160"/>
      <c r="E1021" s="159"/>
      <c r="F1021" s="159"/>
      <c r="G1021" s="159"/>
      <c r="H1021" s="161"/>
      <c r="I1021" s="161"/>
      <c r="J1021" s="159"/>
      <c r="K1021" s="153"/>
    </row>
  </sheetData>
  <autoFilter ref="A1:L326" xr:uid="{00000000-0009-0000-0000-000000000000}"/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0FB9-C62A-468D-8D00-16090C49D256}">
  <sheetPr filterMode="1"/>
  <dimension ref="A1:H371"/>
  <sheetViews>
    <sheetView workbookViewId="0">
      <selection activeCell="C167" sqref="C167"/>
    </sheetView>
  </sheetViews>
  <sheetFormatPr defaultRowHeight="15.75" outlineLevelCol="1" x14ac:dyDescent="0.25"/>
  <cols>
    <col min="1" max="1" width="26.77734375" bestFit="1" customWidth="1"/>
    <col min="4" max="5" width="8.88671875" customWidth="1" outlineLevel="1"/>
    <col min="6" max="6" width="41.21875" customWidth="1" outlineLevel="1"/>
    <col min="7" max="8" width="8.88671875" customWidth="1" outlineLevel="1"/>
  </cols>
  <sheetData>
    <row r="1" spans="1:7" x14ac:dyDescent="0.25">
      <c r="A1" s="49" t="s">
        <v>622</v>
      </c>
      <c r="B1" s="49" t="s">
        <v>626</v>
      </c>
      <c r="F1" s="49" t="s">
        <v>623</v>
      </c>
      <c r="G1" s="49" t="s">
        <v>624</v>
      </c>
    </row>
    <row r="2" spans="1:7" hidden="1" x14ac:dyDescent="0.25">
      <c r="A2" s="48" t="s">
        <v>152</v>
      </c>
      <c r="B2" t="str">
        <f>VLOOKUP($A2,$F$2:$G$216,2,FALSE)</f>
        <v>In MR</v>
      </c>
      <c r="F2" s="48" t="s">
        <v>489</v>
      </c>
      <c r="G2" s="51" t="s">
        <v>625</v>
      </c>
    </row>
    <row r="3" spans="1:7" hidden="1" x14ac:dyDescent="0.25">
      <c r="A3" s="48" t="s">
        <v>396</v>
      </c>
      <c r="B3" t="str">
        <f t="shared" ref="B3:B66" si="0">VLOOKUP($A3,$F$2:$G$216,2,FALSE)</f>
        <v>In MR</v>
      </c>
      <c r="F3" s="48" t="s">
        <v>152</v>
      </c>
      <c r="G3" s="51" t="s">
        <v>625</v>
      </c>
    </row>
    <row r="4" spans="1:7" hidden="1" x14ac:dyDescent="0.25">
      <c r="A4" s="48" t="s">
        <v>418</v>
      </c>
      <c r="B4" t="str">
        <f t="shared" si="0"/>
        <v>In MR</v>
      </c>
      <c r="F4" s="48" t="s">
        <v>396</v>
      </c>
      <c r="G4" s="51" t="s">
        <v>625</v>
      </c>
    </row>
    <row r="5" spans="1:7" hidden="1" x14ac:dyDescent="0.25">
      <c r="A5" s="48" t="s">
        <v>486</v>
      </c>
      <c r="B5" t="str">
        <f t="shared" si="0"/>
        <v>In MR</v>
      </c>
      <c r="F5" s="48" t="s">
        <v>418</v>
      </c>
      <c r="G5" s="51" t="s">
        <v>625</v>
      </c>
    </row>
    <row r="6" spans="1:7" hidden="1" x14ac:dyDescent="0.25">
      <c r="A6" s="48" t="s">
        <v>485</v>
      </c>
      <c r="B6" t="str">
        <f t="shared" si="0"/>
        <v>In MR</v>
      </c>
      <c r="F6" s="48" t="s">
        <v>486</v>
      </c>
      <c r="G6" s="51" t="s">
        <v>625</v>
      </c>
    </row>
    <row r="7" spans="1:7" hidden="1" x14ac:dyDescent="0.25">
      <c r="A7" s="48" t="s">
        <v>484</v>
      </c>
      <c r="B7" t="str">
        <f t="shared" si="0"/>
        <v>In MR</v>
      </c>
      <c r="F7" s="48" t="s">
        <v>485</v>
      </c>
      <c r="G7" s="51" t="s">
        <v>625</v>
      </c>
    </row>
    <row r="8" spans="1:7" hidden="1" x14ac:dyDescent="0.25">
      <c r="A8" s="48" t="s">
        <v>501</v>
      </c>
      <c r="B8" t="str">
        <f t="shared" si="0"/>
        <v>In MR</v>
      </c>
      <c r="F8" s="48" t="s">
        <v>484</v>
      </c>
      <c r="G8" s="51" t="s">
        <v>625</v>
      </c>
    </row>
    <row r="9" spans="1:7" hidden="1" x14ac:dyDescent="0.25">
      <c r="A9" s="48" t="s">
        <v>502</v>
      </c>
      <c r="B9" t="str">
        <f t="shared" si="0"/>
        <v>In MR</v>
      </c>
      <c r="F9" s="48" t="s">
        <v>501</v>
      </c>
      <c r="G9" s="51" t="s">
        <v>625</v>
      </c>
    </row>
    <row r="10" spans="1:7" hidden="1" x14ac:dyDescent="0.25">
      <c r="A10" s="48" t="s">
        <v>573</v>
      </c>
      <c r="B10" t="str">
        <f t="shared" si="0"/>
        <v>In MR</v>
      </c>
      <c r="F10" s="48" t="s">
        <v>502</v>
      </c>
      <c r="G10" s="51" t="s">
        <v>625</v>
      </c>
    </row>
    <row r="11" spans="1:7" hidden="1" x14ac:dyDescent="0.25">
      <c r="A11" s="48" t="s">
        <v>574</v>
      </c>
      <c r="B11" t="str">
        <f t="shared" si="0"/>
        <v>In MR</v>
      </c>
      <c r="F11" s="48" t="s">
        <v>573</v>
      </c>
      <c r="G11" s="51" t="s">
        <v>625</v>
      </c>
    </row>
    <row r="12" spans="1:7" hidden="1" x14ac:dyDescent="0.25">
      <c r="A12" s="48" t="s">
        <v>503</v>
      </c>
      <c r="B12" t="str">
        <f t="shared" si="0"/>
        <v>In MR</v>
      </c>
      <c r="F12" s="48" t="s">
        <v>574</v>
      </c>
      <c r="G12" s="51" t="s">
        <v>625</v>
      </c>
    </row>
    <row r="13" spans="1:7" hidden="1" x14ac:dyDescent="0.25">
      <c r="A13" s="48" t="s">
        <v>575</v>
      </c>
      <c r="B13" t="str">
        <f t="shared" si="0"/>
        <v>In MR</v>
      </c>
      <c r="F13" s="48" t="s">
        <v>503</v>
      </c>
      <c r="G13" s="51" t="s">
        <v>625</v>
      </c>
    </row>
    <row r="14" spans="1:7" x14ac:dyDescent="0.25">
      <c r="A14" s="48" t="s">
        <v>616</v>
      </c>
      <c r="B14" t="e">
        <f t="shared" si="0"/>
        <v>#N/A</v>
      </c>
      <c r="F14" s="48" t="s">
        <v>575</v>
      </c>
      <c r="G14" s="51" t="s">
        <v>625</v>
      </c>
    </row>
    <row r="15" spans="1:7" hidden="1" x14ac:dyDescent="0.25">
      <c r="A15" s="48" t="s">
        <v>557</v>
      </c>
      <c r="B15" t="str">
        <f t="shared" si="0"/>
        <v>In MR</v>
      </c>
      <c r="F15" s="48" t="s">
        <v>557</v>
      </c>
      <c r="G15" s="51" t="s">
        <v>625</v>
      </c>
    </row>
    <row r="16" spans="1:7" hidden="1" x14ac:dyDescent="0.25">
      <c r="A16" s="48" t="s">
        <v>576</v>
      </c>
      <c r="B16" t="str">
        <f t="shared" si="0"/>
        <v>In MR</v>
      </c>
      <c r="F16" s="48" t="s">
        <v>576</v>
      </c>
      <c r="G16" s="51" t="s">
        <v>625</v>
      </c>
    </row>
    <row r="17" spans="1:7" hidden="1" x14ac:dyDescent="0.25">
      <c r="A17" s="48" t="s">
        <v>566</v>
      </c>
      <c r="B17" t="str">
        <f t="shared" si="0"/>
        <v>In MR</v>
      </c>
      <c r="F17" s="48" t="s">
        <v>566</v>
      </c>
      <c r="G17" s="51" t="s">
        <v>625</v>
      </c>
    </row>
    <row r="18" spans="1:7" hidden="1" x14ac:dyDescent="0.25">
      <c r="A18" s="48" t="s">
        <v>572</v>
      </c>
      <c r="B18" t="str">
        <f t="shared" si="0"/>
        <v>In MR</v>
      </c>
      <c r="F18" s="48" t="s">
        <v>572</v>
      </c>
      <c r="G18" s="51" t="s">
        <v>625</v>
      </c>
    </row>
    <row r="19" spans="1:7" hidden="1" x14ac:dyDescent="0.25">
      <c r="A19" s="48" t="s">
        <v>577</v>
      </c>
      <c r="B19" t="str">
        <f t="shared" si="0"/>
        <v>In MR</v>
      </c>
      <c r="F19" s="48" t="s">
        <v>577</v>
      </c>
      <c r="G19" s="51" t="s">
        <v>625</v>
      </c>
    </row>
    <row r="20" spans="1:7" hidden="1" x14ac:dyDescent="0.25">
      <c r="A20" s="48" t="s">
        <v>578</v>
      </c>
      <c r="B20" t="str">
        <f t="shared" si="0"/>
        <v>In MR</v>
      </c>
      <c r="F20" s="48" t="s">
        <v>578</v>
      </c>
      <c r="G20" s="51" t="s">
        <v>625</v>
      </c>
    </row>
    <row r="21" spans="1:7" hidden="1" x14ac:dyDescent="0.25">
      <c r="A21" s="48" t="s">
        <v>597</v>
      </c>
      <c r="B21" t="str">
        <f t="shared" si="0"/>
        <v>In MR</v>
      </c>
      <c r="F21" s="48" t="s">
        <v>597</v>
      </c>
      <c r="G21" s="51" t="s">
        <v>625</v>
      </c>
    </row>
    <row r="22" spans="1:7" x14ac:dyDescent="0.25">
      <c r="A22" s="48" t="s">
        <v>618</v>
      </c>
      <c r="B22" t="e">
        <f t="shared" si="0"/>
        <v>#N/A</v>
      </c>
      <c r="F22" s="48" t="s">
        <v>36</v>
      </c>
      <c r="G22" s="51" t="s">
        <v>625</v>
      </c>
    </row>
    <row r="23" spans="1:7" hidden="1" x14ac:dyDescent="0.25">
      <c r="A23" s="48" t="s">
        <v>154</v>
      </c>
      <c r="B23" t="str">
        <f t="shared" si="0"/>
        <v>In MR</v>
      </c>
      <c r="F23" s="48" t="s">
        <v>154</v>
      </c>
      <c r="G23" s="51" t="s">
        <v>625</v>
      </c>
    </row>
    <row r="24" spans="1:7" hidden="1" x14ac:dyDescent="0.25">
      <c r="A24" s="48" t="s">
        <v>453</v>
      </c>
      <c r="B24" t="str">
        <f t="shared" si="0"/>
        <v>In MR</v>
      </c>
      <c r="F24" s="48" t="s">
        <v>155</v>
      </c>
      <c r="G24" s="51" t="s">
        <v>625</v>
      </c>
    </row>
    <row r="25" spans="1:7" hidden="1" x14ac:dyDescent="0.25">
      <c r="A25" s="48" t="s">
        <v>464</v>
      </c>
      <c r="B25" t="str">
        <f t="shared" si="0"/>
        <v>In MR</v>
      </c>
      <c r="F25" s="48" t="s">
        <v>453</v>
      </c>
      <c r="G25" s="51" t="s">
        <v>625</v>
      </c>
    </row>
    <row r="26" spans="1:7" hidden="1" x14ac:dyDescent="0.25">
      <c r="A26" s="48" t="s">
        <v>452</v>
      </c>
      <c r="B26" t="str">
        <f t="shared" si="0"/>
        <v>In MR</v>
      </c>
      <c r="F26" s="48" t="s">
        <v>464</v>
      </c>
      <c r="G26" s="51" t="s">
        <v>625</v>
      </c>
    </row>
    <row r="27" spans="1:7" hidden="1" x14ac:dyDescent="0.25">
      <c r="A27" s="48" t="s">
        <v>467</v>
      </c>
      <c r="B27" t="str">
        <f t="shared" si="0"/>
        <v>In MR</v>
      </c>
      <c r="F27" s="48" t="s">
        <v>452</v>
      </c>
      <c r="G27" s="51" t="s">
        <v>625</v>
      </c>
    </row>
    <row r="28" spans="1:7" hidden="1" x14ac:dyDescent="0.25">
      <c r="A28" s="48" t="s">
        <v>466</v>
      </c>
      <c r="B28" t="str">
        <f t="shared" si="0"/>
        <v>In MR</v>
      </c>
      <c r="F28" s="48" t="s">
        <v>467</v>
      </c>
      <c r="G28" s="51" t="s">
        <v>625</v>
      </c>
    </row>
    <row r="29" spans="1:7" hidden="1" x14ac:dyDescent="0.25">
      <c r="A29" s="48" t="s">
        <v>111</v>
      </c>
      <c r="B29" t="str">
        <f t="shared" si="0"/>
        <v>In MR</v>
      </c>
      <c r="F29" s="48" t="s">
        <v>466</v>
      </c>
      <c r="G29" s="51" t="s">
        <v>625</v>
      </c>
    </row>
    <row r="30" spans="1:7" hidden="1" x14ac:dyDescent="0.25">
      <c r="A30" s="48" t="s">
        <v>162</v>
      </c>
      <c r="B30" t="str">
        <f t="shared" si="0"/>
        <v>In MR</v>
      </c>
      <c r="F30" s="48" t="s">
        <v>111</v>
      </c>
      <c r="G30" s="51" t="s">
        <v>625</v>
      </c>
    </row>
    <row r="31" spans="1:7" hidden="1" x14ac:dyDescent="0.25">
      <c r="A31" s="48" t="s">
        <v>596</v>
      </c>
      <c r="B31" t="str">
        <f t="shared" si="0"/>
        <v>In MR</v>
      </c>
      <c r="F31" s="48" t="s">
        <v>162</v>
      </c>
      <c r="G31" s="51" t="s">
        <v>625</v>
      </c>
    </row>
    <row r="32" spans="1:7" hidden="1" x14ac:dyDescent="0.25">
      <c r="A32" s="48" t="s">
        <v>45</v>
      </c>
      <c r="B32" t="str">
        <f t="shared" si="0"/>
        <v>In MR</v>
      </c>
      <c r="F32" s="48" t="s">
        <v>596</v>
      </c>
      <c r="G32" s="51" t="s">
        <v>625</v>
      </c>
    </row>
    <row r="33" spans="1:7" hidden="1" x14ac:dyDescent="0.25">
      <c r="A33" s="48" t="s">
        <v>46</v>
      </c>
      <c r="B33" t="str">
        <f t="shared" si="0"/>
        <v>In MR</v>
      </c>
      <c r="F33" s="48" t="s">
        <v>45</v>
      </c>
      <c r="G33" s="51" t="s">
        <v>625</v>
      </c>
    </row>
    <row r="34" spans="1:7" hidden="1" x14ac:dyDescent="0.25">
      <c r="A34" s="48" t="s">
        <v>43</v>
      </c>
      <c r="B34" t="str">
        <f t="shared" si="0"/>
        <v>In MR</v>
      </c>
      <c r="F34" s="48" t="s">
        <v>46</v>
      </c>
      <c r="G34" s="51" t="s">
        <v>625</v>
      </c>
    </row>
    <row r="35" spans="1:7" hidden="1" x14ac:dyDescent="0.25">
      <c r="A35" s="48" t="s">
        <v>110</v>
      </c>
      <c r="B35" t="str">
        <f t="shared" si="0"/>
        <v>In MR</v>
      </c>
      <c r="F35" s="48" t="s">
        <v>43</v>
      </c>
      <c r="G35" s="51" t="s">
        <v>625</v>
      </c>
    </row>
    <row r="36" spans="1:7" hidden="1" x14ac:dyDescent="0.25">
      <c r="A36" s="48" t="s">
        <v>65</v>
      </c>
      <c r="B36" t="str">
        <f t="shared" si="0"/>
        <v>In MR</v>
      </c>
      <c r="F36" s="48" t="s">
        <v>41</v>
      </c>
      <c r="G36" s="51" t="s">
        <v>625</v>
      </c>
    </row>
    <row r="37" spans="1:7" hidden="1" x14ac:dyDescent="0.25">
      <c r="A37" s="48" t="s">
        <v>107</v>
      </c>
      <c r="B37" t="str">
        <f t="shared" si="0"/>
        <v>In MR</v>
      </c>
      <c r="F37" s="48" t="s">
        <v>110</v>
      </c>
      <c r="G37" s="51" t="s">
        <v>625</v>
      </c>
    </row>
    <row r="38" spans="1:7" hidden="1" x14ac:dyDescent="0.25">
      <c r="A38" s="48" t="s">
        <v>103</v>
      </c>
      <c r="B38" t="str">
        <f t="shared" si="0"/>
        <v>In MR</v>
      </c>
      <c r="F38" s="48" t="s">
        <v>64</v>
      </c>
      <c r="G38" s="51" t="s">
        <v>625</v>
      </c>
    </row>
    <row r="39" spans="1:7" hidden="1" x14ac:dyDescent="0.25">
      <c r="A39" s="48" t="s">
        <v>121</v>
      </c>
      <c r="B39" t="str">
        <f t="shared" si="0"/>
        <v>In MR</v>
      </c>
      <c r="F39" s="48" t="s">
        <v>65</v>
      </c>
      <c r="G39" s="51" t="s">
        <v>625</v>
      </c>
    </row>
    <row r="40" spans="1:7" hidden="1" x14ac:dyDescent="0.25">
      <c r="A40" s="48" t="s">
        <v>124</v>
      </c>
      <c r="B40" t="str">
        <f t="shared" si="0"/>
        <v>In MR</v>
      </c>
      <c r="F40" s="48" t="s">
        <v>107</v>
      </c>
      <c r="G40" s="51" t="s">
        <v>625</v>
      </c>
    </row>
    <row r="41" spans="1:7" hidden="1" x14ac:dyDescent="0.25">
      <c r="A41" s="48" t="s">
        <v>122</v>
      </c>
      <c r="B41" t="str">
        <f t="shared" si="0"/>
        <v>In MR</v>
      </c>
      <c r="F41" s="48" t="s">
        <v>99</v>
      </c>
      <c r="G41" s="51" t="s">
        <v>625</v>
      </c>
    </row>
    <row r="42" spans="1:7" hidden="1" x14ac:dyDescent="0.25">
      <c r="A42" s="48" t="s">
        <v>137</v>
      </c>
      <c r="B42" t="str">
        <f t="shared" si="0"/>
        <v>In MR</v>
      </c>
      <c r="F42" s="48" t="s">
        <v>101</v>
      </c>
      <c r="G42" s="51" t="s">
        <v>625</v>
      </c>
    </row>
    <row r="43" spans="1:7" hidden="1" x14ac:dyDescent="0.25">
      <c r="A43" s="48" t="s">
        <v>138</v>
      </c>
      <c r="B43" t="str">
        <f t="shared" si="0"/>
        <v>In MR</v>
      </c>
      <c r="F43" s="48" t="s">
        <v>103</v>
      </c>
      <c r="G43" s="51" t="s">
        <v>625</v>
      </c>
    </row>
    <row r="44" spans="1:7" hidden="1" x14ac:dyDescent="0.25">
      <c r="A44" s="48" t="s">
        <v>143</v>
      </c>
      <c r="B44" t="str">
        <f t="shared" si="0"/>
        <v>In MR</v>
      </c>
      <c r="F44" s="48" t="s">
        <v>120</v>
      </c>
      <c r="G44" s="51" t="s">
        <v>625</v>
      </c>
    </row>
    <row r="45" spans="1:7" hidden="1" x14ac:dyDescent="0.25">
      <c r="A45" s="48" t="s">
        <v>158</v>
      </c>
      <c r="B45" t="str">
        <f t="shared" si="0"/>
        <v>In MR</v>
      </c>
      <c r="F45" s="48" t="s">
        <v>157</v>
      </c>
      <c r="G45" s="51" t="s">
        <v>625</v>
      </c>
    </row>
    <row r="46" spans="1:7" hidden="1" x14ac:dyDescent="0.25">
      <c r="A46" s="48" t="s">
        <v>163</v>
      </c>
      <c r="B46" t="str">
        <f t="shared" si="0"/>
        <v>In MR</v>
      </c>
      <c r="F46" s="48" t="s">
        <v>121</v>
      </c>
      <c r="G46" s="51" t="s">
        <v>625</v>
      </c>
    </row>
    <row r="47" spans="1:7" hidden="1" x14ac:dyDescent="0.25">
      <c r="A47" s="48" t="s">
        <v>178</v>
      </c>
      <c r="B47" t="str">
        <f t="shared" si="0"/>
        <v>In MR</v>
      </c>
      <c r="F47" s="48" t="s">
        <v>124</v>
      </c>
      <c r="G47" s="51" t="s">
        <v>625</v>
      </c>
    </row>
    <row r="48" spans="1:7" hidden="1" x14ac:dyDescent="0.25">
      <c r="A48" s="48" t="s">
        <v>182</v>
      </c>
      <c r="B48" t="str">
        <f t="shared" si="0"/>
        <v>In MR</v>
      </c>
      <c r="F48" s="48" t="s">
        <v>122</v>
      </c>
      <c r="G48" s="51" t="s">
        <v>625</v>
      </c>
    </row>
    <row r="49" spans="1:7" hidden="1" x14ac:dyDescent="0.25">
      <c r="A49" s="48" t="s">
        <v>184</v>
      </c>
      <c r="B49" t="str">
        <f t="shared" si="0"/>
        <v>In MR</v>
      </c>
      <c r="F49" s="48" t="s">
        <v>137</v>
      </c>
      <c r="G49" s="51" t="s">
        <v>625</v>
      </c>
    </row>
    <row r="50" spans="1:7" hidden="1" x14ac:dyDescent="0.25">
      <c r="A50" s="48" t="s">
        <v>352</v>
      </c>
      <c r="B50" t="str">
        <f t="shared" si="0"/>
        <v>In MR</v>
      </c>
      <c r="F50" s="48" t="s">
        <v>138</v>
      </c>
      <c r="G50" s="51" t="s">
        <v>625</v>
      </c>
    </row>
    <row r="51" spans="1:7" hidden="1" x14ac:dyDescent="0.25">
      <c r="A51" s="48" t="s">
        <v>400</v>
      </c>
      <c r="B51" t="str">
        <f t="shared" si="0"/>
        <v>In MR</v>
      </c>
      <c r="F51" s="48" t="s">
        <v>142</v>
      </c>
      <c r="G51" s="51" t="s">
        <v>625</v>
      </c>
    </row>
    <row r="52" spans="1:7" hidden="1" x14ac:dyDescent="0.25">
      <c r="A52" s="48" t="s">
        <v>516</v>
      </c>
      <c r="B52" t="str">
        <f t="shared" si="0"/>
        <v>In MR</v>
      </c>
      <c r="F52" s="48" t="s">
        <v>143</v>
      </c>
      <c r="G52" s="51" t="s">
        <v>625</v>
      </c>
    </row>
    <row r="53" spans="1:7" hidden="1" x14ac:dyDescent="0.25">
      <c r="A53" s="48" t="s">
        <v>579</v>
      </c>
      <c r="B53" t="str">
        <f t="shared" si="0"/>
        <v>In MR</v>
      </c>
      <c r="F53" s="48" t="s">
        <v>158</v>
      </c>
      <c r="G53" s="51" t="s">
        <v>625</v>
      </c>
    </row>
    <row r="54" spans="1:7" hidden="1" x14ac:dyDescent="0.25">
      <c r="A54" s="48" t="s">
        <v>558</v>
      </c>
      <c r="B54" t="str">
        <f t="shared" si="0"/>
        <v>In MR</v>
      </c>
      <c r="F54" s="48" t="s">
        <v>163</v>
      </c>
      <c r="G54" s="51" t="s">
        <v>625</v>
      </c>
    </row>
    <row r="55" spans="1:7" hidden="1" x14ac:dyDescent="0.25">
      <c r="A55" s="48" t="s">
        <v>569</v>
      </c>
      <c r="B55" t="str">
        <f t="shared" si="0"/>
        <v>In MR</v>
      </c>
      <c r="F55" s="48" t="s">
        <v>176</v>
      </c>
      <c r="G55" s="51" t="s">
        <v>625</v>
      </c>
    </row>
    <row r="56" spans="1:7" hidden="1" x14ac:dyDescent="0.25">
      <c r="A56" s="48" t="s">
        <v>580</v>
      </c>
      <c r="B56" t="str">
        <f t="shared" si="0"/>
        <v>In MR</v>
      </c>
      <c r="F56" s="48" t="s">
        <v>178</v>
      </c>
      <c r="G56" s="51" t="s">
        <v>625</v>
      </c>
    </row>
    <row r="57" spans="1:7" hidden="1" x14ac:dyDescent="0.25">
      <c r="A57" s="48" t="s">
        <v>598</v>
      </c>
      <c r="B57" t="str">
        <f t="shared" si="0"/>
        <v>In MR</v>
      </c>
      <c r="F57" s="48" t="s">
        <v>182</v>
      </c>
      <c r="G57" s="51" t="s">
        <v>625</v>
      </c>
    </row>
    <row r="58" spans="1:7" hidden="1" x14ac:dyDescent="0.25">
      <c r="A58" s="48" t="s">
        <v>599</v>
      </c>
      <c r="B58" t="str">
        <f t="shared" si="0"/>
        <v>In MR</v>
      </c>
      <c r="F58" s="48" t="s">
        <v>321</v>
      </c>
      <c r="G58" s="51" t="s">
        <v>625</v>
      </c>
    </row>
    <row r="59" spans="1:7" hidden="1" x14ac:dyDescent="0.25">
      <c r="A59" s="48" t="s">
        <v>44</v>
      </c>
      <c r="B59" t="str">
        <f t="shared" si="0"/>
        <v>In MR</v>
      </c>
      <c r="F59" s="48" t="s">
        <v>184</v>
      </c>
      <c r="G59" s="51" t="s">
        <v>625</v>
      </c>
    </row>
    <row r="60" spans="1:7" hidden="1" x14ac:dyDescent="0.25">
      <c r="A60" s="48" t="s">
        <v>27</v>
      </c>
      <c r="B60" t="str">
        <f t="shared" si="0"/>
        <v>In MR</v>
      </c>
      <c r="F60" s="48" t="s">
        <v>366</v>
      </c>
      <c r="G60" s="51" t="s">
        <v>625</v>
      </c>
    </row>
    <row r="61" spans="1:7" hidden="1" x14ac:dyDescent="0.25">
      <c r="A61" s="48" t="s">
        <v>30</v>
      </c>
      <c r="B61" t="str">
        <f t="shared" si="0"/>
        <v>In MR</v>
      </c>
      <c r="F61" s="48" t="s">
        <v>352</v>
      </c>
      <c r="G61" s="51" t="s">
        <v>625</v>
      </c>
    </row>
    <row r="62" spans="1:7" hidden="1" x14ac:dyDescent="0.25">
      <c r="A62" s="48" t="s">
        <v>39</v>
      </c>
      <c r="B62" t="str">
        <f t="shared" si="0"/>
        <v>In MR</v>
      </c>
      <c r="F62" s="48" t="s">
        <v>373</v>
      </c>
      <c r="G62" s="51" t="s">
        <v>625</v>
      </c>
    </row>
    <row r="63" spans="1:7" hidden="1" x14ac:dyDescent="0.25">
      <c r="A63" s="48" t="s">
        <v>33</v>
      </c>
      <c r="B63" t="str">
        <f t="shared" si="0"/>
        <v>In MR</v>
      </c>
      <c r="F63" s="48" t="s">
        <v>483</v>
      </c>
      <c r="G63" s="51" t="s">
        <v>625</v>
      </c>
    </row>
    <row r="64" spans="1:7" hidden="1" x14ac:dyDescent="0.25">
      <c r="A64" s="48" t="s">
        <v>34</v>
      </c>
      <c r="B64" t="str">
        <f t="shared" si="0"/>
        <v>In MR</v>
      </c>
      <c r="F64" s="48" t="s">
        <v>368</v>
      </c>
      <c r="G64" s="51" t="s">
        <v>625</v>
      </c>
    </row>
    <row r="65" spans="1:7" hidden="1" x14ac:dyDescent="0.25">
      <c r="A65" s="48" t="s">
        <v>35</v>
      </c>
      <c r="B65" t="str">
        <f t="shared" si="0"/>
        <v>In MR</v>
      </c>
      <c r="F65" s="48" t="s">
        <v>400</v>
      </c>
      <c r="G65" s="51" t="s">
        <v>625</v>
      </c>
    </row>
    <row r="66" spans="1:7" hidden="1" x14ac:dyDescent="0.25">
      <c r="A66" s="48" t="s">
        <v>40</v>
      </c>
      <c r="B66" t="str">
        <f t="shared" si="0"/>
        <v>In MR</v>
      </c>
      <c r="F66" s="48" t="s">
        <v>412</v>
      </c>
      <c r="G66" s="51" t="s">
        <v>625</v>
      </c>
    </row>
    <row r="67" spans="1:7" hidden="1" x14ac:dyDescent="0.25">
      <c r="A67" s="48" t="s">
        <v>68</v>
      </c>
      <c r="B67" t="str">
        <f t="shared" ref="B67:B130" si="1">VLOOKUP($A67,$F$2:$G$216,2,FALSE)</f>
        <v>In MR</v>
      </c>
      <c r="F67" s="48" t="s">
        <v>516</v>
      </c>
      <c r="G67" s="51" t="s">
        <v>625</v>
      </c>
    </row>
    <row r="68" spans="1:7" hidden="1" x14ac:dyDescent="0.25">
      <c r="A68" s="48" t="s">
        <v>93</v>
      </c>
      <c r="B68" t="str">
        <f t="shared" si="1"/>
        <v>In MR</v>
      </c>
      <c r="F68" s="48" t="s">
        <v>419</v>
      </c>
      <c r="G68" s="51" t="s">
        <v>625</v>
      </c>
    </row>
    <row r="69" spans="1:7" hidden="1" x14ac:dyDescent="0.25">
      <c r="A69" s="48" t="s">
        <v>95</v>
      </c>
      <c r="B69" t="str">
        <f t="shared" si="1"/>
        <v>In MR</v>
      </c>
      <c r="F69" s="48" t="s">
        <v>482</v>
      </c>
      <c r="G69" s="51" t="s">
        <v>625</v>
      </c>
    </row>
    <row r="70" spans="1:7" hidden="1" x14ac:dyDescent="0.25">
      <c r="A70" s="48" t="s">
        <v>164</v>
      </c>
      <c r="B70" t="str">
        <f t="shared" si="1"/>
        <v>In MR</v>
      </c>
      <c r="F70" s="48" t="s">
        <v>579</v>
      </c>
      <c r="G70" s="51" t="s">
        <v>625</v>
      </c>
    </row>
    <row r="71" spans="1:7" hidden="1" x14ac:dyDescent="0.25">
      <c r="A71" s="48" t="s">
        <v>100</v>
      </c>
      <c r="B71" t="str">
        <f t="shared" si="1"/>
        <v>In MR</v>
      </c>
      <c r="F71" s="48" t="s">
        <v>558</v>
      </c>
      <c r="G71" s="51" t="s">
        <v>625</v>
      </c>
    </row>
    <row r="72" spans="1:7" hidden="1" x14ac:dyDescent="0.25">
      <c r="A72" s="48" t="s">
        <v>117</v>
      </c>
      <c r="B72" t="str">
        <f t="shared" si="1"/>
        <v>In MR</v>
      </c>
      <c r="F72" s="48" t="s">
        <v>569</v>
      </c>
      <c r="G72" s="51" t="s">
        <v>625</v>
      </c>
    </row>
    <row r="73" spans="1:7" hidden="1" x14ac:dyDescent="0.25">
      <c r="A73" s="48" t="s">
        <v>126</v>
      </c>
      <c r="B73" t="str">
        <f t="shared" si="1"/>
        <v>In MR</v>
      </c>
      <c r="F73" s="48" t="s">
        <v>580</v>
      </c>
      <c r="G73" s="51" t="s">
        <v>625</v>
      </c>
    </row>
    <row r="74" spans="1:7" hidden="1" x14ac:dyDescent="0.25">
      <c r="A74" s="48" t="s">
        <v>125</v>
      </c>
      <c r="B74" t="str">
        <f t="shared" si="1"/>
        <v>In MR</v>
      </c>
      <c r="F74" s="48" t="s">
        <v>598</v>
      </c>
      <c r="G74" s="51" t="s">
        <v>625</v>
      </c>
    </row>
    <row r="75" spans="1:7" hidden="1" x14ac:dyDescent="0.25">
      <c r="A75" s="48" t="s">
        <v>605</v>
      </c>
      <c r="B75" t="str">
        <f t="shared" si="1"/>
        <v>In MR</v>
      </c>
      <c r="F75" s="48" t="s">
        <v>599</v>
      </c>
      <c r="G75" s="51" t="s">
        <v>625</v>
      </c>
    </row>
    <row r="76" spans="1:7" hidden="1" x14ac:dyDescent="0.25">
      <c r="A76" s="48" t="s">
        <v>134</v>
      </c>
      <c r="B76" t="str">
        <f t="shared" si="1"/>
        <v>In MR</v>
      </c>
      <c r="F76" s="48" t="s">
        <v>59</v>
      </c>
      <c r="G76" s="51" t="s">
        <v>625</v>
      </c>
    </row>
    <row r="77" spans="1:7" hidden="1" x14ac:dyDescent="0.25">
      <c r="A77" s="48" t="s">
        <v>161</v>
      </c>
      <c r="B77" t="str">
        <f t="shared" si="1"/>
        <v>In MR</v>
      </c>
      <c r="F77" s="48" t="s">
        <v>44</v>
      </c>
      <c r="G77" s="51" t="s">
        <v>625</v>
      </c>
    </row>
    <row r="78" spans="1:7" hidden="1" x14ac:dyDescent="0.25">
      <c r="A78" s="48" t="s">
        <v>180</v>
      </c>
      <c r="B78" t="str">
        <f t="shared" si="1"/>
        <v>In MR</v>
      </c>
      <c r="F78" s="48" t="s">
        <v>27</v>
      </c>
      <c r="G78" s="51" t="s">
        <v>625</v>
      </c>
    </row>
    <row r="79" spans="1:7" hidden="1" x14ac:dyDescent="0.25">
      <c r="A79" s="48" t="s">
        <v>160</v>
      </c>
      <c r="B79" t="str">
        <f t="shared" si="1"/>
        <v>In MR</v>
      </c>
      <c r="F79" s="48" t="s">
        <v>28</v>
      </c>
      <c r="G79" s="51" t="s">
        <v>625</v>
      </c>
    </row>
    <row r="80" spans="1:7" hidden="1" x14ac:dyDescent="0.25">
      <c r="A80" s="48" t="s">
        <v>172</v>
      </c>
      <c r="B80" t="str">
        <f t="shared" si="1"/>
        <v>In MR</v>
      </c>
      <c r="F80" s="48" t="s">
        <v>29</v>
      </c>
      <c r="G80" s="51" t="s">
        <v>625</v>
      </c>
    </row>
    <row r="81" spans="1:7" hidden="1" x14ac:dyDescent="0.25">
      <c r="A81" s="48" t="s">
        <v>426</v>
      </c>
      <c r="B81" t="str">
        <f t="shared" si="1"/>
        <v>In MR</v>
      </c>
      <c r="F81" s="48" t="s">
        <v>30</v>
      </c>
      <c r="G81" s="51" t="s">
        <v>625</v>
      </c>
    </row>
    <row r="82" spans="1:7" hidden="1" x14ac:dyDescent="0.25">
      <c r="A82" s="48" t="s">
        <v>165</v>
      </c>
      <c r="B82" t="str">
        <f t="shared" si="1"/>
        <v>In MR</v>
      </c>
      <c r="F82" s="48" t="s">
        <v>37</v>
      </c>
      <c r="G82" s="51" t="s">
        <v>625</v>
      </c>
    </row>
    <row r="83" spans="1:7" hidden="1" x14ac:dyDescent="0.25">
      <c r="A83" s="48" t="s">
        <v>166</v>
      </c>
      <c r="B83" t="str">
        <f t="shared" si="1"/>
        <v>In MR</v>
      </c>
      <c r="F83" s="48" t="s">
        <v>38</v>
      </c>
      <c r="G83" s="51" t="s">
        <v>625</v>
      </c>
    </row>
    <row r="84" spans="1:7" hidden="1" x14ac:dyDescent="0.25">
      <c r="A84" s="48" t="s">
        <v>414</v>
      </c>
      <c r="B84" t="str">
        <f t="shared" si="1"/>
        <v>In MR</v>
      </c>
      <c r="F84" s="48" t="s">
        <v>32</v>
      </c>
      <c r="G84" s="51" t="s">
        <v>625</v>
      </c>
    </row>
    <row r="85" spans="1:7" hidden="1" x14ac:dyDescent="0.25">
      <c r="A85" s="48" t="s">
        <v>581</v>
      </c>
      <c r="B85" t="str">
        <f t="shared" si="1"/>
        <v>In MR</v>
      </c>
      <c r="F85" s="48" t="s">
        <v>39</v>
      </c>
      <c r="G85" s="51" t="s">
        <v>625</v>
      </c>
    </row>
    <row r="86" spans="1:7" hidden="1" x14ac:dyDescent="0.25">
      <c r="A86" s="48" t="s">
        <v>415</v>
      </c>
      <c r="B86" t="str">
        <f t="shared" si="1"/>
        <v>In MR</v>
      </c>
      <c r="F86" s="48" t="s">
        <v>33</v>
      </c>
      <c r="G86" s="51" t="s">
        <v>625</v>
      </c>
    </row>
    <row r="87" spans="1:7" hidden="1" x14ac:dyDescent="0.25">
      <c r="A87" s="48" t="s">
        <v>427</v>
      </c>
      <c r="B87" t="str">
        <f t="shared" si="1"/>
        <v>In MR</v>
      </c>
      <c r="F87" s="48" t="s">
        <v>34</v>
      </c>
      <c r="G87" s="51" t="s">
        <v>625</v>
      </c>
    </row>
    <row r="88" spans="1:7" hidden="1" x14ac:dyDescent="0.25">
      <c r="A88" s="48" t="s">
        <v>342</v>
      </c>
      <c r="B88" t="str">
        <f t="shared" si="1"/>
        <v>In MR</v>
      </c>
      <c r="F88" s="48" t="s">
        <v>35</v>
      </c>
      <c r="G88" s="51" t="s">
        <v>625</v>
      </c>
    </row>
    <row r="89" spans="1:7" hidden="1" x14ac:dyDescent="0.25">
      <c r="A89" s="48" t="s">
        <v>181</v>
      </c>
      <c r="B89" t="str">
        <f t="shared" si="1"/>
        <v>In MR</v>
      </c>
      <c r="F89" s="48" t="s">
        <v>40</v>
      </c>
      <c r="G89" s="51" t="s">
        <v>625</v>
      </c>
    </row>
    <row r="90" spans="1:7" hidden="1" x14ac:dyDescent="0.25">
      <c r="A90" s="48" t="s">
        <v>185</v>
      </c>
      <c r="B90" t="str">
        <f t="shared" si="1"/>
        <v>In MR</v>
      </c>
      <c r="F90" s="48" t="s">
        <v>54</v>
      </c>
      <c r="G90" s="51" t="s">
        <v>625</v>
      </c>
    </row>
    <row r="91" spans="1:7" hidden="1" x14ac:dyDescent="0.25">
      <c r="A91" s="48" t="s">
        <v>183</v>
      </c>
      <c r="B91" t="str">
        <f t="shared" si="1"/>
        <v>In MR</v>
      </c>
      <c r="F91" s="48" t="s">
        <v>63</v>
      </c>
      <c r="G91" s="51" t="s">
        <v>625</v>
      </c>
    </row>
    <row r="92" spans="1:7" hidden="1" x14ac:dyDescent="0.25">
      <c r="A92" s="48" t="s">
        <v>330</v>
      </c>
      <c r="B92" t="str">
        <f t="shared" si="1"/>
        <v>In MR</v>
      </c>
      <c r="F92" s="48" t="s">
        <v>98</v>
      </c>
      <c r="G92" s="51" t="s">
        <v>625</v>
      </c>
    </row>
    <row r="93" spans="1:7" hidden="1" x14ac:dyDescent="0.25">
      <c r="A93" s="48" t="s">
        <v>356</v>
      </c>
      <c r="B93" t="str">
        <f t="shared" si="1"/>
        <v>In MR</v>
      </c>
      <c r="F93" s="48" t="s">
        <v>68</v>
      </c>
      <c r="G93" s="51" t="s">
        <v>625</v>
      </c>
    </row>
    <row r="94" spans="1:7" hidden="1" x14ac:dyDescent="0.25">
      <c r="A94" s="48" t="s">
        <v>360</v>
      </c>
      <c r="B94" t="str">
        <f t="shared" si="1"/>
        <v>In MR</v>
      </c>
      <c r="F94" s="48" t="s">
        <v>92</v>
      </c>
      <c r="G94" s="51" t="s">
        <v>625</v>
      </c>
    </row>
    <row r="95" spans="1:7" hidden="1" x14ac:dyDescent="0.25">
      <c r="A95" s="48" t="s">
        <v>379</v>
      </c>
      <c r="B95" t="str">
        <f t="shared" si="1"/>
        <v>In MR</v>
      </c>
      <c r="F95" s="48" t="s">
        <v>93</v>
      </c>
      <c r="G95" s="51" t="s">
        <v>625</v>
      </c>
    </row>
    <row r="96" spans="1:7" hidden="1" x14ac:dyDescent="0.25">
      <c r="A96" s="48" t="s">
        <v>564</v>
      </c>
      <c r="B96" t="str">
        <f t="shared" si="1"/>
        <v>In MR</v>
      </c>
      <c r="F96" s="48" t="s">
        <v>95</v>
      </c>
      <c r="G96" s="51" t="s">
        <v>625</v>
      </c>
    </row>
    <row r="97" spans="1:7" hidden="1" x14ac:dyDescent="0.25">
      <c r="A97" s="48" t="s">
        <v>53</v>
      </c>
      <c r="B97" t="str">
        <f t="shared" si="1"/>
        <v>In MR</v>
      </c>
      <c r="F97" s="48" t="s">
        <v>164</v>
      </c>
      <c r="G97" s="51" t="s">
        <v>625</v>
      </c>
    </row>
    <row r="98" spans="1:7" hidden="1" x14ac:dyDescent="0.25">
      <c r="A98" s="48" t="s">
        <v>492</v>
      </c>
      <c r="B98" t="str">
        <f t="shared" si="1"/>
        <v>In MR</v>
      </c>
      <c r="F98" s="48" t="s">
        <v>100</v>
      </c>
      <c r="G98" s="51" t="s">
        <v>625</v>
      </c>
    </row>
    <row r="99" spans="1:7" hidden="1" x14ac:dyDescent="0.25">
      <c r="A99" s="48" t="s">
        <v>469</v>
      </c>
      <c r="B99" t="str">
        <f t="shared" si="1"/>
        <v>In MR</v>
      </c>
      <c r="F99" s="48" t="s">
        <v>117</v>
      </c>
      <c r="G99" s="51" t="s">
        <v>625</v>
      </c>
    </row>
    <row r="100" spans="1:7" hidden="1" x14ac:dyDescent="0.25">
      <c r="A100" s="48" t="s">
        <v>470</v>
      </c>
      <c r="B100" t="str">
        <f t="shared" si="1"/>
        <v>In MR</v>
      </c>
      <c r="F100" s="48" t="s">
        <v>118</v>
      </c>
      <c r="G100" s="51" t="s">
        <v>625</v>
      </c>
    </row>
    <row r="101" spans="1:7" hidden="1" x14ac:dyDescent="0.25">
      <c r="A101" s="48" t="s">
        <v>465</v>
      </c>
      <c r="B101" t="str">
        <f t="shared" si="1"/>
        <v>In MR</v>
      </c>
      <c r="F101" s="48" t="s">
        <v>126</v>
      </c>
      <c r="G101" s="51" t="s">
        <v>625</v>
      </c>
    </row>
    <row r="102" spans="1:7" hidden="1" x14ac:dyDescent="0.25">
      <c r="A102" s="48" t="s">
        <v>493</v>
      </c>
      <c r="B102" t="str">
        <f t="shared" si="1"/>
        <v>In MR</v>
      </c>
      <c r="F102" s="48" t="s">
        <v>125</v>
      </c>
      <c r="G102" s="51" t="s">
        <v>625</v>
      </c>
    </row>
    <row r="103" spans="1:7" hidden="1" x14ac:dyDescent="0.25">
      <c r="A103" s="48" t="s">
        <v>471</v>
      </c>
      <c r="B103" t="str">
        <f t="shared" si="1"/>
        <v>In MR</v>
      </c>
      <c r="F103" s="48" t="s">
        <v>605</v>
      </c>
      <c r="G103" s="51" t="s">
        <v>625</v>
      </c>
    </row>
    <row r="104" spans="1:7" hidden="1" x14ac:dyDescent="0.25">
      <c r="A104" s="48" t="s">
        <v>472</v>
      </c>
      <c r="B104" t="str">
        <f t="shared" si="1"/>
        <v>In MR</v>
      </c>
      <c r="F104" s="48" t="s">
        <v>134</v>
      </c>
      <c r="G104" s="51" t="s">
        <v>625</v>
      </c>
    </row>
    <row r="105" spans="1:7" hidden="1" x14ac:dyDescent="0.25">
      <c r="A105" s="48" t="s">
        <v>494</v>
      </c>
      <c r="B105" t="str">
        <f t="shared" si="1"/>
        <v>In MR</v>
      </c>
      <c r="F105" s="48" t="s">
        <v>135</v>
      </c>
      <c r="G105" s="51" t="s">
        <v>625</v>
      </c>
    </row>
    <row r="106" spans="1:7" hidden="1" x14ac:dyDescent="0.25">
      <c r="A106" s="48" t="s">
        <v>473</v>
      </c>
      <c r="B106" t="str">
        <f t="shared" si="1"/>
        <v>In MR</v>
      </c>
      <c r="F106" s="48" t="s">
        <v>161</v>
      </c>
      <c r="G106" s="51" t="s">
        <v>625</v>
      </c>
    </row>
    <row r="107" spans="1:7" hidden="1" x14ac:dyDescent="0.25">
      <c r="A107" s="48" t="s">
        <v>468</v>
      </c>
      <c r="B107" t="str">
        <f t="shared" si="1"/>
        <v>In MR</v>
      </c>
      <c r="F107" s="48" t="s">
        <v>180</v>
      </c>
      <c r="G107" s="51" t="s">
        <v>625</v>
      </c>
    </row>
    <row r="108" spans="1:7" hidden="1" x14ac:dyDescent="0.25">
      <c r="A108" s="48" t="s">
        <v>177</v>
      </c>
      <c r="B108" t="str">
        <f t="shared" si="1"/>
        <v>In MR</v>
      </c>
      <c r="F108" s="48" t="s">
        <v>160</v>
      </c>
      <c r="G108" s="51" t="s">
        <v>625</v>
      </c>
    </row>
    <row r="109" spans="1:7" hidden="1" x14ac:dyDescent="0.25">
      <c r="A109" s="48" t="s">
        <v>344</v>
      </c>
      <c r="B109" t="str">
        <f t="shared" si="1"/>
        <v>In MR</v>
      </c>
      <c r="F109" s="48" t="s">
        <v>172</v>
      </c>
      <c r="G109" s="51" t="s">
        <v>625</v>
      </c>
    </row>
    <row r="110" spans="1:7" hidden="1" x14ac:dyDescent="0.25">
      <c r="A110" s="48" t="s">
        <v>139</v>
      </c>
      <c r="B110" t="str">
        <f t="shared" si="1"/>
        <v>In MR</v>
      </c>
      <c r="F110" s="48" t="s">
        <v>426</v>
      </c>
      <c r="G110" s="51" t="s">
        <v>625</v>
      </c>
    </row>
    <row r="111" spans="1:7" hidden="1" x14ac:dyDescent="0.25">
      <c r="A111" s="48" t="s">
        <v>131</v>
      </c>
      <c r="B111" t="str">
        <f t="shared" si="1"/>
        <v>In MR</v>
      </c>
      <c r="F111" s="48" t="s">
        <v>165</v>
      </c>
      <c r="G111" s="51" t="s">
        <v>625</v>
      </c>
    </row>
    <row r="112" spans="1:7" hidden="1" x14ac:dyDescent="0.25">
      <c r="A112" s="48" t="s">
        <v>474</v>
      </c>
      <c r="B112" t="str">
        <f t="shared" si="1"/>
        <v>In MR</v>
      </c>
      <c r="F112" s="48" t="s">
        <v>168</v>
      </c>
      <c r="G112" s="51" t="s">
        <v>625</v>
      </c>
    </row>
    <row r="113" spans="1:7" hidden="1" x14ac:dyDescent="0.25">
      <c r="A113" s="48" t="s">
        <v>420</v>
      </c>
      <c r="B113" t="str">
        <f t="shared" si="1"/>
        <v>In MR</v>
      </c>
      <c r="F113" s="48" t="s">
        <v>166</v>
      </c>
      <c r="G113" s="51" t="s">
        <v>625</v>
      </c>
    </row>
    <row r="114" spans="1:7" hidden="1" x14ac:dyDescent="0.25">
      <c r="A114" s="48" t="s">
        <v>609</v>
      </c>
      <c r="B114" t="str">
        <f t="shared" si="1"/>
        <v>In MR</v>
      </c>
      <c r="F114" s="48" t="s">
        <v>414</v>
      </c>
      <c r="G114" s="51" t="s">
        <v>625</v>
      </c>
    </row>
    <row r="115" spans="1:7" hidden="1" x14ac:dyDescent="0.25">
      <c r="A115" s="48" t="s">
        <v>600</v>
      </c>
      <c r="B115" t="str">
        <f t="shared" si="1"/>
        <v>In MR</v>
      </c>
      <c r="F115" s="48" t="s">
        <v>581</v>
      </c>
      <c r="G115" s="51" t="s">
        <v>625</v>
      </c>
    </row>
    <row r="116" spans="1:7" hidden="1" x14ac:dyDescent="0.25">
      <c r="A116" s="48" t="s">
        <v>61</v>
      </c>
      <c r="B116" t="str">
        <f t="shared" si="1"/>
        <v>In MR</v>
      </c>
      <c r="F116" s="48" t="s">
        <v>415</v>
      </c>
      <c r="G116" s="51" t="s">
        <v>625</v>
      </c>
    </row>
    <row r="117" spans="1:7" hidden="1" x14ac:dyDescent="0.25">
      <c r="A117" s="48" t="s">
        <v>60</v>
      </c>
      <c r="B117" t="str">
        <f t="shared" si="1"/>
        <v>In MR</v>
      </c>
      <c r="F117" s="48" t="s">
        <v>427</v>
      </c>
      <c r="G117" s="51" t="s">
        <v>625</v>
      </c>
    </row>
    <row r="118" spans="1:7" hidden="1" x14ac:dyDescent="0.25">
      <c r="A118" s="48" t="s">
        <v>104</v>
      </c>
      <c r="B118" t="str">
        <f t="shared" si="1"/>
        <v>In MR</v>
      </c>
      <c r="F118" s="48" t="s">
        <v>174</v>
      </c>
      <c r="G118" s="51" t="s">
        <v>625</v>
      </c>
    </row>
    <row r="119" spans="1:7" hidden="1" x14ac:dyDescent="0.25">
      <c r="A119" s="48" t="s">
        <v>141</v>
      </c>
      <c r="B119" t="str">
        <f t="shared" si="1"/>
        <v>In MR</v>
      </c>
      <c r="F119" s="48" t="s">
        <v>342</v>
      </c>
      <c r="G119" s="51" t="s">
        <v>625</v>
      </c>
    </row>
    <row r="120" spans="1:7" hidden="1" x14ac:dyDescent="0.25">
      <c r="A120" s="48" t="s">
        <v>49</v>
      </c>
      <c r="B120" t="str">
        <f t="shared" si="1"/>
        <v>In MR</v>
      </c>
      <c r="F120" s="48" t="s">
        <v>181</v>
      </c>
      <c r="G120" s="51" t="s">
        <v>625</v>
      </c>
    </row>
    <row r="121" spans="1:7" hidden="1" x14ac:dyDescent="0.25">
      <c r="A121" s="48" t="s">
        <v>51</v>
      </c>
      <c r="B121" t="str">
        <f t="shared" si="1"/>
        <v>In MR</v>
      </c>
      <c r="F121" s="48" t="s">
        <v>407</v>
      </c>
      <c r="G121" s="51" t="s">
        <v>625</v>
      </c>
    </row>
    <row r="122" spans="1:7" hidden="1" x14ac:dyDescent="0.25">
      <c r="A122" s="48" t="s">
        <v>556</v>
      </c>
      <c r="B122" t="str">
        <f t="shared" si="1"/>
        <v>In MR</v>
      </c>
      <c r="F122" s="48" t="s">
        <v>185</v>
      </c>
      <c r="G122" s="51" t="s">
        <v>625</v>
      </c>
    </row>
    <row r="123" spans="1:7" hidden="1" x14ac:dyDescent="0.25">
      <c r="A123" s="48" t="s">
        <v>565</v>
      </c>
      <c r="B123" t="str">
        <f t="shared" si="1"/>
        <v>In MR</v>
      </c>
      <c r="F123" s="48" t="s">
        <v>183</v>
      </c>
      <c r="G123" s="51" t="s">
        <v>625</v>
      </c>
    </row>
    <row r="124" spans="1:7" hidden="1" x14ac:dyDescent="0.25">
      <c r="A124" s="48" t="s">
        <v>364</v>
      </c>
      <c r="B124" t="str">
        <f t="shared" si="1"/>
        <v>In MR</v>
      </c>
      <c r="F124" s="48" t="s">
        <v>330</v>
      </c>
      <c r="G124" s="51" t="s">
        <v>625</v>
      </c>
    </row>
    <row r="125" spans="1:7" hidden="1" x14ac:dyDescent="0.25">
      <c r="A125" s="48" t="s">
        <v>370</v>
      </c>
      <c r="B125" t="str">
        <f t="shared" si="1"/>
        <v>In MR</v>
      </c>
      <c r="F125" s="48" t="s">
        <v>356</v>
      </c>
      <c r="G125" s="51" t="s">
        <v>625</v>
      </c>
    </row>
    <row r="126" spans="1:7" x14ac:dyDescent="0.25">
      <c r="A126" s="48" t="s">
        <v>617</v>
      </c>
      <c r="B126" t="e">
        <f t="shared" si="1"/>
        <v>#N/A</v>
      </c>
      <c r="F126" s="48" t="s">
        <v>360</v>
      </c>
      <c r="G126" s="51" t="s">
        <v>625</v>
      </c>
    </row>
    <row r="127" spans="1:7" hidden="1" x14ac:dyDescent="0.25">
      <c r="A127" s="48" t="s">
        <v>175</v>
      </c>
      <c r="B127" t="str">
        <f t="shared" si="1"/>
        <v>In MR</v>
      </c>
      <c r="F127" s="48" t="s">
        <v>379</v>
      </c>
      <c r="G127" s="51" t="s">
        <v>625</v>
      </c>
    </row>
    <row r="128" spans="1:7" hidden="1" x14ac:dyDescent="0.25">
      <c r="A128" s="48" t="s">
        <v>481</v>
      </c>
      <c r="B128" t="str">
        <f t="shared" si="1"/>
        <v>In MR</v>
      </c>
      <c r="F128" s="48" t="s">
        <v>409</v>
      </c>
      <c r="G128" s="51" t="s">
        <v>625</v>
      </c>
    </row>
    <row r="129" spans="1:7" hidden="1" x14ac:dyDescent="0.25">
      <c r="A129" s="48" t="s">
        <v>128</v>
      </c>
      <c r="B129" t="str">
        <f t="shared" si="1"/>
        <v>In MR</v>
      </c>
      <c r="F129" s="48" t="s">
        <v>564</v>
      </c>
      <c r="G129" s="51" t="s">
        <v>625</v>
      </c>
    </row>
    <row r="130" spans="1:7" hidden="1" x14ac:dyDescent="0.25">
      <c r="A130" s="48" t="s">
        <v>94</v>
      </c>
      <c r="B130" t="str">
        <f t="shared" si="1"/>
        <v>In MR</v>
      </c>
      <c r="F130" s="48" t="s">
        <v>91</v>
      </c>
      <c r="G130" s="51" t="s">
        <v>625</v>
      </c>
    </row>
    <row r="131" spans="1:7" hidden="1" x14ac:dyDescent="0.25">
      <c r="A131" s="48" t="s">
        <v>62</v>
      </c>
      <c r="B131" t="str">
        <f t="shared" ref="B131:B154" si="2">VLOOKUP($A131,$F$2:$G$216,2,FALSE)</f>
        <v>In MR</v>
      </c>
      <c r="F131" s="48" t="s">
        <v>53</v>
      </c>
      <c r="G131" s="51" t="s">
        <v>625</v>
      </c>
    </row>
    <row r="132" spans="1:7" hidden="1" x14ac:dyDescent="0.25">
      <c r="A132" s="48" t="s">
        <v>347</v>
      </c>
      <c r="B132" t="str">
        <f t="shared" si="2"/>
        <v>In MR</v>
      </c>
      <c r="F132" s="48" t="s">
        <v>127</v>
      </c>
      <c r="G132" s="51" t="s">
        <v>625</v>
      </c>
    </row>
    <row r="133" spans="1:7" hidden="1" x14ac:dyDescent="0.25">
      <c r="A133" s="48" t="s">
        <v>129</v>
      </c>
      <c r="B133" t="str">
        <f t="shared" si="2"/>
        <v>In MR</v>
      </c>
      <c r="F133" s="48" t="s">
        <v>492</v>
      </c>
      <c r="G133" s="51" t="s">
        <v>625</v>
      </c>
    </row>
    <row r="134" spans="1:7" hidden="1" x14ac:dyDescent="0.25">
      <c r="A134" s="48" t="s">
        <v>413</v>
      </c>
      <c r="B134" t="str">
        <f t="shared" si="2"/>
        <v>In MR</v>
      </c>
      <c r="F134" s="48" t="s">
        <v>469</v>
      </c>
      <c r="G134" s="51" t="s">
        <v>625</v>
      </c>
    </row>
    <row r="135" spans="1:7" hidden="1" x14ac:dyDescent="0.25">
      <c r="A135" s="48" t="s">
        <v>571</v>
      </c>
      <c r="B135" t="str">
        <f t="shared" si="2"/>
        <v>In MR</v>
      </c>
      <c r="F135" s="48" t="s">
        <v>470</v>
      </c>
      <c r="G135" s="51" t="s">
        <v>625</v>
      </c>
    </row>
    <row r="136" spans="1:7" x14ac:dyDescent="0.25">
      <c r="A136" s="48" t="s">
        <v>619</v>
      </c>
      <c r="B136" t="e">
        <f t="shared" si="2"/>
        <v>#N/A</v>
      </c>
      <c r="F136" s="48" t="s">
        <v>465</v>
      </c>
      <c r="G136" s="51" t="s">
        <v>625</v>
      </c>
    </row>
    <row r="137" spans="1:7" hidden="1" x14ac:dyDescent="0.25">
      <c r="A137" s="48" t="s">
        <v>610</v>
      </c>
      <c r="B137" t="str">
        <f t="shared" si="2"/>
        <v>In MR</v>
      </c>
      <c r="F137" s="48" t="s">
        <v>553</v>
      </c>
      <c r="G137" s="51" t="s">
        <v>625</v>
      </c>
    </row>
    <row r="138" spans="1:7" hidden="1" x14ac:dyDescent="0.25">
      <c r="A138" s="48" t="s">
        <v>504</v>
      </c>
      <c r="B138" t="str">
        <f t="shared" si="2"/>
        <v>In MR</v>
      </c>
      <c r="F138" s="48" t="s">
        <v>554</v>
      </c>
      <c r="G138" s="51" t="s">
        <v>625</v>
      </c>
    </row>
    <row r="139" spans="1:7" hidden="1" x14ac:dyDescent="0.25">
      <c r="A139" s="48" t="s">
        <v>455</v>
      </c>
      <c r="B139" t="str">
        <f t="shared" si="2"/>
        <v>In MR</v>
      </c>
      <c r="F139" s="48" t="s">
        <v>493</v>
      </c>
      <c r="G139" s="51" t="s">
        <v>625</v>
      </c>
    </row>
    <row r="140" spans="1:7" hidden="1" x14ac:dyDescent="0.25">
      <c r="A140" s="48" t="s">
        <v>456</v>
      </c>
      <c r="B140" t="str">
        <f t="shared" si="2"/>
        <v>In MR</v>
      </c>
      <c r="F140" s="48" t="s">
        <v>471</v>
      </c>
      <c r="G140" s="51" t="s">
        <v>625</v>
      </c>
    </row>
    <row r="141" spans="1:7" hidden="1" x14ac:dyDescent="0.25">
      <c r="A141" s="48" t="s">
        <v>479</v>
      </c>
      <c r="B141" t="str">
        <f t="shared" si="2"/>
        <v>In MR</v>
      </c>
      <c r="F141" s="48" t="s">
        <v>472</v>
      </c>
      <c r="G141" s="51" t="s">
        <v>625</v>
      </c>
    </row>
    <row r="142" spans="1:7" hidden="1" x14ac:dyDescent="0.25">
      <c r="A142" s="48" t="s">
        <v>506</v>
      </c>
      <c r="B142" t="str">
        <f t="shared" si="2"/>
        <v>In MR</v>
      </c>
      <c r="F142" s="48" t="s">
        <v>494</v>
      </c>
      <c r="G142" s="51" t="s">
        <v>625</v>
      </c>
    </row>
    <row r="143" spans="1:7" hidden="1" x14ac:dyDescent="0.25">
      <c r="A143" s="48" t="s">
        <v>457</v>
      </c>
      <c r="B143" t="str">
        <f t="shared" si="2"/>
        <v>In MR</v>
      </c>
      <c r="F143" s="48" t="s">
        <v>473</v>
      </c>
      <c r="G143" s="51" t="s">
        <v>625</v>
      </c>
    </row>
    <row r="144" spans="1:7" hidden="1" x14ac:dyDescent="0.25">
      <c r="A144" s="48" t="s">
        <v>458</v>
      </c>
      <c r="B144" t="str">
        <f t="shared" si="2"/>
        <v>In MR</v>
      </c>
      <c r="F144" s="48" t="s">
        <v>468</v>
      </c>
      <c r="G144" s="51" t="s">
        <v>625</v>
      </c>
    </row>
    <row r="145" spans="1:7" hidden="1" x14ac:dyDescent="0.25">
      <c r="A145" s="48" t="s">
        <v>459</v>
      </c>
      <c r="B145" t="str">
        <f t="shared" si="2"/>
        <v>In MR</v>
      </c>
      <c r="F145" s="48" t="s">
        <v>495</v>
      </c>
      <c r="G145" s="51" t="s">
        <v>625</v>
      </c>
    </row>
    <row r="146" spans="1:7" hidden="1" x14ac:dyDescent="0.25">
      <c r="A146" s="48" t="s">
        <v>509</v>
      </c>
      <c r="B146" t="str">
        <f t="shared" si="2"/>
        <v>In MR</v>
      </c>
      <c r="F146" s="48" t="s">
        <v>177</v>
      </c>
      <c r="G146" s="51" t="s">
        <v>625</v>
      </c>
    </row>
    <row r="147" spans="1:7" hidden="1" x14ac:dyDescent="0.25">
      <c r="A147" s="48" t="s">
        <v>511</v>
      </c>
      <c r="B147" t="str">
        <f t="shared" si="2"/>
        <v>In MR</v>
      </c>
      <c r="F147" s="48" t="s">
        <v>344</v>
      </c>
      <c r="G147" s="51" t="s">
        <v>625</v>
      </c>
    </row>
    <row r="148" spans="1:7" hidden="1" x14ac:dyDescent="0.25">
      <c r="A148" s="48" t="s">
        <v>512</v>
      </c>
      <c r="B148" t="str">
        <f t="shared" si="2"/>
        <v>In MR</v>
      </c>
      <c r="F148" s="48" t="s">
        <v>105</v>
      </c>
      <c r="G148" s="51" t="s">
        <v>625</v>
      </c>
    </row>
    <row r="149" spans="1:7" hidden="1" x14ac:dyDescent="0.25">
      <c r="A149" s="48" t="s">
        <v>460</v>
      </c>
      <c r="B149" t="str">
        <f t="shared" si="2"/>
        <v>In MR</v>
      </c>
      <c r="F149" s="48" t="s">
        <v>362</v>
      </c>
      <c r="G149" s="51" t="s">
        <v>625</v>
      </c>
    </row>
    <row r="150" spans="1:7" hidden="1" x14ac:dyDescent="0.25">
      <c r="A150" s="48" t="s">
        <v>461</v>
      </c>
      <c r="B150" t="str">
        <f t="shared" si="2"/>
        <v>In MR</v>
      </c>
      <c r="F150" s="48" t="s">
        <v>139</v>
      </c>
      <c r="G150" s="51" t="s">
        <v>625</v>
      </c>
    </row>
    <row r="151" spans="1:7" hidden="1" x14ac:dyDescent="0.25">
      <c r="A151" s="48" t="s">
        <v>462</v>
      </c>
      <c r="B151" t="str">
        <f t="shared" si="2"/>
        <v>In MR</v>
      </c>
      <c r="F151" s="48" t="s">
        <v>131</v>
      </c>
      <c r="G151" s="51" t="s">
        <v>625</v>
      </c>
    </row>
    <row r="152" spans="1:7" hidden="1" x14ac:dyDescent="0.25">
      <c r="A152" s="48" t="s">
        <v>513</v>
      </c>
      <c r="B152" t="str">
        <f t="shared" si="2"/>
        <v>In MR</v>
      </c>
      <c r="F152" s="48" t="s">
        <v>383</v>
      </c>
      <c r="G152" s="51" t="s">
        <v>625</v>
      </c>
    </row>
    <row r="153" spans="1:7" hidden="1" x14ac:dyDescent="0.25">
      <c r="A153" s="48" t="s">
        <v>463</v>
      </c>
      <c r="B153" t="str">
        <f t="shared" si="2"/>
        <v>In MR</v>
      </c>
      <c r="F153" s="48" t="s">
        <v>387</v>
      </c>
      <c r="G153" s="51" t="s">
        <v>625</v>
      </c>
    </row>
    <row r="154" spans="1:7" hidden="1" x14ac:dyDescent="0.25">
      <c r="A154" s="48" t="s">
        <v>42</v>
      </c>
      <c r="B154" t="str">
        <f t="shared" si="2"/>
        <v>In MR</v>
      </c>
      <c r="F154" s="48" t="s">
        <v>389</v>
      </c>
      <c r="G154" s="51" t="s">
        <v>625</v>
      </c>
    </row>
    <row r="155" spans="1:7" x14ac:dyDescent="0.25">
      <c r="A155" s="48"/>
      <c r="F155" s="48" t="s">
        <v>385</v>
      </c>
      <c r="G155" s="51" t="s">
        <v>625</v>
      </c>
    </row>
    <row r="156" spans="1:7" x14ac:dyDescent="0.25">
      <c r="A156" s="48"/>
      <c r="F156" s="48" t="s">
        <v>391</v>
      </c>
      <c r="G156" s="51" t="s">
        <v>625</v>
      </c>
    </row>
    <row r="157" spans="1:7" x14ac:dyDescent="0.25">
      <c r="A157" s="48"/>
      <c r="F157" s="48" t="s">
        <v>474</v>
      </c>
      <c r="G157" s="51" t="s">
        <v>625</v>
      </c>
    </row>
    <row r="158" spans="1:7" x14ac:dyDescent="0.25">
      <c r="A158" s="48"/>
      <c r="F158" s="48" t="s">
        <v>420</v>
      </c>
      <c r="G158" s="51" t="s">
        <v>625</v>
      </c>
    </row>
    <row r="159" spans="1:7" x14ac:dyDescent="0.25">
      <c r="A159" s="48"/>
      <c r="F159" s="48" t="s">
        <v>609</v>
      </c>
      <c r="G159" s="51" t="s">
        <v>625</v>
      </c>
    </row>
    <row r="160" spans="1:7" x14ac:dyDescent="0.25">
      <c r="A160" s="48"/>
      <c r="F160" s="48" t="s">
        <v>600</v>
      </c>
      <c r="G160" s="51" t="s">
        <v>625</v>
      </c>
    </row>
    <row r="161" spans="1:7" x14ac:dyDescent="0.25">
      <c r="A161" s="48"/>
      <c r="F161" s="48" t="s">
        <v>140</v>
      </c>
      <c r="G161" s="51" t="s">
        <v>625</v>
      </c>
    </row>
    <row r="162" spans="1:7" x14ac:dyDescent="0.25">
      <c r="A162" s="48"/>
      <c r="F162" s="48" t="s">
        <v>47</v>
      </c>
      <c r="G162" s="51" t="s">
        <v>625</v>
      </c>
    </row>
    <row r="163" spans="1:7" x14ac:dyDescent="0.25">
      <c r="A163" s="48"/>
      <c r="F163" s="48" t="s">
        <v>61</v>
      </c>
      <c r="G163" s="51" t="s">
        <v>625</v>
      </c>
    </row>
    <row r="164" spans="1:7" x14ac:dyDescent="0.25">
      <c r="A164" s="48"/>
      <c r="F164" s="48" t="s">
        <v>60</v>
      </c>
      <c r="G164" s="51" t="s">
        <v>625</v>
      </c>
    </row>
    <row r="165" spans="1:7" x14ac:dyDescent="0.25">
      <c r="A165" s="48"/>
      <c r="F165" s="48" t="s">
        <v>104</v>
      </c>
      <c r="G165" s="51" t="s">
        <v>625</v>
      </c>
    </row>
    <row r="166" spans="1:7" x14ac:dyDescent="0.25">
      <c r="A166" s="48"/>
      <c r="F166" s="48" t="s">
        <v>141</v>
      </c>
      <c r="G166" s="51" t="s">
        <v>625</v>
      </c>
    </row>
    <row r="167" spans="1:7" x14ac:dyDescent="0.25">
      <c r="A167" s="48"/>
      <c r="F167" s="48" t="s">
        <v>130</v>
      </c>
      <c r="G167" s="51" t="s">
        <v>625</v>
      </c>
    </row>
    <row r="168" spans="1:7" x14ac:dyDescent="0.25">
      <c r="A168" s="48"/>
      <c r="F168" s="48" t="s">
        <v>102</v>
      </c>
      <c r="G168" s="51" t="s">
        <v>625</v>
      </c>
    </row>
    <row r="169" spans="1:7" x14ac:dyDescent="0.25">
      <c r="A169" s="48"/>
      <c r="F169" s="48" t="s">
        <v>48</v>
      </c>
      <c r="G169" s="51" t="s">
        <v>625</v>
      </c>
    </row>
    <row r="170" spans="1:7" x14ac:dyDescent="0.25">
      <c r="A170" s="48"/>
      <c r="F170" s="48" t="s">
        <v>49</v>
      </c>
      <c r="G170" s="51" t="s">
        <v>625</v>
      </c>
    </row>
    <row r="171" spans="1:7" x14ac:dyDescent="0.25">
      <c r="A171" s="48"/>
      <c r="F171" s="48" t="s">
        <v>51</v>
      </c>
      <c r="G171" s="51" t="s">
        <v>625</v>
      </c>
    </row>
    <row r="172" spans="1:7" x14ac:dyDescent="0.25">
      <c r="A172" s="48"/>
      <c r="F172" s="48" t="s">
        <v>416</v>
      </c>
      <c r="G172" s="51" t="s">
        <v>625</v>
      </c>
    </row>
    <row r="173" spans="1:7" x14ac:dyDescent="0.25">
      <c r="A173" s="48"/>
      <c r="F173" s="48" t="s">
        <v>556</v>
      </c>
      <c r="G173" s="51" t="s">
        <v>625</v>
      </c>
    </row>
    <row r="174" spans="1:7" x14ac:dyDescent="0.25">
      <c r="A174" s="48"/>
      <c r="F174" s="48" t="s">
        <v>565</v>
      </c>
      <c r="G174" s="51" t="s">
        <v>625</v>
      </c>
    </row>
    <row r="175" spans="1:7" x14ac:dyDescent="0.25">
      <c r="A175" s="48"/>
      <c r="F175" s="48" t="s">
        <v>364</v>
      </c>
      <c r="G175" s="51" t="s">
        <v>625</v>
      </c>
    </row>
    <row r="176" spans="1:7" x14ac:dyDescent="0.25">
      <c r="A176" s="48"/>
      <c r="F176" s="48" t="s">
        <v>370</v>
      </c>
      <c r="G176" s="51" t="s">
        <v>625</v>
      </c>
    </row>
    <row r="177" spans="1:7" x14ac:dyDescent="0.25">
      <c r="A177" s="48"/>
      <c r="F177" s="48" t="s">
        <v>175</v>
      </c>
      <c r="G177" s="51" t="s">
        <v>625</v>
      </c>
    </row>
    <row r="178" spans="1:7" x14ac:dyDescent="0.25">
      <c r="A178" s="48"/>
      <c r="F178" s="48" t="s">
        <v>481</v>
      </c>
      <c r="G178" s="51" t="s">
        <v>625</v>
      </c>
    </row>
    <row r="179" spans="1:7" x14ac:dyDescent="0.25">
      <c r="A179" s="48"/>
      <c r="F179" s="48" t="s">
        <v>128</v>
      </c>
      <c r="G179" s="51" t="s">
        <v>625</v>
      </c>
    </row>
    <row r="180" spans="1:7" x14ac:dyDescent="0.25">
      <c r="A180" s="48"/>
      <c r="F180" s="48" t="s">
        <v>94</v>
      </c>
      <c r="G180" s="51" t="s">
        <v>625</v>
      </c>
    </row>
    <row r="181" spans="1:7" x14ac:dyDescent="0.25">
      <c r="A181" s="48"/>
      <c r="F181" s="48" t="s">
        <v>62</v>
      </c>
      <c r="G181" s="51" t="s">
        <v>625</v>
      </c>
    </row>
    <row r="182" spans="1:7" x14ac:dyDescent="0.25">
      <c r="A182" s="48"/>
      <c r="F182" s="48" t="s">
        <v>347</v>
      </c>
      <c r="G182" s="51" t="s">
        <v>625</v>
      </c>
    </row>
    <row r="183" spans="1:7" x14ac:dyDescent="0.25">
      <c r="A183" s="48"/>
      <c r="F183" s="48" t="s">
        <v>129</v>
      </c>
      <c r="G183" s="51" t="s">
        <v>625</v>
      </c>
    </row>
    <row r="184" spans="1:7" x14ac:dyDescent="0.25">
      <c r="A184" s="48"/>
      <c r="F184" s="48" t="s">
        <v>293</v>
      </c>
      <c r="G184" s="51" t="s">
        <v>625</v>
      </c>
    </row>
    <row r="185" spans="1:7" x14ac:dyDescent="0.25">
      <c r="A185" s="48"/>
      <c r="F185" s="48" t="s">
        <v>413</v>
      </c>
      <c r="G185" s="51" t="s">
        <v>625</v>
      </c>
    </row>
    <row r="186" spans="1:7" x14ac:dyDescent="0.25">
      <c r="A186" s="48"/>
      <c r="F186" s="48" t="s">
        <v>571</v>
      </c>
      <c r="G186" s="51" t="s">
        <v>625</v>
      </c>
    </row>
    <row r="187" spans="1:7" x14ac:dyDescent="0.25">
      <c r="A187" s="48"/>
      <c r="F187" s="48" t="s">
        <v>583</v>
      </c>
      <c r="G187" s="51" t="s">
        <v>625</v>
      </c>
    </row>
    <row r="188" spans="1:7" x14ac:dyDescent="0.25">
      <c r="A188" s="48"/>
      <c r="F188" s="48" t="s">
        <v>555</v>
      </c>
      <c r="G188" s="51" t="s">
        <v>625</v>
      </c>
    </row>
    <row r="189" spans="1:7" x14ac:dyDescent="0.25">
      <c r="A189" s="48"/>
      <c r="F189" s="48" t="s">
        <v>480</v>
      </c>
      <c r="G189" s="51" t="s">
        <v>625</v>
      </c>
    </row>
    <row r="190" spans="1:7" x14ac:dyDescent="0.25">
      <c r="A190" s="48"/>
      <c r="F190" s="48" t="s">
        <v>584</v>
      </c>
      <c r="G190" s="51" t="s">
        <v>625</v>
      </c>
    </row>
    <row r="191" spans="1:7" x14ac:dyDescent="0.25">
      <c r="A191" s="48"/>
      <c r="F191" s="48" t="s">
        <v>607</v>
      </c>
      <c r="G191" s="51" t="s">
        <v>625</v>
      </c>
    </row>
    <row r="192" spans="1:7" x14ac:dyDescent="0.25">
      <c r="A192" s="48"/>
      <c r="F192" s="48" t="s">
        <v>610</v>
      </c>
      <c r="G192" s="51" t="s">
        <v>625</v>
      </c>
    </row>
    <row r="193" spans="1:7" x14ac:dyDescent="0.25">
      <c r="A193" s="48"/>
      <c r="F193" s="48" t="s">
        <v>487</v>
      </c>
      <c r="G193" s="51" t="s">
        <v>625</v>
      </c>
    </row>
    <row r="194" spans="1:7" x14ac:dyDescent="0.25">
      <c r="A194" s="48"/>
      <c r="F194" s="48" t="s">
        <v>504</v>
      </c>
      <c r="G194" s="51" t="s">
        <v>625</v>
      </c>
    </row>
    <row r="195" spans="1:7" x14ac:dyDescent="0.25">
      <c r="A195" s="48"/>
      <c r="F195" s="48" t="s">
        <v>454</v>
      </c>
      <c r="G195" s="51" t="s">
        <v>625</v>
      </c>
    </row>
    <row r="196" spans="1:7" x14ac:dyDescent="0.25">
      <c r="A196" s="50"/>
      <c r="F196" s="48" t="s">
        <v>455</v>
      </c>
      <c r="G196" s="51" t="s">
        <v>625</v>
      </c>
    </row>
    <row r="197" spans="1:7" x14ac:dyDescent="0.25">
      <c r="A197" s="48"/>
      <c r="F197" s="48" t="s">
        <v>456</v>
      </c>
      <c r="G197" s="51" t="s">
        <v>625</v>
      </c>
    </row>
    <row r="198" spans="1:7" x14ac:dyDescent="0.25">
      <c r="A198" s="48"/>
      <c r="F198" s="48" t="s">
        <v>479</v>
      </c>
      <c r="G198" s="51" t="s">
        <v>625</v>
      </c>
    </row>
    <row r="199" spans="1:7" x14ac:dyDescent="0.25">
      <c r="A199" s="48"/>
      <c r="F199" s="48" t="s">
        <v>505</v>
      </c>
      <c r="G199" s="51" t="s">
        <v>625</v>
      </c>
    </row>
    <row r="200" spans="1:7" x14ac:dyDescent="0.25">
      <c r="A200" s="48"/>
      <c r="F200" s="48" t="s">
        <v>506</v>
      </c>
      <c r="G200" s="51" t="s">
        <v>625</v>
      </c>
    </row>
    <row r="201" spans="1:7" x14ac:dyDescent="0.25">
      <c r="A201" s="48"/>
      <c r="F201" s="48" t="s">
        <v>507</v>
      </c>
      <c r="G201" s="51" t="s">
        <v>625</v>
      </c>
    </row>
    <row r="202" spans="1:7" x14ac:dyDescent="0.25">
      <c r="A202" s="48"/>
      <c r="F202" s="48" t="s">
        <v>457</v>
      </c>
      <c r="G202" s="51" t="s">
        <v>625</v>
      </c>
    </row>
    <row r="203" spans="1:7" x14ac:dyDescent="0.25">
      <c r="A203" s="48"/>
      <c r="F203" s="48" t="s">
        <v>508</v>
      </c>
      <c r="G203" s="51" t="s">
        <v>625</v>
      </c>
    </row>
    <row r="204" spans="1:7" x14ac:dyDescent="0.25">
      <c r="A204" s="48"/>
      <c r="F204" s="48" t="s">
        <v>458</v>
      </c>
      <c r="G204" s="51" t="s">
        <v>625</v>
      </c>
    </row>
    <row r="205" spans="1:7" x14ac:dyDescent="0.25">
      <c r="A205" s="48"/>
      <c r="F205" s="48" t="s">
        <v>459</v>
      </c>
      <c r="G205" s="51" t="s">
        <v>625</v>
      </c>
    </row>
    <row r="206" spans="1:7" x14ac:dyDescent="0.25">
      <c r="A206" s="48"/>
      <c r="F206" s="48" t="s">
        <v>509</v>
      </c>
      <c r="G206" s="51" t="s">
        <v>625</v>
      </c>
    </row>
    <row r="207" spans="1:7" x14ac:dyDescent="0.25">
      <c r="A207" s="48"/>
      <c r="F207" s="48" t="s">
        <v>585</v>
      </c>
      <c r="G207" s="51" t="s">
        <v>625</v>
      </c>
    </row>
    <row r="208" spans="1:7" x14ac:dyDescent="0.25">
      <c r="A208" s="48"/>
      <c r="F208" s="48" t="s">
        <v>510</v>
      </c>
      <c r="G208" s="51" t="s">
        <v>625</v>
      </c>
    </row>
    <row r="209" spans="1:7" x14ac:dyDescent="0.25">
      <c r="A209" s="48"/>
      <c r="F209" s="48" t="s">
        <v>511</v>
      </c>
      <c r="G209" s="51" t="s">
        <v>625</v>
      </c>
    </row>
    <row r="210" spans="1:7" x14ac:dyDescent="0.25">
      <c r="A210" s="48"/>
      <c r="F210" s="48" t="s">
        <v>512</v>
      </c>
      <c r="G210" s="51" t="s">
        <v>625</v>
      </c>
    </row>
    <row r="211" spans="1:7" x14ac:dyDescent="0.25">
      <c r="A211" s="48"/>
      <c r="F211" s="48" t="s">
        <v>460</v>
      </c>
      <c r="G211" s="51" t="s">
        <v>625</v>
      </c>
    </row>
    <row r="212" spans="1:7" x14ac:dyDescent="0.25">
      <c r="A212" s="48"/>
      <c r="F212" s="48" t="s">
        <v>461</v>
      </c>
      <c r="G212" s="51" t="s">
        <v>625</v>
      </c>
    </row>
    <row r="213" spans="1:7" x14ac:dyDescent="0.25">
      <c r="A213" s="48"/>
      <c r="F213" s="48" t="s">
        <v>462</v>
      </c>
      <c r="G213" s="51" t="s">
        <v>625</v>
      </c>
    </row>
    <row r="214" spans="1:7" x14ac:dyDescent="0.25">
      <c r="A214" s="48"/>
      <c r="F214" s="48" t="s">
        <v>513</v>
      </c>
      <c r="G214" s="51" t="s">
        <v>625</v>
      </c>
    </row>
    <row r="215" spans="1:7" x14ac:dyDescent="0.25">
      <c r="A215" s="48"/>
      <c r="F215" s="48" t="s">
        <v>463</v>
      </c>
      <c r="G215" s="51" t="s">
        <v>625</v>
      </c>
    </row>
    <row r="216" spans="1:7" x14ac:dyDescent="0.25">
      <c r="A216" s="48"/>
      <c r="F216" s="48" t="s">
        <v>42</v>
      </c>
      <c r="G216" s="51" t="s">
        <v>625</v>
      </c>
    </row>
    <row r="217" spans="1:7" x14ac:dyDescent="0.25">
      <c r="A217" s="48"/>
    </row>
    <row r="218" spans="1:7" x14ac:dyDescent="0.25">
      <c r="A218" s="48"/>
    </row>
    <row r="219" spans="1:7" x14ac:dyDescent="0.25">
      <c r="A219" s="48"/>
    </row>
    <row r="220" spans="1:7" x14ac:dyDescent="0.25">
      <c r="A220" s="48"/>
    </row>
    <row r="221" spans="1:7" x14ac:dyDescent="0.25">
      <c r="A221" s="48"/>
    </row>
    <row r="222" spans="1:7" x14ac:dyDescent="0.25">
      <c r="A222" s="48"/>
    </row>
    <row r="223" spans="1:7" x14ac:dyDescent="0.25">
      <c r="A223" s="48"/>
    </row>
    <row r="224" spans="1:7" x14ac:dyDescent="0.25">
      <c r="A224" s="48"/>
    </row>
    <row r="225" spans="1:1" x14ac:dyDescent="0.25">
      <c r="A225" s="48"/>
    </row>
    <row r="226" spans="1:1" x14ac:dyDescent="0.25">
      <c r="A226" s="48"/>
    </row>
    <row r="227" spans="1:1" x14ac:dyDescent="0.25">
      <c r="A227" s="48"/>
    </row>
    <row r="228" spans="1:1" x14ac:dyDescent="0.25">
      <c r="A228" s="48"/>
    </row>
    <row r="229" spans="1:1" x14ac:dyDescent="0.25">
      <c r="A229" s="48"/>
    </row>
    <row r="230" spans="1:1" x14ac:dyDescent="0.25">
      <c r="A230" s="48"/>
    </row>
    <row r="231" spans="1:1" x14ac:dyDescent="0.25">
      <c r="A231" s="48"/>
    </row>
    <row r="232" spans="1:1" x14ac:dyDescent="0.25">
      <c r="A232" s="48"/>
    </row>
    <row r="233" spans="1:1" x14ac:dyDescent="0.25">
      <c r="A233" s="48"/>
    </row>
    <row r="234" spans="1:1" x14ac:dyDescent="0.25">
      <c r="A234" s="48"/>
    </row>
    <row r="235" spans="1:1" x14ac:dyDescent="0.25">
      <c r="A235" s="48"/>
    </row>
    <row r="236" spans="1:1" x14ac:dyDescent="0.25">
      <c r="A236" s="48"/>
    </row>
    <row r="237" spans="1:1" x14ac:dyDescent="0.25">
      <c r="A237" s="48"/>
    </row>
    <row r="238" spans="1:1" x14ac:dyDescent="0.25">
      <c r="A238" s="48"/>
    </row>
    <row r="239" spans="1:1" x14ac:dyDescent="0.25">
      <c r="A239" s="48"/>
    </row>
    <row r="240" spans="1:1" x14ac:dyDescent="0.25">
      <c r="A240" s="48"/>
    </row>
    <row r="241" spans="1:1" x14ac:dyDescent="0.25">
      <c r="A241" s="48"/>
    </row>
    <row r="242" spans="1:1" x14ac:dyDescent="0.25">
      <c r="A242" s="48"/>
    </row>
    <row r="243" spans="1:1" x14ac:dyDescent="0.25">
      <c r="A243" s="48"/>
    </row>
    <row r="244" spans="1:1" x14ac:dyDescent="0.25">
      <c r="A244" s="48"/>
    </row>
    <row r="249" spans="1:1" x14ac:dyDescent="0.25">
      <c r="A249" s="48"/>
    </row>
    <row r="251" spans="1:1" x14ac:dyDescent="0.25">
      <c r="A251" s="48"/>
    </row>
    <row r="252" spans="1:1" x14ac:dyDescent="0.25">
      <c r="A252" s="48"/>
    </row>
    <row r="253" spans="1:1" x14ac:dyDescent="0.25">
      <c r="A253" s="48"/>
    </row>
    <row r="254" spans="1:1" x14ac:dyDescent="0.25">
      <c r="A254" s="48"/>
    </row>
    <row r="255" spans="1:1" x14ac:dyDescent="0.25">
      <c r="A255" s="48"/>
    </row>
    <row r="256" spans="1:1" x14ac:dyDescent="0.25">
      <c r="A256" s="48"/>
    </row>
    <row r="257" spans="1:1" x14ac:dyDescent="0.25">
      <c r="A257" s="48"/>
    </row>
    <row r="258" spans="1:1" x14ac:dyDescent="0.25">
      <c r="A258" s="48"/>
    </row>
    <row r="259" spans="1:1" x14ac:dyDescent="0.25">
      <c r="A259" s="48"/>
    </row>
    <row r="260" spans="1:1" x14ac:dyDescent="0.25">
      <c r="A260" s="48"/>
    </row>
    <row r="261" spans="1:1" x14ac:dyDescent="0.25">
      <c r="A261" s="48"/>
    </row>
    <row r="262" spans="1:1" x14ac:dyDescent="0.25">
      <c r="A262" s="48"/>
    </row>
    <row r="263" spans="1:1" x14ac:dyDescent="0.25">
      <c r="A263" s="48"/>
    </row>
    <row r="264" spans="1:1" x14ac:dyDescent="0.25">
      <c r="A264" s="48"/>
    </row>
    <row r="265" spans="1:1" x14ac:dyDescent="0.25">
      <c r="A265" s="48"/>
    </row>
    <row r="266" spans="1:1" x14ac:dyDescent="0.25">
      <c r="A266" s="48"/>
    </row>
    <row r="267" spans="1:1" x14ac:dyDescent="0.25">
      <c r="A267" s="48"/>
    </row>
    <row r="268" spans="1:1" x14ac:dyDescent="0.25">
      <c r="A268" s="48"/>
    </row>
    <row r="269" spans="1:1" x14ac:dyDescent="0.25">
      <c r="A269" s="48"/>
    </row>
    <row r="270" spans="1:1" x14ac:dyDescent="0.25">
      <c r="A270" s="48"/>
    </row>
    <row r="271" spans="1:1" x14ac:dyDescent="0.25">
      <c r="A271" s="48"/>
    </row>
    <row r="272" spans="1:1" x14ac:dyDescent="0.25">
      <c r="A272" s="48"/>
    </row>
    <row r="273" spans="1:1" x14ac:dyDescent="0.25">
      <c r="A273" s="48"/>
    </row>
    <row r="274" spans="1:1" x14ac:dyDescent="0.25">
      <c r="A274" s="48"/>
    </row>
    <row r="275" spans="1:1" x14ac:dyDescent="0.25">
      <c r="A275" s="48"/>
    </row>
    <row r="276" spans="1:1" x14ac:dyDescent="0.25">
      <c r="A276" s="48"/>
    </row>
    <row r="277" spans="1:1" x14ac:dyDescent="0.25">
      <c r="A277" s="48"/>
    </row>
    <row r="278" spans="1:1" x14ac:dyDescent="0.25">
      <c r="A278" s="48"/>
    </row>
    <row r="279" spans="1:1" x14ac:dyDescent="0.25">
      <c r="A279" s="48"/>
    </row>
    <row r="280" spans="1:1" x14ac:dyDescent="0.25">
      <c r="A280" s="48"/>
    </row>
    <row r="281" spans="1:1" x14ac:dyDescent="0.25">
      <c r="A281" s="48"/>
    </row>
    <row r="282" spans="1:1" x14ac:dyDescent="0.25">
      <c r="A282" s="48"/>
    </row>
    <row r="283" spans="1:1" x14ac:dyDescent="0.25">
      <c r="A283" s="48"/>
    </row>
    <row r="284" spans="1:1" x14ac:dyDescent="0.25">
      <c r="A284" s="48"/>
    </row>
    <row r="285" spans="1:1" x14ac:dyDescent="0.25">
      <c r="A285" s="48"/>
    </row>
    <row r="286" spans="1:1" x14ac:dyDescent="0.25">
      <c r="A286" s="48"/>
    </row>
    <row r="287" spans="1:1" x14ac:dyDescent="0.25">
      <c r="A287" s="48"/>
    </row>
    <row r="288" spans="1:1" x14ac:dyDescent="0.25">
      <c r="A288" s="48"/>
    </row>
    <row r="289" spans="1:1" x14ac:dyDescent="0.25">
      <c r="A289" s="48"/>
    </row>
    <row r="290" spans="1:1" x14ac:dyDescent="0.25">
      <c r="A290" s="48"/>
    </row>
    <row r="291" spans="1:1" x14ac:dyDescent="0.25">
      <c r="A291" s="48"/>
    </row>
    <row r="292" spans="1:1" x14ac:dyDescent="0.25">
      <c r="A292" s="48"/>
    </row>
    <row r="293" spans="1:1" x14ac:dyDescent="0.25">
      <c r="A293" s="48"/>
    </row>
    <row r="294" spans="1:1" x14ac:dyDescent="0.25">
      <c r="A294" s="48"/>
    </row>
    <row r="295" spans="1:1" x14ac:dyDescent="0.25">
      <c r="A295" s="48"/>
    </row>
    <row r="296" spans="1:1" x14ac:dyDescent="0.25">
      <c r="A296" s="48"/>
    </row>
    <row r="297" spans="1:1" x14ac:dyDescent="0.25">
      <c r="A297" s="48"/>
    </row>
    <row r="298" spans="1:1" x14ac:dyDescent="0.25">
      <c r="A298" s="48"/>
    </row>
    <row r="299" spans="1:1" x14ac:dyDescent="0.25">
      <c r="A299" s="48"/>
    </row>
    <row r="300" spans="1:1" x14ac:dyDescent="0.25">
      <c r="A300" s="48"/>
    </row>
    <row r="301" spans="1:1" x14ac:dyDescent="0.25">
      <c r="A301" s="48"/>
    </row>
    <row r="302" spans="1:1" x14ac:dyDescent="0.25">
      <c r="A302" s="48"/>
    </row>
    <row r="303" spans="1:1" x14ac:dyDescent="0.25">
      <c r="A303" s="48"/>
    </row>
    <row r="304" spans="1:1" x14ac:dyDescent="0.25">
      <c r="A304" s="48"/>
    </row>
    <row r="305" spans="1:1" x14ac:dyDescent="0.25">
      <c r="A305" s="48"/>
    </row>
    <row r="306" spans="1:1" x14ac:dyDescent="0.25">
      <c r="A306" s="48"/>
    </row>
    <row r="307" spans="1:1" x14ac:dyDescent="0.25">
      <c r="A307" s="48"/>
    </row>
    <row r="308" spans="1:1" x14ac:dyDescent="0.25">
      <c r="A308" s="48"/>
    </row>
    <row r="309" spans="1:1" x14ac:dyDescent="0.25">
      <c r="A309" s="48"/>
    </row>
    <row r="310" spans="1:1" x14ac:dyDescent="0.25">
      <c r="A310" s="48"/>
    </row>
    <row r="311" spans="1:1" x14ac:dyDescent="0.25">
      <c r="A311" s="48"/>
    </row>
    <row r="371" spans="1:1" x14ac:dyDescent="0.25">
      <c r="A371" s="47"/>
    </row>
  </sheetData>
  <autoFilter ref="A1:B154" xr:uid="{82910FB9-C62A-468D-8D00-16090C49D256}">
    <filterColumn colId="1">
      <filters>
        <filter val="#N/A"/>
      </filters>
    </filterColumn>
  </autoFilter>
  <sortState xmlns:xlrd2="http://schemas.microsoft.com/office/spreadsheetml/2017/richdata2" ref="F2:F292">
    <sortCondition ref="F2:F29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1B3858-38BE-4FA0-9ADB-CF3EDDCFB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MGR</vt:lpstr>
      <vt:lpstr>CX</vt:lpstr>
      <vt:lpstr>Legacy Lookup Table</vt:lpstr>
      <vt:lpstr>ACDOCA - Paste Data</vt:lpstr>
      <vt:lpstr>WIP - Paste Data</vt:lpstr>
      <vt:lpstr>JTD Paste Data</vt:lpstr>
      <vt:lpstr>MTD Hours Paste Data</vt:lpstr>
      <vt:lpstr>Sheet3</vt:lpstr>
      <vt:lpstr>SAP Contracts</vt:lpstr>
      <vt:lpstr>Active North Sky Projects</vt:lpstr>
      <vt:lpstr>Sheet1</vt:lpstr>
      <vt:lpstr>Canby_Molalla_Dustin</vt:lpstr>
      <vt:lpstr>Div_2_Wireless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Koopmann, Audra</dc:creator>
  <cp:lastModifiedBy>Ross Guthrie</cp:lastModifiedBy>
  <cp:lastPrinted>2025-05-20T20:26:10Z</cp:lastPrinted>
  <dcterms:created xsi:type="dcterms:W3CDTF">2023-05-12T17:51:05Z</dcterms:created>
  <dcterms:modified xsi:type="dcterms:W3CDTF">2026-06-16T23:46:08Z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